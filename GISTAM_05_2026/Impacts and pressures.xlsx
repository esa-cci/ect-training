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codeName="ThisWorkbook" defaultThemeVersion="202300"/>
  <mc:AlternateContent xmlns:mc="http://schemas.openxmlformats.org/markup-compatibility/2006">
    <mc:Choice Requires="x15">
      <x15ac:absPath xmlns:x15ac="http://schemas.microsoft.com/office/spreadsheetml/2010/11/ac" url="/Users/isabelbrandao/Downloads/"/>
    </mc:Choice>
  </mc:AlternateContent>
  <xr:revisionPtr revIDLastSave="0" documentId="13_ncr:1_{101E53B6-3873-F946-82C9-1736EC29B1AA}" xr6:coauthVersionLast="47" xr6:coauthVersionMax="47" xr10:uidLastSave="{00000000-0000-0000-0000-000000000000}"/>
  <bookViews>
    <workbookView xWindow="0" yWindow="6560" windowWidth="34560" windowHeight="20520" xr2:uid="{00A82159-9831-4BD2-A2D1-4A5A7DDBA21A}"/>
  </bookViews>
  <sheets>
    <sheet name="Australia" sheetId="1" r:id="rId1"/>
    <sheet name="colours" sheetId="5" r:id="rId2"/>
    <sheet name="Impacts" sheetId="6" r:id="rId3"/>
    <sheet name="Pressures" sheetId="7" r:id="rId4"/>
  </sheets>
  <definedNames>
    <definedName name="_xlnm._FilterDatabase" localSheetId="0" hidden="1">Australia!$A$1:$DF$237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T3" i="1" l="1"/>
  <c r="ET4" i="1"/>
  <c r="ET5" i="1"/>
  <c r="ET6" i="1"/>
  <c r="ET7" i="1"/>
  <c r="ET8" i="1"/>
  <c r="ET9" i="1"/>
  <c r="ET10" i="1"/>
  <c r="ET11" i="1"/>
  <c r="ET12" i="1"/>
  <c r="ET13" i="1"/>
  <c r="ET14" i="1"/>
  <c r="ET15" i="1"/>
  <c r="ET16" i="1"/>
  <c r="ET17" i="1"/>
  <c r="ET18" i="1"/>
  <c r="ET19" i="1"/>
  <c r="ET20" i="1"/>
  <c r="ET21" i="1"/>
  <c r="ET22" i="1"/>
  <c r="ET23" i="1"/>
  <c r="ET24" i="1"/>
  <c r="ET25" i="1"/>
  <c r="ET26" i="1"/>
  <c r="ET27" i="1"/>
  <c r="ET28" i="1"/>
  <c r="ET29" i="1"/>
  <c r="ET30" i="1"/>
  <c r="ET31" i="1"/>
  <c r="ET32" i="1"/>
  <c r="ET33" i="1"/>
  <c r="ET34" i="1"/>
  <c r="ET35" i="1"/>
  <c r="ET36" i="1"/>
  <c r="ET37" i="1"/>
  <c r="ET38" i="1"/>
  <c r="ET39" i="1"/>
  <c r="ET40" i="1"/>
  <c r="ET41" i="1"/>
  <c r="ET42" i="1"/>
  <c r="ET43" i="1"/>
  <c r="ET44" i="1"/>
  <c r="ET45" i="1"/>
  <c r="ET46" i="1"/>
  <c r="ET47" i="1"/>
  <c r="ET48" i="1"/>
  <c r="ET49" i="1"/>
  <c r="ET50" i="1"/>
  <c r="ET51" i="1"/>
  <c r="ET52" i="1"/>
  <c r="ET53" i="1"/>
  <c r="ET54" i="1"/>
  <c r="ET55" i="1"/>
  <c r="ET56" i="1"/>
  <c r="ET57" i="1"/>
  <c r="ET58" i="1"/>
  <c r="ET59" i="1"/>
  <c r="ET60" i="1"/>
  <c r="ET61" i="1"/>
  <c r="ET62" i="1"/>
  <c r="ET63" i="1"/>
  <c r="ET64" i="1"/>
  <c r="ET65" i="1"/>
  <c r="ET66" i="1"/>
  <c r="ET67" i="1"/>
  <c r="ET68" i="1"/>
  <c r="ET69" i="1"/>
  <c r="ET70" i="1"/>
  <c r="ET71" i="1"/>
  <c r="ET72" i="1"/>
  <c r="ET73" i="1"/>
  <c r="ET74" i="1"/>
  <c r="ET75" i="1"/>
  <c r="ET76" i="1"/>
  <c r="ET77" i="1"/>
  <c r="ET78" i="1"/>
  <c r="ET79" i="1"/>
  <c r="ET80" i="1"/>
  <c r="ET81" i="1"/>
  <c r="ET82" i="1"/>
  <c r="ET83" i="1"/>
  <c r="ET84" i="1"/>
  <c r="ET85" i="1"/>
  <c r="ET86" i="1"/>
  <c r="ET87" i="1"/>
  <c r="ET88" i="1"/>
  <c r="ET89" i="1"/>
  <c r="ET90" i="1"/>
  <c r="ET91" i="1"/>
  <c r="ET92" i="1"/>
  <c r="ET93" i="1"/>
  <c r="ET94" i="1"/>
  <c r="ET95" i="1"/>
  <c r="ET96" i="1"/>
  <c r="ET97" i="1"/>
  <c r="ET98" i="1"/>
  <c r="ET99" i="1"/>
  <c r="ET100" i="1"/>
  <c r="ET101" i="1"/>
  <c r="ET102" i="1"/>
  <c r="ET103" i="1"/>
  <c r="ET104" i="1"/>
  <c r="ET105" i="1"/>
  <c r="ET106" i="1"/>
  <c r="ET107" i="1"/>
  <c r="ET108" i="1"/>
  <c r="ET109" i="1"/>
  <c r="ET110" i="1"/>
  <c r="ET111" i="1"/>
  <c r="ET112" i="1"/>
  <c r="ET113" i="1"/>
  <c r="ET114" i="1"/>
  <c r="ET115" i="1"/>
  <c r="ET116" i="1"/>
  <c r="ET117" i="1"/>
  <c r="ET118" i="1"/>
  <c r="ET119" i="1"/>
  <c r="ET120" i="1"/>
  <c r="ET121" i="1"/>
  <c r="ET122" i="1"/>
  <c r="ET123" i="1"/>
  <c r="ET124" i="1"/>
  <c r="ET125" i="1"/>
  <c r="ET126" i="1"/>
  <c r="ET127" i="1"/>
  <c r="ET128" i="1"/>
  <c r="ET129" i="1"/>
  <c r="ET130" i="1"/>
  <c r="ET131" i="1"/>
  <c r="ET132" i="1"/>
  <c r="ET133" i="1"/>
  <c r="ET134" i="1"/>
  <c r="ET135" i="1"/>
  <c r="ET136" i="1"/>
  <c r="ET137" i="1"/>
  <c r="ET138" i="1"/>
  <c r="ET139" i="1"/>
  <c r="ET140" i="1"/>
  <c r="ET141" i="1"/>
  <c r="ET142" i="1"/>
  <c r="ET143" i="1"/>
  <c r="ET144" i="1"/>
  <c r="ET145" i="1"/>
  <c r="ET146" i="1"/>
  <c r="ET147" i="1"/>
  <c r="ET148" i="1"/>
  <c r="ET149" i="1"/>
  <c r="ET150" i="1"/>
  <c r="ET151" i="1"/>
  <c r="ET152" i="1"/>
  <c r="ET153" i="1"/>
  <c r="ET154" i="1"/>
  <c r="ET155" i="1"/>
  <c r="ET156" i="1"/>
  <c r="ET157" i="1"/>
  <c r="ET158" i="1"/>
  <c r="ET159" i="1"/>
  <c r="ET160" i="1"/>
  <c r="ET161" i="1"/>
  <c r="ET162" i="1"/>
  <c r="ET163" i="1"/>
  <c r="ET164" i="1"/>
  <c r="ET165" i="1"/>
  <c r="ET166" i="1"/>
  <c r="ET167" i="1"/>
  <c r="ET168" i="1"/>
  <c r="ET169" i="1"/>
  <c r="ET170" i="1"/>
  <c r="ET171" i="1"/>
  <c r="ET172" i="1"/>
  <c r="ET173" i="1"/>
  <c r="ET174" i="1"/>
  <c r="ET175" i="1"/>
  <c r="ET176" i="1"/>
  <c r="ET177" i="1"/>
  <c r="ET178" i="1"/>
  <c r="ET179" i="1"/>
  <c r="ET180" i="1"/>
  <c r="ET181" i="1"/>
  <c r="ET182" i="1"/>
  <c r="ET183" i="1"/>
  <c r="ET184" i="1"/>
  <c r="ET185" i="1"/>
  <c r="ET186" i="1"/>
  <c r="ET187" i="1"/>
  <c r="ET188" i="1"/>
  <c r="ET189" i="1"/>
  <c r="ET190" i="1"/>
  <c r="ET191" i="1"/>
  <c r="ET192" i="1"/>
  <c r="ET193" i="1"/>
  <c r="ET194" i="1"/>
  <c r="ET195" i="1"/>
  <c r="ET196" i="1"/>
  <c r="ET197" i="1"/>
  <c r="ET198" i="1"/>
  <c r="ET199" i="1"/>
  <c r="ET200" i="1"/>
  <c r="ET201" i="1"/>
  <c r="ET202" i="1"/>
  <c r="ET203" i="1"/>
  <c r="ET204" i="1"/>
  <c r="ET205" i="1"/>
  <c r="ET206" i="1"/>
  <c r="ET207" i="1"/>
  <c r="ET208" i="1"/>
  <c r="ET209" i="1"/>
  <c r="ET210" i="1"/>
  <c r="ET211" i="1"/>
  <c r="ET212" i="1"/>
  <c r="ET213" i="1"/>
  <c r="ET214" i="1"/>
  <c r="ET215" i="1"/>
  <c r="ET216" i="1"/>
  <c r="ET217" i="1"/>
  <c r="ET218" i="1"/>
  <c r="ET219" i="1"/>
  <c r="ET220" i="1"/>
  <c r="ET221" i="1"/>
  <c r="ET222" i="1"/>
  <c r="ET223" i="1"/>
  <c r="ET224" i="1"/>
  <c r="ET225" i="1"/>
  <c r="ET226" i="1"/>
  <c r="ET227" i="1"/>
  <c r="ET228" i="1"/>
  <c r="ET229" i="1"/>
  <c r="ET230" i="1"/>
  <c r="ET231" i="1"/>
  <c r="ET232" i="1"/>
  <c r="ET233" i="1"/>
  <c r="ET234" i="1"/>
  <c r="ET235" i="1"/>
  <c r="ET236" i="1"/>
  <c r="ET237" i="1"/>
  <c r="ET238" i="1"/>
  <c r="ET239" i="1"/>
  <c r="ET240" i="1"/>
  <c r="ET241" i="1"/>
  <c r="ET242" i="1"/>
  <c r="ET243" i="1"/>
  <c r="ET244" i="1"/>
  <c r="ET245" i="1"/>
  <c r="ET246" i="1"/>
  <c r="ET247" i="1"/>
  <c r="ET2" i="1"/>
  <c r="N245" i="1" l="1"/>
  <c r="N246" i="1"/>
  <c r="N247" i="1"/>
  <c r="H3" i="1"/>
  <c r="N3" i="1" s="1"/>
  <c r="H4" i="1"/>
  <c r="N4" i="1" s="1"/>
  <c r="H5" i="1"/>
  <c r="N5" i="1" s="1"/>
  <c r="H6" i="1"/>
  <c r="N6" i="1" s="1"/>
  <c r="H7" i="1"/>
  <c r="N7" i="1" s="1"/>
  <c r="H8" i="1"/>
  <c r="N8" i="1" s="1"/>
  <c r="H9" i="1"/>
  <c r="N9" i="1" s="1"/>
  <c r="H10" i="1"/>
  <c r="N10" i="1" s="1"/>
  <c r="H11" i="1"/>
  <c r="N11" i="1" s="1"/>
  <c r="H12" i="1"/>
  <c r="N12" i="1" s="1"/>
  <c r="H13" i="1"/>
  <c r="N13" i="1" s="1"/>
  <c r="H14" i="1"/>
  <c r="N14" i="1" s="1"/>
  <c r="H15" i="1"/>
  <c r="N15" i="1" s="1"/>
  <c r="H16" i="1"/>
  <c r="N16" i="1" s="1"/>
  <c r="H17" i="1"/>
  <c r="N17" i="1" s="1"/>
  <c r="H18" i="1"/>
  <c r="N18" i="1" s="1"/>
  <c r="H19" i="1"/>
  <c r="N19" i="1" s="1"/>
  <c r="H20" i="1"/>
  <c r="N20" i="1" s="1"/>
  <c r="H21" i="1"/>
  <c r="N21" i="1" s="1"/>
  <c r="H22" i="1"/>
  <c r="N22" i="1" s="1"/>
  <c r="H23" i="1"/>
  <c r="N23" i="1" s="1"/>
  <c r="H24" i="1"/>
  <c r="N24" i="1" s="1"/>
  <c r="H25" i="1"/>
  <c r="N25" i="1" s="1"/>
  <c r="H26" i="1"/>
  <c r="N26" i="1" s="1"/>
  <c r="H27" i="1"/>
  <c r="N27" i="1" s="1"/>
  <c r="H28" i="1"/>
  <c r="N28" i="1" s="1"/>
  <c r="H29" i="1"/>
  <c r="N29" i="1" s="1"/>
  <c r="H30" i="1"/>
  <c r="N30" i="1" s="1"/>
  <c r="H31" i="1"/>
  <c r="N31" i="1" s="1"/>
  <c r="H32" i="1"/>
  <c r="N32" i="1" s="1"/>
  <c r="H33" i="1"/>
  <c r="N33" i="1" s="1"/>
  <c r="H34" i="1"/>
  <c r="N34" i="1" s="1"/>
  <c r="H35" i="1"/>
  <c r="N35" i="1" s="1"/>
  <c r="H36" i="1"/>
  <c r="N36" i="1" s="1"/>
  <c r="H37" i="1"/>
  <c r="N37" i="1" s="1"/>
  <c r="H38" i="1"/>
  <c r="N38" i="1" s="1"/>
  <c r="H39" i="1"/>
  <c r="N39" i="1" s="1"/>
  <c r="H40" i="1"/>
  <c r="N40" i="1" s="1"/>
  <c r="H41" i="1"/>
  <c r="N41" i="1" s="1"/>
  <c r="H42" i="1"/>
  <c r="N42" i="1" s="1"/>
  <c r="H43" i="1"/>
  <c r="N43" i="1" s="1"/>
  <c r="H44" i="1"/>
  <c r="N44" i="1" s="1"/>
  <c r="H45" i="1"/>
  <c r="N45" i="1" s="1"/>
  <c r="H46" i="1"/>
  <c r="N46" i="1" s="1"/>
  <c r="H47" i="1"/>
  <c r="N47" i="1" s="1"/>
  <c r="H48" i="1"/>
  <c r="N48" i="1" s="1"/>
  <c r="H49" i="1"/>
  <c r="N49" i="1" s="1"/>
  <c r="H50" i="1"/>
  <c r="N50" i="1" s="1"/>
  <c r="H51" i="1"/>
  <c r="N51" i="1" s="1"/>
  <c r="H52" i="1"/>
  <c r="N52" i="1" s="1"/>
  <c r="H53" i="1"/>
  <c r="N53" i="1" s="1"/>
  <c r="H54" i="1"/>
  <c r="N54" i="1" s="1"/>
  <c r="H55" i="1"/>
  <c r="N55" i="1" s="1"/>
  <c r="H56" i="1"/>
  <c r="N56" i="1" s="1"/>
  <c r="H57" i="1"/>
  <c r="N57" i="1" s="1"/>
  <c r="H58" i="1"/>
  <c r="N58" i="1" s="1"/>
  <c r="H59" i="1"/>
  <c r="N59" i="1" s="1"/>
  <c r="H60" i="1"/>
  <c r="N60" i="1" s="1"/>
  <c r="H61" i="1"/>
  <c r="N61" i="1" s="1"/>
  <c r="H62" i="1"/>
  <c r="N62" i="1" s="1"/>
  <c r="H63" i="1"/>
  <c r="N63" i="1" s="1"/>
  <c r="H64" i="1"/>
  <c r="N64" i="1" s="1"/>
  <c r="H65" i="1"/>
  <c r="N65" i="1" s="1"/>
  <c r="H66" i="1"/>
  <c r="N66" i="1" s="1"/>
  <c r="H67" i="1"/>
  <c r="N67" i="1" s="1"/>
  <c r="H68" i="1"/>
  <c r="N68" i="1" s="1"/>
  <c r="H69" i="1"/>
  <c r="N69" i="1" s="1"/>
  <c r="H70" i="1"/>
  <c r="N70" i="1" s="1"/>
  <c r="H71" i="1"/>
  <c r="N71" i="1" s="1"/>
  <c r="H72" i="1"/>
  <c r="N72" i="1" s="1"/>
  <c r="H73" i="1"/>
  <c r="N73" i="1" s="1"/>
  <c r="H74" i="1"/>
  <c r="N74" i="1" s="1"/>
  <c r="H75" i="1"/>
  <c r="N75" i="1" s="1"/>
  <c r="H76" i="1"/>
  <c r="N76" i="1" s="1"/>
  <c r="H77" i="1"/>
  <c r="N77" i="1" s="1"/>
  <c r="H78" i="1"/>
  <c r="N78" i="1" s="1"/>
  <c r="H79" i="1"/>
  <c r="N79" i="1" s="1"/>
  <c r="H80" i="1"/>
  <c r="N80" i="1" s="1"/>
  <c r="H81" i="1"/>
  <c r="N81" i="1" s="1"/>
  <c r="H82" i="1"/>
  <c r="N82" i="1" s="1"/>
  <c r="H83" i="1"/>
  <c r="N83" i="1" s="1"/>
  <c r="H84" i="1"/>
  <c r="N84" i="1" s="1"/>
  <c r="H85" i="1"/>
  <c r="N85" i="1" s="1"/>
  <c r="H86" i="1"/>
  <c r="N86" i="1" s="1"/>
  <c r="H87" i="1"/>
  <c r="N87" i="1" s="1"/>
  <c r="H88" i="1"/>
  <c r="N88" i="1" s="1"/>
  <c r="H89" i="1"/>
  <c r="N89" i="1" s="1"/>
  <c r="H90" i="1"/>
  <c r="N90" i="1" s="1"/>
  <c r="H91" i="1"/>
  <c r="N91" i="1" s="1"/>
  <c r="H92" i="1"/>
  <c r="N92" i="1" s="1"/>
  <c r="H93" i="1"/>
  <c r="N93" i="1" s="1"/>
  <c r="H94" i="1"/>
  <c r="N94" i="1" s="1"/>
  <c r="H95" i="1"/>
  <c r="N95" i="1" s="1"/>
  <c r="H96" i="1"/>
  <c r="N96" i="1" s="1"/>
  <c r="H97" i="1"/>
  <c r="N97" i="1" s="1"/>
  <c r="H98" i="1"/>
  <c r="N98" i="1" s="1"/>
  <c r="H99" i="1"/>
  <c r="N99" i="1" s="1"/>
  <c r="H100" i="1"/>
  <c r="N100" i="1" s="1"/>
  <c r="H101" i="1"/>
  <c r="N101" i="1" s="1"/>
  <c r="H102" i="1"/>
  <c r="N102" i="1" s="1"/>
  <c r="H103" i="1"/>
  <c r="N103" i="1" s="1"/>
  <c r="H104" i="1"/>
  <c r="N104" i="1" s="1"/>
  <c r="H105" i="1"/>
  <c r="N105" i="1" s="1"/>
  <c r="H106" i="1"/>
  <c r="N106" i="1" s="1"/>
  <c r="H107" i="1"/>
  <c r="N107" i="1" s="1"/>
  <c r="H108" i="1"/>
  <c r="N108" i="1" s="1"/>
  <c r="H109" i="1"/>
  <c r="N109" i="1" s="1"/>
  <c r="H110" i="1"/>
  <c r="N110" i="1" s="1"/>
  <c r="H111" i="1"/>
  <c r="N111" i="1" s="1"/>
  <c r="H112" i="1"/>
  <c r="N112" i="1" s="1"/>
  <c r="H113" i="1"/>
  <c r="N113" i="1" s="1"/>
  <c r="H114" i="1"/>
  <c r="N114" i="1" s="1"/>
  <c r="H115" i="1"/>
  <c r="N115" i="1" s="1"/>
  <c r="H116" i="1"/>
  <c r="N116" i="1" s="1"/>
  <c r="H117" i="1"/>
  <c r="N117" i="1" s="1"/>
  <c r="H118" i="1"/>
  <c r="N118" i="1" s="1"/>
  <c r="H119" i="1"/>
  <c r="N119" i="1" s="1"/>
  <c r="H120" i="1"/>
  <c r="N120" i="1" s="1"/>
  <c r="H121" i="1"/>
  <c r="N121" i="1" s="1"/>
  <c r="H122" i="1"/>
  <c r="N122" i="1" s="1"/>
  <c r="H123" i="1"/>
  <c r="N123" i="1" s="1"/>
  <c r="H124" i="1"/>
  <c r="N124" i="1" s="1"/>
  <c r="H125" i="1"/>
  <c r="N125" i="1" s="1"/>
  <c r="H126" i="1"/>
  <c r="N126" i="1" s="1"/>
  <c r="H127" i="1"/>
  <c r="N127" i="1" s="1"/>
  <c r="H128" i="1"/>
  <c r="N128" i="1" s="1"/>
  <c r="H129" i="1"/>
  <c r="N129" i="1" s="1"/>
  <c r="H130" i="1"/>
  <c r="N130" i="1" s="1"/>
  <c r="H131" i="1"/>
  <c r="N131" i="1" s="1"/>
  <c r="H132" i="1"/>
  <c r="N132" i="1" s="1"/>
  <c r="H133" i="1"/>
  <c r="N133" i="1" s="1"/>
  <c r="H134" i="1"/>
  <c r="N134" i="1" s="1"/>
  <c r="H135" i="1"/>
  <c r="N135" i="1" s="1"/>
  <c r="H136" i="1"/>
  <c r="N136" i="1" s="1"/>
  <c r="H137" i="1"/>
  <c r="N137" i="1" s="1"/>
  <c r="H138" i="1"/>
  <c r="N138" i="1" s="1"/>
  <c r="H139" i="1"/>
  <c r="N139" i="1" s="1"/>
  <c r="H140" i="1"/>
  <c r="N140" i="1" s="1"/>
  <c r="H141" i="1"/>
  <c r="N141" i="1" s="1"/>
  <c r="H142" i="1"/>
  <c r="N142" i="1" s="1"/>
  <c r="H143" i="1"/>
  <c r="N143" i="1" s="1"/>
  <c r="H144" i="1"/>
  <c r="N144" i="1" s="1"/>
  <c r="H145" i="1"/>
  <c r="N145" i="1" s="1"/>
  <c r="H146" i="1"/>
  <c r="N146" i="1" s="1"/>
  <c r="H147" i="1"/>
  <c r="N147" i="1" s="1"/>
  <c r="H148" i="1"/>
  <c r="N148" i="1" s="1"/>
  <c r="H149" i="1"/>
  <c r="N149" i="1" s="1"/>
  <c r="H150" i="1"/>
  <c r="N150" i="1" s="1"/>
  <c r="H151" i="1"/>
  <c r="N151" i="1" s="1"/>
  <c r="H152" i="1"/>
  <c r="N152" i="1" s="1"/>
  <c r="H153" i="1"/>
  <c r="N153" i="1" s="1"/>
  <c r="H154" i="1"/>
  <c r="N154" i="1" s="1"/>
  <c r="H155" i="1"/>
  <c r="N155" i="1" s="1"/>
  <c r="H156" i="1"/>
  <c r="N156" i="1" s="1"/>
  <c r="H157" i="1"/>
  <c r="N157" i="1" s="1"/>
  <c r="H158" i="1"/>
  <c r="N158" i="1" s="1"/>
  <c r="H159" i="1"/>
  <c r="N159" i="1" s="1"/>
  <c r="H160" i="1"/>
  <c r="N160" i="1" s="1"/>
  <c r="H161" i="1"/>
  <c r="N161" i="1" s="1"/>
  <c r="H162" i="1"/>
  <c r="N162" i="1" s="1"/>
  <c r="H163" i="1"/>
  <c r="N163" i="1" s="1"/>
  <c r="H164" i="1"/>
  <c r="N164" i="1" s="1"/>
  <c r="H165" i="1"/>
  <c r="N165" i="1" s="1"/>
  <c r="H166" i="1"/>
  <c r="N166" i="1" s="1"/>
  <c r="H167" i="1"/>
  <c r="N167" i="1" s="1"/>
  <c r="H168" i="1"/>
  <c r="N168" i="1" s="1"/>
  <c r="H169" i="1"/>
  <c r="N169" i="1" s="1"/>
  <c r="H170" i="1"/>
  <c r="N170" i="1" s="1"/>
  <c r="H171" i="1"/>
  <c r="N171" i="1" s="1"/>
  <c r="H172" i="1"/>
  <c r="N172" i="1" s="1"/>
  <c r="H173" i="1"/>
  <c r="N173" i="1" s="1"/>
  <c r="H174" i="1"/>
  <c r="N174" i="1" s="1"/>
  <c r="H175" i="1"/>
  <c r="N175" i="1" s="1"/>
  <c r="H176" i="1"/>
  <c r="N176" i="1" s="1"/>
  <c r="H177" i="1"/>
  <c r="N177" i="1" s="1"/>
  <c r="H178" i="1"/>
  <c r="N178" i="1" s="1"/>
  <c r="H179" i="1"/>
  <c r="N179" i="1" s="1"/>
  <c r="H180" i="1"/>
  <c r="N180" i="1" s="1"/>
  <c r="H181" i="1"/>
  <c r="N181" i="1" s="1"/>
  <c r="H182" i="1"/>
  <c r="N182" i="1" s="1"/>
  <c r="H183" i="1"/>
  <c r="N183" i="1" s="1"/>
  <c r="H184" i="1"/>
  <c r="N184" i="1" s="1"/>
  <c r="H185" i="1"/>
  <c r="N185" i="1" s="1"/>
  <c r="H186" i="1"/>
  <c r="N186" i="1" s="1"/>
  <c r="H187" i="1"/>
  <c r="N187" i="1" s="1"/>
  <c r="H188" i="1"/>
  <c r="N188" i="1" s="1"/>
  <c r="H189" i="1"/>
  <c r="N189" i="1" s="1"/>
  <c r="H190" i="1"/>
  <c r="N190" i="1" s="1"/>
  <c r="H191" i="1"/>
  <c r="N191" i="1" s="1"/>
  <c r="H192" i="1"/>
  <c r="N192" i="1" s="1"/>
  <c r="H193" i="1"/>
  <c r="N193" i="1" s="1"/>
  <c r="H194" i="1"/>
  <c r="N194" i="1" s="1"/>
  <c r="H195" i="1"/>
  <c r="N195" i="1" s="1"/>
  <c r="H196" i="1"/>
  <c r="N196" i="1" s="1"/>
  <c r="H197" i="1"/>
  <c r="N197" i="1" s="1"/>
  <c r="H198" i="1"/>
  <c r="N198" i="1" s="1"/>
  <c r="H199" i="1"/>
  <c r="N199" i="1" s="1"/>
  <c r="H200" i="1"/>
  <c r="N200" i="1" s="1"/>
  <c r="H201" i="1"/>
  <c r="N201" i="1" s="1"/>
  <c r="H202" i="1"/>
  <c r="N202" i="1" s="1"/>
  <c r="H203" i="1"/>
  <c r="N203" i="1" s="1"/>
  <c r="H204" i="1"/>
  <c r="N204" i="1" s="1"/>
  <c r="H205" i="1"/>
  <c r="N205" i="1" s="1"/>
  <c r="H206" i="1"/>
  <c r="N206" i="1" s="1"/>
  <c r="H207" i="1"/>
  <c r="N207" i="1" s="1"/>
  <c r="H208" i="1"/>
  <c r="N208" i="1" s="1"/>
  <c r="H209" i="1"/>
  <c r="N209" i="1" s="1"/>
  <c r="H210" i="1"/>
  <c r="N210" i="1" s="1"/>
  <c r="H211" i="1"/>
  <c r="N211" i="1" s="1"/>
  <c r="H212" i="1"/>
  <c r="N212" i="1" s="1"/>
  <c r="H213" i="1"/>
  <c r="N213" i="1" s="1"/>
  <c r="H214" i="1"/>
  <c r="N214" i="1" s="1"/>
  <c r="H215" i="1"/>
  <c r="N215" i="1" s="1"/>
  <c r="H216" i="1"/>
  <c r="N216" i="1" s="1"/>
  <c r="H217" i="1"/>
  <c r="N217" i="1" s="1"/>
  <c r="H218" i="1"/>
  <c r="N218" i="1" s="1"/>
  <c r="H219" i="1"/>
  <c r="N219" i="1" s="1"/>
  <c r="H220" i="1"/>
  <c r="N220" i="1" s="1"/>
  <c r="H221" i="1"/>
  <c r="N221" i="1" s="1"/>
  <c r="H222" i="1"/>
  <c r="N222" i="1" s="1"/>
  <c r="H223" i="1"/>
  <c r="N223" i="1" s="1"/>
  <c r="H224" i="1"/>
  <c r="N224" i="1" s="1"/>
  <c r="H225" i="1"/>
  <c r="N225" i="1" s="1"/>
  <c r="H226" i="1"/>
  <c r="N226" i="1" s="1"/>
  <c r="H227" i="1"/>
  <c r="N227" i="1" s="1"/>
  <c r="H228" i="1"/>
  <c r="N228" i="1" s="1"/>
  <c r="H229" i="1"/>
  <c r="N229" i="1" s="1"/>
  <c r="H230" i="1"/>
  <c r="N230" i="1" s="1"/>
  <c r="H231" i="1"/>
  <c r="N231" i="1" s="1"/>
  <c r="H232" i="1"/>
  <c r="N232" i="1" s="1"/>
  <c r="H233" i="1"/>
  <c r="N233" i="1" s="1"/>
  <c r="H234" i="1"/>
  <c r="N234" i="1" s="1"/>
  <c r="H235" i="1"/>
  <c r="N235" i="1" s="1"/>
  <c r="H236" i="1"/>
  <c r="N236" i="1" s="1"/>
  <c r="H237" i="1"/>
  <c r="N237" i="1" s="1"/>
  <c r="H238" i="1"/>
  <c r="N238" i="1" s="1"/>
  <c r="H239" i="1"/>
  <c r="N239" i="1" s="1"/>
  <c r="H240" i="1"/>
  <c r="N240" i="1" s="1"/>
  <c r="H241" i="1"/>
  <c r="N241" i="1" s="1"/>
  <c r="H242" i="1"/>
  <c r="N242" i="1" s="1"/>
  <c r="H243" i="1"/>
  <c r="N243" i="1" s="1"/>
  <c r="H244" i="1"/>
  <c r="N244" i="1" s="1"/>
  <c r="H2" i="1"/>
  <c r="N2" i="1" s="1"/>
  <c r="O2" i="1"/>
  <c r="P2" i="1"/>
  <c r="O3" i="1"/>
  <c r="P3" i="1"/>
  <c r="O4" i="1"/>
  <c r="P4" i="1"/>
  <c r="O5" i="1"/>
  <c r="P5" i="1"/>
  <c r="O6" i="1"/>
  <c r="P6" i="1"/>
  <c r="O7" i="1"/>
  <c r="P7" i="1"/>
  <c r="O8" i="1"/>
  <c r="P8" i="1"/>
  <c r="O9" i="1"/>
  <c r="P9" i="1"/>
  <c r="O10" i="1"/>
  <c r="P10" i="1"/>
  <c r="O11" i="1"/>
  <c r="P11" i="1"/>
  <c r="O12" i="1"/>
  <c r="P12" i="1"/>
  <c r="O13" i="1"/>
  <c r="P13" i="1"/>
  <c r="O14" i="1"/>
  <c r="P14" i="1"/>
  <c r="O15" i="1"/>
  <c r="P15" i="1"/>
  <c r="O16" i="1"/>
  <c r="P16" i="1"/>
  <c r="O17" i="1"/>
  <c r="P17" i="1"/>
  <c r="O18" i="1"/>
  <c r="P18" i="1"/>
  <c r="O19" i="1"/>
  <c r="P19" i="1"/>
  <c r="O20" i="1"/>
  <c r="P20" i="1"/>
  <c r="O21" i="1"/>
  <c r="P21" i="1"/>
  <c r="O22" i="1"/>
  <c r="P22" i="1"/>
  <c r="O23" i="1"/>
  <c r="P23" i="1"/>
  <c r="O24" i="1"/>
  <c r="P24" i="1"/>
  <c r="O25" i="1"/>
  <c r="P25" i="1"/>
  <c r="O26" i="1"/>
  <c r="P26" i="1"/>
  <c r="O27" i="1"/>
  <c r="P27" i="1"/>
  <c r="O28" i="1"/>
  <c r="P28" i="1"/>
  <c r="O29" i="1"/>
  <c r="P29" i="1"/>
  <c r="O30" i="1"/>
  <c r="P30" i="1"/>
  <c r="O31" i="1"/>
  <c r="P31" i="1"/>
  <c r="O32" i="1"/>
  <c r="P32" i="1"/>
  <c r="O33" i="1"/>
  <c r="P33" i="1"/>
  <c r="O34" i="1"/>
  <c r="P34" i="1"/>
  <c r="O35" i="1"/>
  <c r="P35" i="1"/>
  <c r="O36" i="1"/>
  <c r="P36" i="1"/>
  <c r="O37" i="1"/>
  <c r="P37" i="1"/>
  <c r="O38" i="1"/>
  <c r="P38" i="1"/>
  <c r="O39" i="1"/>
  <c r="P39" i="1"/>
  <c r="O40" i="1"/>
  <c r="P40" i="1"/>
  <c r="O41" i="1"/>
  <c r="P41" i="1"/>
  <c r="O42" i="1"/>
  <c r="P42" i="1"/>
  <c r="O43" i="1"/>
  <c r="P43" i="1"/>
  <c r="O44" i="1"/>
  <c r="P44" i="1"/>
  <c r="O45" i="1"/>
  <c r="P45" i="1"/>
  <c r="O46" i="1"/>
  <c r="P46" i="1"/>
  <c r="O47" i="1"/>
  <c r="P47" i="1"/>
  <c r="O48" i="1"/>
  <c r="P48" i="1"/>
  <c r="O49" i="1"/>
  <c r="P49" i="1"/>
  <c r="O50" i="1"/>
  <c r="P50" i="1"/>
  <c r="O51" i="1"/>
  <c r="P51" i="1"/>
  <c r="O52" i="1"/>
  <c r="P52" i="1"/>
  <c r="O53" i="1"/>
  <c r="P53" i="1"/>
  <c r="O54" i="1"/>
  <c r="P54" i="1"/>
  <c r="O55" i="1"/>
  <c r="P55" i="1"/>
  <c r="O56" i="1"/>
  <c r="P56" i="1"/>
  <c r="O57" i="1"/>
  <c r="P57" i="1"/>
  <c r="O58" i="1"/>
  <c r="P58" i="1"/>
  <c r="O59" i="1"/>
  <c r="P59" i="1"/>
  <c r="O60" i="1"/>
  <c r="P60" i="1"/>
  <c r="O61" i="1"/>
  <c r="P61" i="1"/>
  <c r="O62" i="1"/>
  <c r="P62" i="1"/>
  <c r="O63" i="1"/>
  <c r="P63" i="1"/>
  <c r="O64" i="1"/>
  <c r="P64" i="1"/>
  <c r="O65" i="1"/>
  <c r="P65" i="1"/>
  <c r="O66" i="1"/>
  <c r="P66" i="1"/>
  <c r="O67" i="1"/>
  <c r="P67" i="1"/>
  <c r="O68" i="1"/>
  <c r="P68" i="1"/>
  <c r="O69" i="1"/>
  <c r="P69" i="1"/>
  <c r="O70" i="1"/>
  <c r="P70" i="1"/>
  <c r="O71" i="1"/>
  <c r="P71" i="1"/>
  <c r="O72" i="1"/>
  <c r="P72" i="1"/>
  <c r="O73" i="1"/>
  <c r="P73" i="1"/>
  <c r="O74" i="1"/>
  <c r="P74" i="1"/>
  <c r="O75" i="1"/>
  <c r="P75" i="1"/>
  <c r="O76" i="1"/>
  <c r="P76" i="1"/>
  <c r="O77" i="1"/>
  <c r="P77" i="1"/>
  <c r="O78" i="1"/>
  <c r="P78" i="1"/>
  <c r="O79" i="1"/>
  <c r="P79" i="1"/>
  <c r="O80" i="1"/>
  <c r="P80" i="1"/>
  <c r="O81" i="1"/>
  <c r="P81" i="1"/>
  <c r="O82" i="1"/>
  <c r="P82" i="1"/>
  <c r="O83" i="1"/>
  <c r="P83" i="1"/>
  <c r="O84" i="1"/>
  <c r="P84" i="1"/>
  <c r="O85" i="1"/>
  <c r="P85" i="1"/>
  <c r="O86" i="1"/>
  <c r="P86" i="1"/>
  <c r="O87" i="1"/>
  <c r="P87" i="1"/>
  <c r="O88" i="1"/>
  <c r="P88" i="1"/>
  <c r="O89" i="1"/>
  <c r="P89" i="1"/>
  <c r="O90" i="1"/>
  <c r="P90" i="1"/>
  <c r="O91" i="1"/>
  <c r="P91" i="1"/>
  <c r="O92" i="1"/>
  <c r="P92" i="1"/>
  <c r="O93" i="1"/>
  <c r="P93" i="1"/>
  <c r="O94" i="1"/>
  <c r="P94" i="1"/>
  <c r="O95" i="1"/>
  <c r="P95" i="1"/>
  <c r="O96" i="1"/>
  <c r="P96" i="1"/>
  <c r="O97" i="1"/>
  <c r="P97" i="1"/>
  <c r="O98" i="1"/>
  <c r="P98" i="1"/>
  <c r="O99" i="1"/>
  <c r="P99" i="1"/>
  <c r="O100" i="1"/>
  <c r="P100" i="1"/>
  <c r="O101" i="1"/>
  <c r="P101" i="1"/>
  <c r="O102" i="1"/>
  <c r="P102" i="1"/>
  <c r="O103" i="1"/>
  <c r="P103" i="1"/>
  <c r="O104" i="1"/>
  <c r="P104" i="1"/>
  <c r="O105" i="1"/>
  <c r="P105" i="1"/>
  <c r="O106" i="1"/>
  <c r="P106" i="1"/>
  <c r="O107" i="1"/>
  <c r="P107" i="1"/>
  <c r="O108" i="1"/>
  <c r="P108" i="1"/>
  <c r="O109" i="1"/>
  <c r="P109" i="1"/>
  <c r="O110" i="1"/>
  <c r="P110" i="1"/>
  <c r="O111" i="1"/>
  <c r="P111" i="1"/>
  <c r="O112" i="1"/>
  <c r="P112" i="1"/>
  <c r="O113" i="1"/>
  <c r="P113" i="1"/>
  <c r="O114" i="1"/>
  <c r="P114" i="1"/>
  <c r="O115" i="1"/>
  <c r="P115" i="1"/>
  <c r="O116" i="1"/>
  <c r="P116" i="1"/>
  <c r="O117" i="1"/>
  <c r="P117" i="1"/>
  <c r="O118" i="1"/>
  <c r="P118" i="1"/>
  <c r="O119" i="1"/>
  <c r="P119" i="1"/>
  <c r="O120" i="1"/>
  <c r="P120" i="1"/>
  <c r="O121" i="1"/>
  <c r="P121" i="1"/>
  <c r="O122" i="1"/>
  <c r="P122" i="1"/>
  <c r="O123" i="1"/>
  <c r="P123" i="1"/>
  <c r="O124" i="1"/>
  <c r="P124" i="1"/>
  <c r="O125" i="1"/>
  <c r="P125" i="1"/>
  <c r="O126" i="1"/>
  <c r="P126" i="1"/>
  <c r="O127" i="1"/>
  <c r="P127" i="1"/>
  <c r="O128" i="1"/>
  <c r="P128" i="1"/>
  <c r="O129" i="1"/>
  <c r="P129" i="1"/>
  <c r="O130" i="1"/>
  <c r="P130" i="1"/>
  <c r="O131" i="1"/>
  <c r="P131" i="1"/>
  <c r="O132" i="1"/>
  <c r="P132" i="1"/>
  <c r="O133" i="1"/>
  <c r="P133" i="1"/>
  <c r="O134" i="1"/>
  <c r="P134" i="1"/>
  <c r="O135" i="1"/>
  <c r="P135" i="1"/>
  <c r="O136" i="1"/>
  <c r="P136" i="1"/>
  <c r="O137" i="1"/>
  <c r="P137" i="1"/>
  <c r="O138" i="1"/>
  <c r="P138" i="1"/>
  <c r="O139" i="1"/>
  <c r="P139" i="1"/>
  <c r="O140" i="1"/>
  <c r="P140" i="1"/>
  <c r="O141" i="1"/>
  <c r="P141" i="1"/>
  <c r="O142" i="1"/>
  <c r="P142" i="1"/>
  <c r="O143" i="1"/>
  <c r="P143" i="1"/>
  <c r="O144" i="1"/>
  <c r="P144" i="1"/>
  <c r="O145" i="1"/>
  <c r="P145" i="1"/>
  <c r="O146" i="1"/>
  <c r="P146" i="1"/>
  <c r="O147" i="1"/>
  <c r="P147" i="1"/>
  <c r="O148" i="1"/>
  <c r="P148" i="1"/>
  <c r="O149" i="1"/>
  <c r="P149" i="1"/>
  <c r="O150" i="1"/>
  <c r="P150" i="1"/>
  <c r="O151" i="1"/>
  <c r="P151" i="1"/>
  <c r="O152" i="1"/>
  <c r="P152" i="1"/>
  <c r="O153" i="1"/>
  <c r="P153" i="1"/>
  <c r="O154" i="1"/>
  <c r="P154" i="1"/>
  <c r="O155" i="1"/>
  <c r="P155" i="1"/>
  <c r="O156" i="1"/>
  <c r="P156" i="1"/>
  <c r="O157" i="1"/>
  <c r="P157" i="1"/>
  <c r="O158" i="1"/>
  <c r="P158" i="1"/>
  <c r="O159" i="1"/>
  <c r="P159" i="1"/>
  <c r="O160" i="1"/>
  <c r="P160" i="1"/>
  <c r="O161" i="1"/>
  <c r="P161" i="1"/>
  <c r="O162" i="1"/>
  <c r="P162" i="1"/>
  <c r="O163" i="1"/>
  <c r="P163" i="1"/>
  <c r="O164" i="1"/>
  <c r="P164" i="1"/>
  <c r="O165" i="1"/>
  <c r="P165" i="1"/>
  <c r="O166" i="1"/>
  <c r="P166" i="1"/>
  <c r="O167" i="1"/>
  <c r="P167" i="1"/>
  <c r="O168" i="1"/>
  <c r="P168" i="1"/>
  <c r="O169" i="1"/>
  <c r="P169" i="1"/>
  <c r="O170" i="1"/>
  <c r="P170" i="1"/>
  <c r="O171" i="1"/>
  <c r="P171" i="1"/>
  <c r="O172" i="1"/>
  <c r="P172" i="1"/>
  <c r="O173" i="1"/>
  <c r="P173" i="1"/>
  <c r="O174" i="1"/>
  <c r="P174" i="1"/>
  <c r="O175" i="1"/>
  <c r="P175" i="1"/>
  <c r="O176" i="1"/>
  <c r="P176" i="1"/>
  <c r="O177" i="1"/>
  <c r="P177" i="1"/>
  <c r="O178" i="1"/>
  <c r="P178" i="1"/>
  <c r="O179" i="1"/>
  <c r="P179" i="1"/>
  <c r="O180" i="1"/>
  <c r="P180" i="1"/>
  <c r="O181" i="1"/>
  <c r="P181" i="1"/>
  <c r="O182" i="1"/>
  <c r="P182" i="1"/>
  <c r="O183" i="1"/>
  <c r="P183" i="1"/>
  <c r="O184" i="1"/>
  <c r="P184" i="1"/>
  <c r="O185" i="1"/>
  <c r="P185" i="1"/>
  <c r="O186" i="1"/>
  <c r="P186" i="1"/>
  <c r="O187" i="1"/>
  <c r="P187" i="1"/>
  <c r="O188" i="1"/>
  <c r="P188" i="1"/>
  <c r="O189" i="1"/>
  <c r="P189" i="1"/>
  <c r="O190" i="1"/>
  <c r="P190" i="1"/>
  <c r="O191" i="1"/>
  <c r="P191" i="1"/>
  <c r="O192" i="1"/>
  <c r="P192" i="1"/>
  <c r="O193" i="1"/>
  <c r="P193" i="1"/>
  <c r="O194" i="1"/>
  <c r="P194" i="1"/>
  <c r="O195" i="1"/>
  <c r="P195" i="1"/>
  <c r="O196" i="1"/>
  <c r="P196" i="1"/>
  <c r="O197" i="1"/>
  <c r="P197" i="1"/>
  <c r="O198" i="1"/>
  <c r="P198" i="1"/>
  <c r="O199" i="1"/>
  <c r="P199" i="1"/>
  <c r="O200" i="1"/>
  <c r="P200" i="1"/>
  <c r="O201" i="1"/>
  <c r="P201" i="1"/>
  <c r="O202" i="1"/>
  <c r="P202" i="1"/>
  <c r="O203" i="1"/>
  <c r="P203" i="1"/>
  <c r="O204" i="1"/>
  <c r="P204" i="1"/>
  <c r="O205" i="1"/>
  <c r="P205" i="1"/>
  <c r="O206" i="1"/>
  <c r="P206" i="1"/>
  <c r="O207" i="1"/>
  <c r="P207" i="1"/>
  <c r="O208" i="1"/>
  <c r="P208" i="1"/>
  <c r="O209" i="1"/>
  <c r="P209" i="1"/>
  <c r="O210" i="1"/>
  <c r="P210" i="1"/>
  <c r="O211" i="1"/>
  <c r="P211" i="1"/>
  <c r="O212" i="1"/>
  <c r="P212" i="1"/>
  <c r="O213" i="1"/>
  <c r="P213" i="1"/>
  <c r="O214" i="1"/>
  <c r="P214" i="1"/>
  <c r="O215" i="1"/>
  <c r="P215" i="1"/>
  <c r="O216" i="1"/>
  <c r="P216" i="1"/>
  <c r="O217" i="1"/>
  <c r="P217" i="1"/>
  <c r="O218" i="1"/>
  <c r="P218" i="1"/>
  <c r="O219" i="1"/>
  <c r="P219" i="1"/>
  <c r="O220" i="1"/>
  <c r="P220" i="1"/>
  <c r="O221" i="1"/>
  <c r="P221" i="1"/>
  <c r="O222" i="1"/>
  <c r="P222" i="1"/>
  <c r="O223" i="1"/>
  <c r="P223" i="1"/>
  <c r="O224" i="1"/>
  <c r="P224" i="1"/>
  <c r="O225" i="1"/>
  <c r="P225" i="1"/>
  <c r="O226" i="1"/>
  <c r="P226" i="1"/>
  <c r="O227" i="1"/>
  <c r="P227" i="1"/>
  <c r="O228" i="1"/>
  <c r="P228" i="1"/>
  <c r="O229" i="1"/>
  <c r="P229" i="1"/>
  <c r="O230" i="1"/>
  <c r="P230" i="1"/>
  <c r="O231" i="1"/>
  <c r="P231" i="1"/>
  <c r="O232" i="1"/>
  <c r="P232" i="1"/>
  <c r="O233" i="1"/>
  <c r="P233" i="1"/>
  <c r="O234" i="1"/>
  <c r="P234" i="1"/>
  <c r="O235" i="1"/>
  <c r="P235" i="1"/>
  <c r="O236" i="1"/>
  <c r="P236" i="1"/>
  <c r="O237" i="1"/>
  <c r="P237" i="1"/>
  <c r="O238" i="1"/>
  <c r="P238" i="1"/>
  <c r="O239" i="1"/>
  <c r="P239" i="1"/>
  <c r="O240" i="1"/>
  <c r="P240" i="1"/>
  <c r="O241" i="1"/>
  <c r="P241" i="1"/>
  <c r="O242" i="1"/>
  <c r="P242" i="1"/>
  <c r="O243" i="1"/>
  <c r="P243" i="1"/>
  <c r="O244" i="1"/>
  <c r="P244" i="1"/>
  <c r="O245" i="1"/>
  <c r="P245" i="1"/>
  <c r="O246" i="1"/>
  <c r="P246" i="1"/>
  <c r="P247" i="1"/>
  <c r="O247" i="1"/>
</calcChain>
</file>

<file path=xl/sharedStrings.xml><?xml version="1.0" encoding="utf-8"?>
<sst xmlns="http://schemas.openxmlformats.org/spreadsheetml/2006/main" count="20000" uniqueCount="1806">
  <si>
    <t>IP_ID</t>
  </si>
  <si>
    <t>Impacts</t>
  </si>
  <si>
    <t>Pressures</t>
  </si>
  <si>
    <t>Impact_Pressure</t>
  </si>
  <si>
    <t>Accretion</t>
  </si>
  <si>
    <t>sediment transport</t>
  </si>
  <si>
    <t>Sediment transport</t>
  </si>
  <si>
    <t>Accretion (sediment transport)</t>
  </si>
  <si>
    <t>Algal bloom</t>
  </si>
  <si>
    <t>eutrophication</t>
  </si>
  <si>
    <t>Eutrophication</t>
  </si>
  <si>
    <t>Algal bloom (eutrophication)</t>
  </si>
  <si>
    <t>high inland water temperatures</t>
  </si>
  <si>
    <t>High inland water temperatures</t>
  </si>
  <si>
    <t>Algal bloom (high inland water temperatures)</t>
  </si>
  <si>
    <t>increased temperature</t>
  </si>
  <si>
    <t>Increased temperature</t>
  </si>
  <si>
    <t>Algal bloom (increased temperature)</t>
  </si>
  <si>
    <t>Algal dieback</t>
  </si>
  <si>
    <t>decreased temperature</t>
  </si>
  <si>
    <t>Decreased temperature</t>
  </si>
  <si>
    <t>Algal dieback (decreased temperature)</t>
  </si>
  <si>
    <t>Bare soil exposure</t>
  </si>
  <si>
    <t>burning</t>
  </si>
  <si>
    <t>Burning</t>
  </si>
  <si>
    <t>Bare soil exposure (burning)</t>
  </si>
  <si>
    <t>erosion</t>
  </si>
  <si>
    <t>Erosion</t>
  </si>
  <si>
    <t>Bare soil exposure (erosion)</t>
  </si>
  <si>
    <t>ploughing</t>
  </si>
  <si>
    <t>Ploughing</t>
  </si>
  <si>
    <t>Bare soil exposure (ploughing)</t>
  </si>
  <si>
    <t>tillage</t>
  </si>
  <si>
    <t>Tillage</t>
  </si>
  <si>
    <t>Bare soil exposure (tillage)</t>
  </si>
  <si>
    <t>inundation following extended drought</t>
  </si>
  <si>
    <t>Inundation following extended drought</t>
  </si>
  <si>
    <t>decreased precipitation</t>
  </si>
  <si>
    <t>Decreased precipitation</t>
  </si>
  <si>
    <t>dam removal</t>
  </si>
  <si>
    <t>Dam removal</t>
  </si>
  <si>
    <t>Building or infrastructure abandonment (dam removal)</t>
  </si>
  <si>
    <t>flooding</t>
  </si>
  <si>
    <t>Flooding</t>
  </si>
  <si>
    <t>Building or infrastructure abandonment (flooding)</t>
  </si>
  <si>
    <t>increased wind</t>
  </si>
  <si>
    <t>Increased wind</t>
  </si>
  <si>
    <t>Building or infrastructure abandonment (increased wind)</t>
  </si>
  <si>
    <t>urban fire</t>
  </si>
  <si>
    <t>Urban fire</t>
  </si>
  <si>
    <t>Building or infrastructure abandonment (urban fire)</t>
  </si>
  <si>
    <t>Compaction</t>
  </si>
  <si>
    <t>increased traffic</t>
  </si>
  <si>
    <t>Increased traffic</t>
  </si>
  <si>
    <t>Compaction (increased traffic)</t>
  </si>
  <si>
    <t>overgrazing (stock)</t>
  </si>
  <si>
    <t>Overgrazing (stock)</t>
  </si>
  <si>
    <t>Compaction (overgrazing (stock))</t>
  </si>
  <si>
    <t>overgrazing (natural)</t>
  </si>
  <si>
    <t>Overgrazing (natural)</t>
  </si>
  <si>
    <t>Compaction (overgrazing (natural))</t>
  </si>
  <si>
    <t>Coral bleaching</t>
  </si>
  <si>
    <t>increased acidity</t>
  </si>
  <si>
    <t>Increased acidity</t>
  </si>
  <si>
    <t>Coral bleaching (increased acidity)</t>
  </si>
  <si>
    <t>Coral damage</t>
  </si>
  <si>
    <t>pathogens</t>
  </si>
  <si>
    <t>Pathogens</t>
  </si>
  <si>
    <t>Coral damage (pathogens)</t>
  </si>
  <si>
    <t>prolonged temperature increase</t>
  </si>
  <si>
    <t>Prolonged temperature increase</t>
  </si>
  <si>
    <t>Coral bleaching (prolonged temperature increase)</t>
  </si>
  <si>
    <t>sedimentation</t>
  </si>
  <si>
    <t>Sedimentation</t>
  </si>
  <si>
    <t>Coral damage (sedimentation)</t>
  </si>
  <si>
    <t>invasive or exotic species</t>
  </si>
  <si>
    <t>Coral damage (invasive or exotic species)</t>
  </si>
  <si>
    <t>Coral recovery</t>
  </si>
  <si>
    <t>decreased acidity</t>
  </si>
  <si>
    <t>Decreased acidity</t>
  </si>
  <si>
    <t>Coral recovery (decreased acidity)</t>
  </si>
  <si>
    <t>prolonged temperature decrease</t>
  </si>
  <si>
    <t>Prolonged temperature decrease</t>
  </si>
  <si>
    <t>Coral recovery (prolonged temperature decrease)</t>
  </si>
  <si>
    <t>Crop change in cultivated lands</t>
  </si>
  <si>
    <t>crop rotation</t>
  </si>
  <si>
    <t>Crop rotation</t>
  </si>
  <si>
    <t>Crop change in cultivated lands (crop rotation)</t>
  </si>
  <si>
    <t>Crop damage</t>
  </si>
  <si>
    <t>drought</t>
  </si>
  <si>
    <t>Drought</t>
  </si>
  <si>
    <t>Crop damage (drought)</t>
  </si>
  <si>
    <t>excess precipitation</t>
  </si>
  <si>
    <t>Excess precipitation</t>
  </si>
  <si>
    <t>Crop damage (excess precipitation)</t>
  </si>
  <si>
    <t>excess rain</t>
  </si>
  <si>
    <t>Excess rain</t>
  </si>
  <si>
    <t>Crop damage (excess rain)</t>
  </si>
  <si>
    <t>Crop damage (flooding)</t>
  </si>
  <si>
    <t>grazing (natural)</t>
  </si>
  <si>
    <t>Grazing (natural)</t>
  </si>
  <si>
    <t>Crop damage (grazing (natural))</t>
  </si>
  <si>
    <t>grazing (stock)</t>
  </si>
  <si>
    <t>Grazing (stock)</t>
  </si>
  <si>
    <t>Crop damage (grazing (stock))</t>
  </si>
  <si>
    <t>Crop damage (increased wind)</t>
  </si>
  <si>
    <t>insect herbivory</t>
  </si>
  <si>
    <t>Insect herbivory</t>
  </si>
  <si>
    <t>Crop damage (insect herbivory)</t>
  </si>
  <si>
    <t>strong winds</t>
  </si>
  <si>
    <t>Strong winds</t>
  </si>
  <si>
    <t>Crop damage (strong winds)</t>
  </si>
  <si>
    <t>Crop establishment</t>
  </si>
  <si>
    <t>planting</t>
  </si>
  <si>
    <t>Planting</t>
  </si>
  <si>
    <t>Crop establishment (planting)</t>
  </si>
  <si>
    <t>Cropland gain</t>
  </si>
  <si>
    <t>agricultural expansion</t>
  </si>
  <si>
    <t>Agricultural expansion</t>
  </si>
  <si>
    <t>Cropland gain (agricultural expansion)</t>
  </si>
  <si>
    <t>farmland creation</t>
  </si>
  <si>
    <t>Farmland creation</t>
  </si>
  <si>
    <t>Cropland gain (farmland creation)</t>
  </si>
  <si>
    <t>Cropland loss</t>
  </si>
  <si>
    <t>agricultural loss</t>
  </si>
  <si>
    <t>Agricultural loss</t>
  </si>
  <si>
    <t>Cropland loss (agricultural loss)</t>
  </si>
  <si>
    <t>animal stock change</t>
  </si>
  <si>
    <t>Animal stock change</t>
  </si>
  <si>
    <t>Cropland loss (animal stock change)</t>
  </si>
  <si>
    <t>fallowing</t>
  </si>
  <si>
    <t>Fallowing</t>
  </si>
  <si>
    <t>Cropland loss (fallowing)</t>
  </si>
  <si>
    <t>farmland abandonment</t>
  </si>
  <si>
    <t>Farmland abandonment</t>
  </si>
  <si>
    <t>Cropland loss (farmland abandonment)</t>
  </si>
  <si>
    <t>idle or fallow in rotation</t>
  </si>
  <si>
    <t>Idle or fallow in rotation</t>
  </si>
  <si>
    <t>Cropland loss (idle or fallow in rotation)</t>
  </si>
  <si>
    <t>Deglaciation</t>
  </si>
  <si>
    <t>Deglaciation (prolonged temperature increase)</t>
  </si>
  <si>
    <t>Desalinisation</t>
  </si>
  <si>
    <t>gypsum application</t>
  </si>
  <si>
    <t>Gypsum application</t>
  </si>
  <si>
    <t>Desalinisation (gypsum application)</t>
  </si>
  <si>
    <t>Desertification</t>
  </si>
  <si>
    <t>Desertification (prolonged temperature increase)</t>
  </si>
  <si>
    <t>Elevation change</t>
  </si>
  <si>
    <t>deposition</t>
  </si>
  <si>
    <t>Deposition</t>
  </si>
  <si>
    <t>Elevation change (deposition)</t>
  </si>
  <si>
    <t>earthquake</t>
  </si>
  <si>
    <t>Earthquake</t>
  </si>
  <si>
    <t>Elevation change (earthquake)</t>
  </si>
  <si>
    <t>landslide</t>
  </si>
  <si>
    <t>Landslide</t>
  </si>
  <si>
    <t>Elevation change (landslide)</t>
  </si>
  <si>
    <t>mining</t>
  </si>
  <si>
    <t>Mining</t>
  </si>
  <si>
    <t>Elevation change (mining)</t>
  </si>
  <si>
    <t>subsidence</t>
  </si>
  <si>
    <t>Subsidence</t>
  </si>
  <si>
    <t>Elevation change (subsidence)</t>
  </si>
  <si>
    <t>waste dumping</t>
  </si>
  <si>
    <t>Waste dumping</t>
  </si>
  <si>
    <t>Elevation change (waste dumping)</t>
  </si>
  <si>
    <t>construction</t>
  </si>
  <si>
    <t>Construction</t>
  </si>
  <si>
    <t>Erosion (construction)</t>
  </si>
  <si>
    <t>Erosion (excess precipitation)</t>
  </si>
  <si>
    <t>frost</t>
  </si>
  <si>
    <t>Frost</t>
  </si>
  <si>
    <t>Erosion (frost)</t>
  </si>
  <si>
    <t>Erosion (increased traffic)</t>
  </si>
  <si>
    <t>Erosion (increased wind)</t>
  </si>
  <si>
    <t>sea level fluctuation</t>
  </si>
  <si>
    <t>Sea level fluctuation</t>
  </si>
  <si>
    <t>Erosion (sea level fluctuation)</t>
  </si>
  <si>
    <t>topsoil removal</t>
  </si>
  <si>
    <t>Topsoil removal</t>
  </si>
  <si>
    <t>Erosion (topsoil removal)</t>
  </si>
  <si>
    <t>water movement change</t>
  </si>
  <si>
    <t>Water movement change</t>
  </si>
  <si>
    <t>Erosion (water movement change)</t>
  </si>
  <si>
    <t>wave action</t>
  </si>
  <si>
    <t>Wave action</t>
  </si>
  <si>
    <t>Erosion (wave action)</t>
  </si>
  <si>
    <t>Flooding (excess rain)</t>
  </si>
  <si>
    <t>Flooding (excess snow)</t>
  </si>
  <si>
    <t>Geomorphological change</t>
  </si>
  <si>
    <t>Geomorphological change (mining)</t>
  </si>
  <si>
    <t>Glaciation</t>
  </si>
  <si>
    <t>Glaciation (prolonged temperature decrease)</t>
  </si>
  <si>
    <t>Greening</t>
  </si>
  <si>
    <t>increased precipitation</t>
  </si>
  <si>
    <t>Increased precipitation</t>
  </si>
  <si>
    <t>Greening (increased precipitation)</t>
  </si>
  <si>
    <t>Increased sediment load</t>
  </si>
  <si>
    <t>Increased sediment load (sediment transport)</t>
  </si>
  <si>
    <t>Inundation</t>
  </si>
  <si>
    <t>Lava flow</t>
  </si>
  <si>
    <t>volcanic eruption</t>
  </si>
  <si>
    <t>Volcanic eruption</t>
  </si>
  <si>
    <t>Lava flow (volcanic eruption)</t>
  </si>
  <si>
    <t>Leaf scorch</t>
  </si>
  <si>
    <t>Leaf scorch (strong winds)</t>
  </si>
  <si>
    <t>Mine abandonment</t>
  </si>
  <si>
    <t>reduced investment</t>
  </si>
  <si>
    <t>Reduced investment</t>
  </si>
  <si>
    <t>Mine abandonment (reduced investment)</t>
  </si>
  <si>
    <t>Mine expansion</t>
  </si>
  <si>
    <t>increased investment</t>
  </si>
  <si>
    <t>Increased investment</t>
  </si>
  <si>
    <t>Mine expansion (increased investment)</t>
  </si>
  <si>
    <t>Mine construction</t>
  </si>
  <si>
    <t>Natural surface gain</t>
  </si>
  <si>
    <t>Natural surface gain (deposition)</t>
  </si>
  <si>
    <t>urban rehabilitation</t>
  </si>
  <si>
    <t>Urban rehabilitation</t>
  </si>
  <si>
    <t>Natural surface gain (urban rehabilitation)</t>
  </si>
  <si>
    <t>Natural surface loss</t>
  </si>
  <si>
    <t>Natural surface loss (mining)</t>
  </si>
  <si>
    <t>snowfall</t>
  </si>
  <si>
    <t>Snowfall</t>
  </si>
  <si>
    <t>snowmelt</t>
  </si>
  <si>
    <t>Snowmelt</t>
  </si>
  <si>
    <t>Net snow gain (extent) (snowfall)</t>
  </si>
  <si>
    <t>Net snow loss (extent) (snowmelt)</t>
  </si>
  <si>
    <t>Net snow gain (hydroperiod) (prolonged temperature decrease)</t>
  </si>
  <si>
    <t>Net snow loss (hydroperiod) (prolonged temperature increase)</t>
  </si>
  <si>
    <t>Phenological change</t>
  </si>
  <si>
    <t>natural diurnal and seasonal cycles</t>
  </si>
  <si>
    <t>Natural diurnal and seasonal cycles</t>
  </si>
  <si>
    <t>Phenological change (natural diurnal and seasonal cycles)</t>
  </si>
  <si>
    <t>Railway or road abandonment</t>
  </si>
  <si>
    <t>Railway or road abandonment (reduced investment)</t>
  </si>
  <si>
    <t>Railway or road construction</t>
  </si>
  <si>
    <t>Railway or road construction (increased investment)</t>
  </si>
  <si>
    <t>Receding flood</t>
  </si>
  <si>
    <t>Salinisation</t>
  </si>
  <si>
    <t>evaporation</t>
  </si>
  <si>
    <t>Evaporation</t>
  </si>
  <si>
    <t>Salinisation (evaporation)</t>
  </si>
  <si>
    <t>Sea ice decrease</t>
  </si>
  <si>
    <t>Sea ice decrease (prolonged temperature increase)</t>
  </si>
  <si>
    <t>Sea ice increase</t>
  </si>
  <si>
    <t>Sea ice increase (prolonged temperature decrease)</t>
  </si>
  <si>
    <t>Sea level fall</t>
  </si>
  <si>
    <t>ocean-atmosphere oscillations</t>
  </si>
  <si>
    <t>Ocean-atmosphere oscillations</t>
  </si>
  <si>
    <t>Sea level fall (ocean-atmosphere oscillations)</t>
  </si>
  <si>
    <t>Sea level rise</t>
  </si>
  <si>
    <t>melting ice sheets/glaciers</t>
  </si>
  <si>
    <t>Melting ice sheets/glaciers</t>
  </si>
  <si>
    <t>Sea level rise (melting ice sheets/glaciers)</t>
  </si>
  <si>
    <t>thermal expansion</t>
  </si>
  <si>
    <t>Thermal expansion</t>
  </si>
  <si>
    <t>Sea level rise (thermal expansion)</t>
  </si>
  <si>
    <t>dredging</t>
  </si>
  <si>
    <t>Dredging</t>
  </si>
  <si>
    <t>Sedimentation (dredging)</t>
  </si>
  <si>
    <t>Sink hole (subsidence)</t>
  </si>
  <si>
    <t>Snow accumulation</t>
  </si>
  <si>
    <t>Snow accumulation (snowfall)</t>
  </si>
  <si>
    <t>Snow melt</t>
  </si>
  <si>
    <t>Snow melt (increased temperature)</t>
  </si>
  <si>
    <t>Urban area loss</t>
  </si>
  <si>
    <t>Urban area loss (earthquake)</t>
  </si>
  <si>
    <t>Urban area loss (flooding)</t>
  </si>
  <si>
    <t>tropical cyclone</t>
  </si>
  <si>
    <t>Tropical cyclone</t>
  </si>
  <si>
    <t>Urban area loss (tropical cyclone)</t>
  </si>
  <si>
    <t>Urban damage</t>
  </si>
  <si>
    <t>Urban damage (flooding)</t>
  </si>
  <si>
    <t>Urban damage (increased wind)</t>
  </si>
  <si>
    <t>Urban damage (urban fire)</t>
  </si>
  <si>
    <t>Urban decay</t>
  </si>
  <si>
    <t>dam failure</t>
  </si>
  <si>
    <t>Dam failure</t>
  </si>
  <si>
    <t>Urban decay (dam failure)</t>
  </si>
  <si>
    <t>mine abandonment</t>
  </si>
  <si>
    <t>Urban decay (mine abandonment)</t>
  </si>
  <si>
    <t>Urban decay (subsidence)</t>
  </si>
  <si>
    <t>Urban densification</t>
  </si>
  <si>
    <t>Urban densification (construction)</t>
  </si>
  <si>
    <t>Urban development</t>
  </si>
  <si>
    <t>levelling</t>
  </si>
  <si>
    <t>Levelling</t>
  </si>
  <si>
    <t>Urban development (levelling)</t>
  </si>
  <si>
    <t>Urban growth</t>
  </si>
  <si>
    <t>Urban growth (construction)</t>
  </si>
  <si>
    <t>Urban renewal</t>
  </si>
  <si>
    <t>repairing damage</t>
  </si>
  <si>
    <t>Repairing damage</t>
  </si>
  <si>
    <t>Urban renewal (repairing damage)</t>
  </si>
  <si>
    <t>Urban sprawl</t>
  </si>
  <si>
    <t>Urban sprawl (construction)</t>
  </si>
  <si>
    <t>Vegetation damage</t>
  </si>
  <si>
    <t>bushfire</t>
  </si>
  <si>
    <t>Bushfire</t>
  </si>
  <si>
    <t>Vegetation damage (bushfire)</t>
  </si>
  <si>
    <t>Vegetation damage (excess precipitation)</t>
  </si>
  <si>
    <t>Vegetation damage (excess rain)</t>
  </si>
  <si>
    <t>Vegetation damage (flooding)</t>
  </si>
  <si>
    <t>Vegetation damage (frost)</t>
  </si>
  <si>
    <t>Vegetation damage (increased wind)</t>
  </si>
  <si>
    <t>mechanical intervention</t>
  </si>
  <si>
    <t>Mechanical intervention</t>
  </si>
  <si>
    <t>Vegetation damage (mechanical intervention)</t>
  </si>
  <si>
    <t>prescribed burn</t>
  </si>
  <si>
    <t>Prescribed burn</t>
  </si>
  <si>
    <t>Vegetation damage (prescribed burn)</t>
  </si>
  <si>
    <t>prolonged snow cover</t>
  </si>
  <si>
    <t>Prolonged snow cover</t>
  </si>
  <si>
    <t>Vegetation damage (prolonged snow cover)</t>
  </si>
  <si>
    <t>severe thunderstorm</t>
  </si>
  <si>
    <t>Severe thunderstorm</t>
  </si>
  <si>
    <t>Vegetation damage (severe thunderstorm)</t>
  </si>
  <si>
    <t>Vegetation damage (strong winds)</t>
  </si>
  <si>
    <t>Vegetation dieback</t>
  </si>
  <si>
    <t>anchoring</t>
  </si>
  <si>
    <t>Anchoring</t>
  </si>
  <si>
    <t>Vegetation dieback (anchoring)</t>
  </si>
  <si>
    <t>cold snap</t>
  </si>
  <si>
    <t>Cold snap</t>
  </si>
  <si>
    <t>Vegetation dieback (cold snap)</t>
  </si>
  <si>
    <t>Vegetation dieback (drought)</t>
  </si>
  <si>
    <t>heatwave</t>
  </si>
  <si>
    <t>Heatwave</t>
  </si>
  <si>
    <t>Vegetation dieback (heatwave)</t>
  </si>
  <si>
    <t>non-insect herbivory (natural)</t>
  </si>
  <si>
    <t>Non-insect herbivory (natural)</t>
  </si>
  <si>
    <t>Vegetation dieback (non-insect herbivory (natural))</t>
  </si>
  <si>
    <t>Vegetation dieback (increased wind)</t>
  </si>
  <si>
    <t>Vegetation dieback (pathogens)</t>
  </si>
  <si>
    <t>pollution</t>
  </si>
  <si>
    <t>Pollution</t>
  </si>
  <si>
    <t>Vegetation dieback (pollution)</t>
  </si>
  <si>
    <t>prolonged inundation</t>
  </si>
  <si>
    <t>Prolonged inundation</t>
  </si>
  <si>
    <t>Vegetation dieback (prolonged inundation)</t>
  </si>
  <si>
    <t>Vegetation dieback (prolonged snow cover)</t>
  </si>
  <si>
    <t>water salinisation</t>
  </si>
  <si>
    <t>Water salinisation</t>
  </si>
  <si>
    <t>Vegetation dieback (water salinisation)</t>
  </si>
  <si>
    <t>Vegetation dieback (sea level fluctuation)</t>
  </si>
  <si>
    <t>soil salinisation</t>
  </si>
  <si>
    <t>Soil salinisation</t>
  </si>
  <si>
    <t>Vegetation dieback (soil salinisation)</t>
  </si>
  <si>
    <t>thinning</t>
  </si>
  <si>
    <t>Thinning</t>
  </si>
  <si>
    <t>Vegetation gain (amount) (thinning)</t>
  </si>
  <si>
    <t>afforestation</t>
  </si>
  <si>
    <t>Afforestation</t>
  </si>
  <si>
    <t>Vegetation gain (amount) (afforestation)</t>
  </si>
  <si>
    <t>bushfire recovery</t>
  </si>
  <si>
    <t>Bushfire recovery</t>
  </si>
  <si>
    <t>Vegetation gain (amount) (bushfire recovery)</t>
  </si>
  <si>
    <t>ecological restoration</t>
  </si>
  <si>
    <t>Ecological restoration</t>
  </si>
  <si>
    <t>Vegetation gain (amount) (ecological restoration)</t>
  </si>
  <si>
    <t>encroachment</t>
  </si>
  <si>
    <t>Encroachment</t>
  </si>
  <si>
    <t>Vegetation gain (amount) (encroachment)</t>
  </si>
  <si>
    <t>Vegetation gain (amount) (farmland abandonment)</t>
  </si>
  <si>
    <t>fertiliser application</t>
  </si>
  <si>
    <t>Fertiliser application</t>
  </si>
  <si>
    <t>Vegetation gain (amount) (fertiliser application)</t>
  </si>
  <si>
    <t>growth</t>
  </si>
  <si>
    <t>Growth</t>
  </si>
  <si>
    <t>Vegetation gain (amount) (growth)</t>
  </si>
  <si>
    <t>reduced or cessation of grazing</t>
  </si>
  <si>
    <t>Reduced or cessation of grazing</t>
  </si>
  <si>
    <t>Vegetation gain (amount) (reduced or cessation of grazing)</t>
  </si>
  <si>
    <t>reforestationnatural</t>
  </si>
  <si>
    <t>reforestationplantations</t>
  </si>
  <si>
    <t>regrowth</t>
  </si>
  <si>
    <t>Regrowth</t>
  </si>
  <si>
    <t>removal of herbivores</t>
  </si>
  <si>
    <t>Removal of herbivores</t>
  </si>
  <si>
    <t>Vegetation gain (amount) (removal of herbivores)</t>
  </si>
  <si>
    <t>revegetation</t>
  </si>
  <si>
    <t>Revegetation</t>
  </si>
  <si>
    <t>Vegetation gain (amount) (revegetation)</t>
  </si>
  <si>
    <t>urban greening</t>
  </si>
  <si>
    <t>Urban greening</t>
  </si>
  <si>
    <t>Vegetation gain (amount) (urban greening)</t>
  </si>
  <si>
    <t>vegetation thickening</t>
  </si>
  <si>
    <t>Vegetation thickening</t>
  </si>
  <si>
    <t>Vegetation gain (amount) (vegetation thickening)</t>
  </si>
  <si>
    <t>Vegetation gain (extent) (afforestation)</t>
  </si>
  <si>
    <t>colonisation</t>
  </si>
  <si>
    <t>Colonisation</t>
  </si>
  <si>
    <t>Vegetation gain (extent) (colonisation)</t>
  </si>
  <si>
    <t>Vegetation gain (extent) (ecological restoration)</t>
  </si>
  <si>
    <t>greenspace construction</t>
  </si>
  <si>
    <t>Greenspace construction</t>
  </si>
  <si>
    <t>Vegetation gain (extent) (greenspace construction)</t>
  </si>
  <si>
    <t>mine site rehabilitation</t>
  </si>
  <si>
    <t>Mine site rehabilitation</t>
  </si>
  <si>
    <t>Vegetation gain (extent) (mine site rehabilitation)</t>
  </si>
  <si>
    <t>Vegetation gain (extent) (planting)</t>
  </si>
  <si>
    <t>rehabilitation</t>
  </si>
  <si>
    <t>Rehabilitation</t>
  </si>
  <si>
    <t>Vegetation gain (extent) (revegetation)</t>
  </si>
  <si>
    <t>Vegetation gain (extent) (snowmelt)</t>
  </si>
  <si>
    <t>Vegetation gain (extent) (decreased wave action)</t>
  </si>
  <si>
    <t>Vegetation health deterioration</t>
  </si>
  <si>
    <t>abandonment of fertilizer application</t>
  </si>
  <si>
    <t>Abandonment of fertilizer application</t>
  </si>
  <si>
    <t>Vegetation health deterioration (abandonment of fertilizer application)</t>
  </si>
  <si>
    <t>decreased nutrient supply in soil</t>
  </si>
  <si>
    <t>Decreased nutrient supply in soil</t>
  </si>
  <si>
    <t>Vegetation health deterioration (decreased nutrient supply in soil)</t>
  </si>
  <si>
    <t>Vegetation health improvement</t>
  </si>
  <si>
    <t>Vegetation health improvement (fertiliser application)</t>
  </si>
  <si>
    <t>increased nutrient supply</t>
  </si>
  <si>
    <t>irrigation</t>
  </si>
  <si>
    <t>Irrigation</t>
  </si>
  <si>
    <t>Vegetation health improvement (irrigation)</t>
  </si>
  <si>
    <t>Vegetation loss (extent) (bushfire)</t>
  </si>
  <si>
    <t>deforestation</t>
  </si>
  <si>
    <t>Deforestation</t>
  </si>
  <si>
    <t>Vegetation loss (extent) (deforestation)</t>
  </si>
  <si>
    <t>Vegetation loss (extent) (drought)</t>
  </si>
  <si>
    <t>Vegetation loss (extent) (excess rain)</t>
  </si>
  <si>
    <t>Vegetation loss (extent) (farmland abandonment)</t>
  </si>
  <si>
    <t>Vegetation loss (extent) (flooding)</t>
  </si>
  <si>
    <t>land reclamation</t>
  </si>
  <si>
    <t>Land reclamation</t>
  </si>
  <si>
    <t>Vegetation loss (extent) (land reclamation)</t>
  </si>
  <si>
    <t>sea defence construction</t>
  </si>
  <si>
    <t>Sea defence construction</t>
  </si>
  <si>
    <t>Vegetation loss (extent) (severe thunderstorm)</t>
  </si>
  <si>
    <t>Vegetation loss (extent) (strong winds)</t>
  </si>
  <si>
    <t>vegetation clearance</t>
  </si>
  <si>
    <t>Vegetation clearance</t>
  </si>
  <si>
    <t>Vegetation loss (extent) (vegetation clearance)</t>
  </si>
  <si>
    <t>Vegetation loss (extent) (wave action)</t>
  </si>
  <si>
    <t>Vegetation reduction (amount) (bushfire)</t>
  </si>
  <si>
    <t>coppicing</t>
  </si>
  <si>
    <t>Coppicing</t>
  </si>
  <si>
    <t>Vegetation reduction (amount) (coppicing)</t>
  </si>
  <si>
    <t>Vegetation reduction (amount) (decreased nutrient supply in soil)</t>
  </si>
  <si>
    <t>Vegetation reduction (amount) (farmland abandonment)</t>
  </si>
  <si>
    <t>fuelwood collection</t>
  </si>
  <si>
    <t>Fuelwood collection</t>
  </si>
  <si>
    <t>Vegetation reduction (amount) (fuelwood collection)</t>
  </si>
  <si>
    <t>harvesting</t>
  </si>
  <si>
    <t>Harvesting</t>
  </si>
  <si>
    <t>Vegetation reduction (amount) (harvesting)</t>
  </si>
  <si>
    <t>Vegetation reduction (amount) (non-insect herbivory (natural))</t>
  </si>
  <si>
    <t>Vegetation reduction (amount) (insect herbivory)</t>
  </si>
  <si>
    <t>mowing</t>
  </si>
  <si>
    <t>Mowing</t>
  </si>
  <si>
    <t>Vegetation reduction (amount) (mowing)</t>
  </si>
  <si>
    <t>Vegetation reduction (amount) (overgrazing (stock))</t>
  </si>
  <si>
    <t>Vegetation reduction (amount) (overgrazing (natural))</t>
  </si>
  <si>
    <t>Vegetation reduction (amount) (prescribed burn)</t>
  </si>
  <si>
    <t>Vegetation reduction (amount) (sedimentation)</t>
  </si>
  <si>
    <t>selective logging</t>
  </si>
  <si>
    <t>Selective logging</t>
  </si>
  <si>
    <t>Vegetation reduction (amount) (selective logging)</t>
  </si>
  <si>
    <t>stubble burn</t>
  </si>
  <si>
    <t>Stubble burn</t>
  </si>
  <si>
    <t>Vegetation reduction (amount) (stubble burn)</t>
  </si>
  <si>
    <t>Vegetation reduction (amount) (thinning)</t>
  </si>
  <si>
    <t>Vegetation reduction in understorey (amount) (non-insect herbivory (natural))</t>
  </si>
  <si>
    <t>Vegetation reduction in understorey (amount) (grazing (natural))</t>
  </si>
  <si>
    <t>Vegetation reduction in understorey (amount) (grazing (stock))</t>
  </si>
  <si>
    <t>Vegetation species change</t>
  </si>
  <si>
    <t>amenity development</t>
  </si>
  <si>
    <t>Amenity development</t>
  </si>
  <si>
    <t>Vegetation species change (amenity development)</t>
  </si>
  <si>
    <t>atmospheric deposition</t>
  </si>
  <si>
    <t>Atmospheric deposition</t>
  </si>
  <si>
    <t>Vegetation species change (atmospheric deposition)</t>
  </si>
  <si>
    <t>control of invasive or exotic species</t>
  </si>
  <si>
    <t>Control of invasive or exotic species</t>
  </si>
  <si>
    <t>Vegetation species change (control of invasive or exotic species)</t>
  </si>
  <si>
    <t>Vegetation species change (decreased acidity)</t>
  </si>
  <si>
    <t>decreased alkalinity</t>
  </si>
  <si>
    <t>Decreased alkalinity</t>
  </si>
  <si>
    <t>Vegetation species change (decreased alkalinity)</t>
  </si>
  <si>
    <t>Vegetation species change (decreased nutrient supply in soil)</t>
  </si>
  <si>
    <t>Vegetation species change (flooding)</t>
  </si>
  <si>
    <t>Vegetation species change (grazing (stock))</t>
  </si>
  <si>
    <t>Vegetation species change (grazing (natural))</t>
  </si>
  <si>
    <t>ground water recharge</t>
  </si>
  <si>
    <t>Ground water recharge</t>
  </si>
  <si>
    <t>Vegetation species change (ground water recharge)</t>
  </si>
  <si>
    <t>ground water extraction</t>
  </si>
  <si>
    <t>Ground water extraction</t>
  </si>
  <si>
    <t>Vegetation species change (ground water extraction)</t>
  </si>
  <si>
    <t>pesticide application</t>
  </si>
  <si>
    <t>Pesticide application</t>
  </si>
  <si>
    <t>Vegetation species change (pesticide application)</t>
  </si>
  <si>
    <t>Vegetation species change (increased acidity)</t>
  </si>
  <si>
    <t>increased alkalinity</t>
  </si>
  <si>
    <t>Increased alkalinity</t>
  </si>
  <si>
    <t>Vegetation species change (increased alkalinity)</t>
  </si>
  <si>
    <t>increased nutrient supply in soil</t>
  </si>
  <si>
    <t>Increased nutrient supply in soil</t>
  </si>
  <si>
    <t>Vegetation species change (increased nutrient supply in soil)</t>
  </si>
  <si>
    <t>invasive/exotic species</t>
  </si>
  <si>
    <t>Invasive/exotic species</t>
  </si>
  <si>
    <t>Vegetation species change (invasive/exotic species)</t>
  </si>
  <si>
    <t>Vegetation species change (overgrazing (stock))</t>
  </si>
  <si>
    <t>Vegetation species change (overgrazing (natural))</t>
  </si>
  <si>
    <t>Vegetation species change (pathogens)</t>
  </si>
  <si>
    <t>Vegetation species change (prolonged inundation)</t>
  </si>
  <si>
    <t>Vegetation species change (burning)</t>
  </si>
  <si>
    <t>succession</t>
  </si>
  <si>
    <t>Succession</t>
  </si>
  <si>
    <t>Vegetation species change (succession)</t>
  </si>
  <si>
    <t>undergrazing (stock)</t>
  </si>
  <si>
    <t>Undergrazing (stock)</t>
  </si>
  <si>
    <t>Vegetation species change (undergrazing (stock))</t>
  </si>
  <si>
    <t>undergrazing (natural)</t>
  </si>
  <si>
    <t>Undergrazing (natural)</t>
  </si>
  <si>
    <t>Vegetation species change (undergrazing (natural))</t>
  </si>
  <si>
    <t>Vegetation species change (pollution)</t>
  </si>
  <si>
    <t>Water depth decrease</t>
  </si>
  <si>
    <t>abstraction</t>
  </si>
  <si>
    <t>Abstraction</t>
  </si>
  <si>
    <t>Water depth decrease (abstraction)</t>
  </si>
  <si>
    <t>Water depth decrease (dam failure)</t>
  </si>
  <si>
    <t>Water depth decrease (dam removal)</t>
  </si>
  <si>
    <t>Water depth decrease (deposition)</t>
  </si>
  <si>
    <t>Water depth decrease (evaporation)</t>
  </si>
  <si>
    <t>Water depth increase</t>
  </si>
  <si>
    <t>Water depth increase (construction)</t>
  </si>
  <si>
    <t>Water depth increase (dredging)</t>
  </si>
  <si>
    <t>Water depth increase (flooding)</t>
  </si>
  <si>
    <t>Water depth increase (sea level fluctuation)</t>
  </si>
  <si>
    <t>Water depth increase (snowmelt)</t>
  </si>
  <si>
    <t>aquaculture expansion</t>
  </si>
  <si>
    <t>Aquaculture expansion</t>
  </si>
  <si>
    <t>Water gain (extent) (aquaculture expansion)</t>
  </si>
  <si>
    <t>Water gain (extent) (excess precipitation)</t>
  </si>
  <si>
    <t>Water gain (extent) (flooding)</t>
  </si>
  <si>
    <t>storm surge</t>
  </si>
  <si>
    <t>Storm surge</t>
  </si>
  <si>
    <t>Water gain (extent) (storm surge)</t>
  </si>
  <si>
    <t>wetland restoration and/or construction.</t>
  </si>
  <si>
    <t>Wetland restoration and/or construction.</t>
  </si>
  <si>
    <t>aquaculture loss</t>
  </si>
  <si>
    <t>Aquaculture loss</t>
  </si>
  <si>
    <t>Water loss (extent) (aquaculture loss)</t>
  </si>
  <si>
    <t>drying</t>
  </si>
  <si>
    <t>Drying</t>
  </si>
  <si>
    <t>Water loss (extent) (drying)</t>
  </si>
  <si>
    <t>Water loss (extent) (land reclamation)</t>
  </si>
  <si>
    <t>reduced snowfall</t>
  </si>
  <si>
    <t>Reduced snowfall</t>
  </si>
  <si>
    <t>Water loss (extent) (reduced snowfall)</t>
  </si>
  <si>
    <t>wetland drainage</t>
  </si>
  <si>
    <t>Wetland drainage</t>
  </si>
  <si>
    <t>Water loss (extent) (wetland drainage)</t>
  </si>
  <si>
    <t>Water quality change</t>
  </si>
  <si>
    <t>fracking</t>
  </si>
  <si>
    <t>Fracking</t>
  </si>
  <si>
    <t>Water quality change (fracking)</t>
  </si>
  <si>
    <t>nutrification</t>
  </si>
  <si>
    <t>Nutrification</t>
  </si>
  <si>
    <t>Water quality change (nutrification)</t>
  </si>
  <si>
    <t>Water quality change (pollution)</t>
  </si>
  <si>
    <t>Pressure_ID</t>
  </si>
  <si>
    <t>Progressive submergence of land or structures through flooding.</t>
  </si>
  <si>
    <t>Progressive submergence of land or structures through flooding and following an extended period of drought.</t>
  </si>
  <si>
    <t>Reduced runoff post flood</t>
  </si>
  <si>
    <t>Reforestation (native)</t>
  </si>
  <si>
    <t>Reforestation (plantations)</t>
  </si>
  <si>
    <t>Irregular rise and fall of sea level.</t>
  </si>
  <si>
    <t>Creation of infrastructure for the purpose of coastal protection.</t>
  </si>
  <si>
    <t>Variation in temperature</t>
  </si>
  <si>
    <t>Fluctuations in temperature around a reference level that can be anomalous.</t>
  </si>
  <si>
    <t>Weed invasion</t>
  </si>
  <si>
    <t>Buildings dehabited or no longer in use.</t>
  </si>
  <si>
    <t>Re-instatement of the previous extent or health of reef-building corals.</t>
  </si>
  <si>
    <t>Planting of crops in an area on ploughed land.</t>
  </si>
  <si>
    <t>The uncovering of glaciated land because of melting or sublimation of the glacier.</t>
  </si>
  <si>
    <t>Reduction in the productivity of the land that is not reversible.</t>
  </si>
  <si>
    <t>Change in the altitude above sea or ground level.</t>
  </si>
  <si>
    <t>Inundation of water over an area.</t>
  </si>
  <si>
    <t>Expansion of ice or glacier cover.</t>
  </si>
  <si>
    <t>Increase in the amount of a substance discharged into a body of water.</t>
  </si>
  <si>
    <t>Progressive gain of snow extent.</t>
  </si>
  <si>
    <t>Gradual gathering of snow over an area already covered in snow.</t>
  </si>
  <si>
    <t>Loss of snow cover due to heat.</t>
  </si>
  <si>
    <t>An increase in the area occupied by plants.</t>
  </si>
  <si>
    <t>Improvement in the state or function of plants or plant communities.</t>
  </si>
  <si>
    <t>Loss of vegetation communities from an area.</t>
  </si>
  <si>
    <t>Changes in the floristic and or structural composition of vegetation in an area.</t>
  </si>
  <si>
    <t>Increase in the amount of water within an existing water body.</t>
  </si>
  <si>
    <t>Increase in the extent of water from the bounds of an existing water body.</t>
  </si>
  <si>
    <t>Decrease in the extent of water from the bounds of an existing water body.</t>
  </si>
  <si>
    <t>ID_Colour</t>
  </si>
  <si>
    <t>Impact_Descriptor</t>
  </si>
  <si>
    <t>Pressure_Descriptor</t>
  </si>
  <si>
    <t>Removal of water from a water store.</t>
  </si>
  <si>
    <t>Establishment of forest through planting and/or deliberate seeding on land that, until then, was under a different land use.</t>
  </si>
  <si>
    <t>Increase in area of arable lands and pasture used for food production.</t>
  </si>
  <si>
    <t>Decrease in area of arable lands and pasture used for food production.</t>
  </si>
  <si>
    <t>Securing a boat firmly to the seabed using an anchor.</t>
  </si>
  <si>
    <t>A change in the type of animal(s) obtaining food from an area.</t>
  </si>
  <si>
    <t>Increase in the area of farms used for rearing of fish, shellfish, and some aquatic plants to supplement the natural supply.</t>
  </si>
  <si>
    <t>Loss of areas farmed for aquatic organisms, including fish, molluscs, crustaceans and aquatic plants.</t>
  </si>
  <si>
    <t>On fire.</t>
  </si>
  <si>
    <t>Regrowth after a wildfire, whether natural or intensional (e.g., for conservation purposes) resulting in an increase in the biomass or health of vegetation.</t>
  </si>
  <si>
    <t>Below-average temperature of the land surface, inland waters or oceans.</t>
  </si>
  <si>
    <t>Occupation of a habitat or territory by a biological community or of an ecological niche by a single population of a species.</t>
  </si>
  <si>
    <t>Creation of infrastructure such as railways, roads, mines, buildings, agricultural farms, aquaculture farms or dams; includes barrages and marina development.</t>
  </si>
  <si>
    <t>Management aimed at reducing or eliminating terrestrial or aquatic invasive flora and fauna species through activities such as weeding, applying pesticides or trapping.</t>
  </si>
  <si>
    <t>Area of closely planted trees that are cut back regularly to provide wood.</t>
  </si>
  <si>
    <t>Alternating between types of crops on a seasonal basis in the same area to limit soil degradation and to help control weeds, diseases and pests.</t>
  </si>
  <si>
    <t>Demolition/decommissioning of a dam enabling reinstatement of unconstrained water flow and typically reducing pooled water.</t>
  </si>
  <si>
    <t>A increase in the pH of water or soils across the range of alkaline (7-14), neutral (7) to acidic (0 to 7).</t>
  </si>
  <si>
    <t>Reduced availability of nutrients needed for plants to grow or maintain physiological function and potentially influencing vegetation composition.</t>
  </si>
  <si>
    <t>Decreased condensation of water vapour in the atmosphere forming rain, snow, sleet or dew.</t>
  </si>
  <si>
    <t>Decreased amount of heat in a place.</t>
  </si>
  <si>
    <t>Areas considered to be suffering from a serious or severe rainfall deficiency.</t>
  </si>
  <si>
    <t>Prolonged shortage of water that dries out water-dependent environments.</t>
  </si>
  <si>
    <t>The vibrations of the Earth caused by the passage of seismic waves radiating from some source of elastic energy.</t>
  </si>
  <si>
    <t>Geological process in which earth materials are worn away and transported by natural forces such as wind or water.</t>
  </si>
  <si>
    <t>A natural process that results from accumulation of nutrients in lakes or other bodies of water.</t>
  </si>
  <si>
    <t>Water changing from a liquid to a gas.</t>
  </si>
  <si>
    <t>Above-normal increase in the amount of rain or snowfall.</t>
  </si>
  <si>
    <t>Heavy rainfall associated with the passage of a storm or tropical cyclone than can produce extensive flooding.</t>
  </si>
  <si>
    <t>The cessation of agricultural activities on a given surface of land.</t>
  </si>
  <si>
    <t>Conversion of land to commercial, subsistence, intensive or extensive farming.</t>
  </si>
  <si>
    <t>Enrichment of soils to increase productivity or health of vegetation.</t>
  </si>
  <si>
    <t>The inundation of water over land that is generally dry.</t>
  </si>
  <si>
    <t>Fracking is the process of drilling down into the earth before a high-pressure water mixture is directed at the rock to release the gas inside.</t>
  </si>
  <si>
    <t>Extraction of wood for fuel by collecting dead wood or by harvesting trees or their branches.</t>
  </si>
  <si>
    <t>Repetitive consumption of herbaceous or woody vegetation by herbivores/omnivores.</t>
  </si>
  <si>
    <t>Repetitive consumption of herbaceous or woody vegetation by domesticated herbivores/omnivores.</t>
  </si>
  <si>
    <t>Replacement of urban built spaces with vegetation.</t>
  </si>
  <si>
    <t>The process by which external water is added to the zone of saturation of an aquifer.</t>
  </si>
  <si>
    <t>Increases in cell size and number that take place during the life history of an organism.</t>
  </si>
  <si>
    <t>Above-average temperature of the land surface, inland waters or oceans.</t>
  </si>
  <si>
    <t>A crop sequence that includes idle, diverted, or fallowed land in 1 or more of the previous years.</t>
  </si>
  <si>
    <t>Purchase of an asset, item or service.</t>
  </si>
  <si>
    <t>Increased condensation of water vapour in the atmosphere forming rain, snow, sleet or dew.</t>
  </si>
  <si>
    <t>Increased amount of heat in a place.</t>
  </si>
  <si>
    <t>A greater number of vehicles moving along roads, or the amount of aircraft, trains, or ships moving along a route.</t>
  </si>
  <si>
    <t>A higher velocity of air movement into an area associated with, for example, cyclones, hurricans, typhoons, tornados, thunderstorms, storms or ice storms.</t>
  </si>
  <si>
    <t>Increased presence of plant-consuming insects in an area.</t>
  </si>
  <si>
    <t>A plant or animal that has been introduced into a region (terrestrial or aquatic) in which it does not naturally occur.</t>
  </si>
  <si>
    <t>Artificial supply of water to crops, horticulture or pastures.</t>
  </si>
  <si>
    <t>Movement of material downslope in a mass.</t>
  </si>
  <si>
    <t>Loss in the extent and volume of frozen water floating on or within sea water.</t>
  </si>
  <si>
    <t>Land formally used for extractive industry but no longer in use and no new use observed.</t>
  </si>
  <si>
    <t>Extraction of minerals, precious stones or coal, either through open cuts or deep shafts.</t>
  </si>
  <si>
    <t>Changes in day length or temperatures over a year.</t>
  </si>
  <si>
    <t>The feeding on living plant parts by animals excluding insects.</t>
  </si>
  <si>
    <t>Making furrows in land mechanically, by breaking and turning over the soil.</t>
  </si>
  <si>
    <t>Cumulative gain of snow cover over extended periods.</t>
  </si>
  <si>
    <t>Sale of an asset or item or removing funding from a service.</t>
  </si>
  <si>
    <t>reduced runoff post flood</t>
  </si>
  <si>
    <t>Reduced precipitation falling as snow.</t>
  </si>
  <si>
    <t>Grazing (by stock) at a level where there is evidence of the annual growth not being fully utilised.</t>
  </si>
  <si>
    <t>Water produced by the melting of snow.</t>
  </si>
  <si>
    <t>A prolonged period of average wind speeds exceeding 40km/h during the day.</t>
  </si>
  <si>
    <t>Taking away the surface layer of soil that contains partly decomposed organic debris.</t>
  </si>
  <si>
    <t>A non-frontal low pressure system of synoptic scale developing over warm waters.</t>
  </si>
  <si>
    <t>Grazing (natural) at a level where there is evidence of the annual growth not being fully utilised.</t>
  </si>
  <si>
    <t>Removal of non-forest vegetation from an area to allow new land uses.</t>
  </si>
  <si>
    <t>The disposal of solid wastes without environmental controls.</t>
  </si>
  <si>
    <t>A change in the direction of flow of a body of water.</t>
  </si>
  <si>
    <t>Removal or exclusion of water from a wetland by pumping, excavation of channels, planting fast growing non-wetland trees or plants in a wetland area, abstraction of water from a river entering a wetland, channeling, reclamation and drainage itself.</t>
  </si>
  <si>
    <t>The process of assisting the recovery of wetlands that has been degraded, damaged or destroyed.</t>
  </si>
  <si>
    <t>Pressures_Name</t>
  </si>
  <si>
    <t>Vegetation gain - extent</t>
  </si>
  <si>
    <t>Net snow gain - hydroperiod</t>
  </si>
  <si>
    <t>Net snow loss - extent</t>
  </si>
  <si>
    <t>Net snow loss - hydroperiod</t>
  </si>
  <si>
    <t>Net snow gain - extent</t>
  </si>
  <si>
    <t>Vegetation gain - amount</t>
  </si>
  <si>
    <t>Vegetation loss - extent</t>
  </si>
  <si>
    <t>Vegetation reduction - amount</t>
  </si>
  <si>
    <t>Vegetation reduction in understorey - amount</t>
  </si>
  <si>
    <t>Water gain - extent</t>
  </si>
  <si>
    <t>Water loss - extent</t>
  </si>
  <si>
    <t>FireScar_ImpactEvidence</t>
  </si>
  <si>
    <t>Hydroperiod_ImpactEvidence</t>
  </si>
  <si>
    <t>HighTemp_ImpactEvidence</t>
  </si>
  <si>
    <t>Blackwater event (inundation following extended drought)</t>
  </si>
  <si>
    <t>Vegetation gain (amount) (reforestation (natural))</t>
  </si>
  <si>
    <t>Vegetation gain (amount) (reforestation (plantations))</t>
  </si>
  <si>
    <t>Vegetation gain (amount) (regrowth)</t>
  </si>
  <si>
    <t>Vegetation gain (extent) (rehabilitation)</t>
  </si>
  <si>
    <t>Vegetation loss (extent) (sea defence construction)</t>
  </si>
  <si>
    <t>CTVc</t>
  </si>
  <si>
    <t>NTVc</t>
  </si>
  <si>
    <t>CAVc</t>
  </si>
  <si>
    <t>NAVc</t>
  </si>
  <si>
    <t>ASc</t>
  </si>
  <si>
    <t>BSc</t>
  </si>
  <si>
    <t>AWc</t>
  </si>
  <si>
    <t>NWc</t>
  </si>
  <si>
    <t>Wc</t>
  </si>
  <si>
    <t>CTVc2</t>
  </si>
  <si>
    <t>NTVc2</t>
  </si>
  <si>
    <t>CAV2</t>
  </si>
  <si>
    <t>NAVc2</t>
  </si>
  <si>
    <t>ASc2</t>
  </si>
  <si>
    <t>BSc2</t>
  </si>
  <si>
    <t>AWc2</t>
  </si>
  <si>
    <t>NWc2</t>
  </si>
  <si>
    <t>Wc2</t>
  </si>
  <si>
    <t>CANOPY HEIGHT (m)</t>
  </si>
  <si>
    <t>SPATIAL DISTRIBUTION</t>
  </si>
  <si>
    <t xml:space="preserve"> </t>
  </si>
  <si>
    <t>-□</t>
  </si>
  <si>
    <t>+</t>
  </si>
  <si>
    <t>△</t>
  </si>
  <si>
    <t>-</t>
  </si>
  <si>
    <t>□+</t>
  </si>
  <si>
    <t>123123</t>
  </si>
  <si>
    <t>Salinisation (sea level fluctuation)</t>
  </si>
  <si>
    <t xml:space="preserve">  </t>
  </si>
  <si>
    <t>Lifeform</t>
  </si>
  <si>
    <t>canopycover</t>
  </si>
  <si>
    <t>Biomass_Ev</t>
  </si>
  <si>
    <t>Water_persistence_Ev</t>
  </si>
  <si>
    <t>CanopyC_Ev</t>
  </si>
  <si>
    <t>AGB_Ev</t>
  </si>
  <si>
    <t>AGBSD_Ev</t>
  </si>
  <si>
    <t>Space_Ev</t>
  </si>
  <si>
    <t>TimeM_Ev</t>
  </si>
  <si>
    <t>TimeL_Ev</t>
  </si>
  <si>
    <t>TimeO_Ev</t>
  </si>
  <si>
    <t>TimeD_Ev</t>
  </si>
  <si>
    <t>Turbidity</t>
  </si>
  <si>
    <t>R</t>
  </si>
  <si>
    <t>G</t>
  </si>
  <si>
    <t>B</t>
  </si>
  <si>
    <t>Impact_ID</t>
  </si>
  <si>
    <t>A</t>
  </si>
  <si>
    <t>Inundation (sea level fluctuation)</t>
  </si>
  <si>
    <t>Net snow gain (amount) (snowfall)</t>
  </si>
  <si>
    <t>Net snow loss (amount) (snowmelt)</t>
  </si>
  <si>
    <t>Receding Flood (reduced runoff post flood)</t>
  </si>
  <si>
    <t>Inundation (flooding)</t>
  </si>
  <si>
    <t>Net snow gain - amount</t>
  </si>
  <si>
    <t>Net snow loss - amount</t>
  </si>
  <si>
    <t>Browning (vegetation) (decreased precipitation)</t>
  </si>
  <si>
    <t>Water gain (extent) (wetland restoration and/or construction)</t>
  </si>
  <si>
    <t>Browning (vegetation)</t>
  </si>
  <si>
    <t>The definition for this term is re-used from Australia State of the Environment 2016 Glossary and is licenced by the Commonwealth of Australia for use under a Creative Commons Attribution 4.0 International licence with the exception of the Coat of Arms of the Commonwealth of Australia, and the logo of the agency responsible for publishing the report and some content supplied by third parties. For licence conditions see https://creativecommons.org/licenses/by/4.0/. © Commonwealth of Australia 2017-2018</t>
  </si>
  <si>
    <t>Australia State of the Environment 2016</t>
  </si>
  <si>
    <t>https://soe.environment.gov.au/glossary</t>
  </si>
  <si>
    <t>Establishment of forest through planting and/or deliberate seeding on land that, until then, was under a different land use. Implies a transformation of land use from non-forest to forest.</t>
  </si>
  <si>
    <t>Part of the definition for this term is re-used from 'Global Forest Resources Assessment 2020 Terms and Definitons', © FAO 2020</t>
  </si>
  <si>
    <t>Food and Agriculture Organisation of the United Nations</t>
  </si>
  <si>
    <t>© FAO 2020, Terms and Definitions FRA, Page 6, [http://www.fao.org/forest-resources-assessment/en/] [last accessed 10th Dec 2020]</t>
  </si>
  <si>
    <t>http://www.fao.org/3/I8661EN/i8661en.pdf</t>
  </si>
  <si>
    <t>Creative Commons Attribution 4.0 International (CC BY 4.0) license, on any reports made public under this Project Agreement.</t>
  </si>
  <si>
    <t>Land Ecosystem Accounts Project</t>
  </si>
  <si>
    <t>General - no source</t>
  </si>
  <si>
    <t>Introduction of a positive element or elements that contribute to the overall character or enjoyment of an area. For example, open land, trees, historic buildings and the inter-relationship between them, or less tangible factors such as tranquillity.</t>
  </si>
  <si>
    <t>Part of the definition for this term is re-used from 'Glossary', Planning Portal. © Planning Portal 2021</t>
  </si>
  <si>
    <t>Planning Portal</t>
  </si>
  <si>
    <t>https://www.planningportal.co.uk/directory_record/101/amenity</t>
  </si>
  <si>
    <t>Part of the definition for this term is re-used from Encyclopedia Britannica, ©2020 Encyclopædia Britannica, Inc.</t>
  </si>
  <si>
    <t>Encyclopædia Britannica</t>
  </si>
  <si>
    <t>https://www.britannica.com/topic/aquaculture</t>
  </si>
  <si>
    <t>Part of the definition for this term is re-used from '1.1 Aquaculture' FAO. © FAO 2020</t>
  </si>
  <si>
    <t>http://www.fao.org/3/X6941E/x6941e04.htm</t>
  </si>
  <si>
    <t>The process whereby precipitation (rain, snow, fog), particles, aerosols, and gases move from the atmosphere to the Earth's surface.</t>
  </si>
  <si>
    <t>Part of the definition for this term is re-used from 'Atmospheric Deposition' Maryland Department of Natural Resources. © Maryland.gov. All rights reserved.</t>
  </si>
  <si>
    <t>Maryland Department of Natural Resources</t>
  </si>
  <si>
    <t>https://dnr.maryland.gov/streams/Pages/atmosphericdeposition.aspx</t>
  </si>
  <si>
    <t>The definition for this term is re-used from 'Burning', Cambridge Dictionary; © Cambridge University Press 2021</t>
  </si>
  <si>
    <t>Cambridge University Press</t>
  </si>
  <si>
    <t>https://dictionary.cambridge.org/dictionary/english/burning</t>
  </si>
  <si>
    <t>Grass fires, forest fires and/or scrub fires started naturally (such as by lightning), accidentally, or deliberately (such as by arson), but not in accordance with planned fire management prescriptions. Also called wildfire or unplanned fire.</t>
  </si>
  <si>
    <t>Part of the definition for this term is re-used from 'Australia’s forests and forestry glossary', ABARES. © Department of Agriculture, Water and the Environment</t>
  </si>
  <si>
    <t>Department of Agriculture, Water and the Environment</t>
  </si>
  <si>
    <t>https://www.agriculture.gov.au/abares/forestsaustralia/glossary/search</t>
  </si>
  <si>
    <t>The definition for this term is re-used from 'Colonization (Biological). In: Encyclopedia of Astrobiology'. © Springer-Verlag Berlin Heidelberg 2011</t>
  </si>
  <si>
    <t>Encyclopedia of Astrobiology</t>
  </si>
  <si>
    <t>Onofri S. (2011) Colonization (Biological). In: Gargaud M. et al. (eds) Encyclopedia of Astrobiology. Springer, Berlin, Heidelberg. https://doi.org/10.1007/978-3-642-11274-4_144</t>
  </si>
  <si>
    <t>https://link.springer.com/referenceworkentry/10.1007%2F978-3-642-11274-4_144#howtocite</t>
  </si>
  <si>
    <t>The definition for this term is re-used from 'Coppice', Cambridge Dictionary. © Cambridge University Press 2021</t>
  </si>
  <si>
    <t>https://dictionary.cambridge.org/dictionary/english/coppice</t>
  </si>
  <si>
    <t>The uncontrolled release of a water storage. The failure may consist of the collapse of the dam or some part of it, or excessive seepage or discharges.</t>
  </si>
  <si>
    <t>Part of the definition for this term is re-used from 'New South Wales State Flood Plan Glossary', © State of New South Wales (NSW State Emergency Service) 2015. All NSW State Emergency Service material on this website is licensed under the Creative Commons Attribution 4.0 licence.</t>
  </si>
  <si>
    <t>New South Wales State Emergency Service</t>
  </si>
  <si>
    <t>SES 2018, New South Wales State Flood Plan Glossary, Page 3, [https://www.ses.nsw.gov.au/about-us/flood-storm-and-tsunami-plans/][last accessed 10th Dec 2020]</t>
  </si>
  <si>
    <t>https://www.ses.nsw.gov.au/media/2650/glossary.pdf</t>
  </si>
  <si>
    <t>A increase in the pH of water or soils across the range of alkaline (7-14), neutral (7) to acidic (0 to 7). Inversely related to alkalinity.</t>
  </si>
  <si>
    <t>Part of the definition for this term is re-used from 'PH', Collins Dictionary. © Collins 2021</t>
  </si>
  <si>
    <t>Collins Dictionary</t>
  </si>
  <si>
    <t>https://www.collinsdictionary.com/dictionary/english/ph</t>
  </si>
  <si>
    <t>Reduced buffering capacity of a water body; a measure of the ability of the water body to neutralize acids and bases and thus maintain a fairly stable pH level.</t>
  </si>
  <si>
    <t>Part of the definition for this term is re-used from 'Alkalinity and Water'. USGS. Generally, materials produced by federal agencies are in the public domain and may be reproduced without permission.</t>
  </si>
  <si>
    <t>Unites States Geological Survey</t>
  </si>
  <si>
    <t>https://www.usgs.gov/special-topic/water-science-school/science/alkalinity-and-water?qt-science_center_objects=0#qt-science_center_objects</t>
  </si>
  <si>
    <t>Reduced availability of nutrients needed for plants to grow or maintain physiological function and potentially influencing vegetation composition. Soil is a major source of nutrients needed by plants for growth. The three main nutrients are nitrogen (N), phosphorus (P) and potassium (K).</t>
  </si>
  <si>
    <t>Part of the definition for this term is re-used from 'Precipitation', The Free Dictionary. Copyright © 2003-2020 Farlex, Inc</t>
  </si>
  <si>
    <t>The Free Dictionary</t>
  </si>
  <si>
    <t>https://www.thefreedictionary.com/precipitation</t>
  </si>
  <si>
    <t>Part of the definition for this term is re-used from 'Temperature', Cambridge Dictionary. © Cambridge University Press 2021</t>
  </si>
  <si>
    <t>https://dictionary.cambridge.org/dictionary/english/temperature</t>
  </si>
  <si>
    <t>The permanent clearance of a forest, usually rapidly by cutting or burning over a large area, without replanting or natural regeneration. Also known as forest clearance.</t>
  </si>
  <si>
    <t>Part of the definition for this term is re-used from 'Oxford Reference', © 2020. All rights reserved.</t>
  </si>
  <si>
    <t>Oxford University Press</t>
  </si>
  <si>
    <t>https://www.oxfordreference.com/view/10.1093/oi/authority.20110803095707225</t>
  </si>
  <si>
    <t>Deposition is the laying down of sediment carried by wind, water, or ice. Sediment can be transported as pebbles, sand &amp; mud, or as salts dissolved in water. Salts may later be deposited by organic activity (e.g. as sea-shells) or by evaporation.</t>
  </si>
  <si>
    <t>The definition for this term is re-used from 'Deposition', The Geological Society. © The Geological Society of London</t>
  </si>
  <si>
    <t>The Geological Society of London</t>
  </si>
  <si>
    <t>https://www.geolsoc.org.uk/ks3/gsl/education/resources/rockcycle/page3463.html</t>
  </si>
  <si>
    <t>Removing silt and other material from the bottom of bodies of water</t>
  </si>
  <si>
    <t>Part of the definition for this term is re-used from 'What is dredging?', National Ocean Service, National Oceanic and Atmospheric Administration, Department of Commerce. No copyright info.</t>
  </si>
  <si>
    <t>National Ocean Service</t>
  </si>
  <si>
    <t>https://oceanservice.noaa.gov/facts/dredging.html</t>
  </si>
  <si>
    <t>The definition for this term is re-used from 'Australian Disaster Resilience Glossary', © Copyright AIDR</t>
  </si>
  <si>
    <t>Australian Disaster Resilience Knowledge Hub</t>
  </si>
  <si>
    <t>https://knowledge.aidr.org.au/glossary/?wordOfTheDayId=&amp;keywords=&amp;alpha=V&amp;page=1&amp;results=50&amp;order=AZ</t>
  </si>
  <si>
    <t>The process of assisting the recovery of an ecosystem that has been degraded, damaged or destroyed including through mechanical habitat rejuvenation.</t>
  </si>
  <si>
    <t>Part of the definition for this term is re-used from 'Definitions', Society for Ecological Restoration. © Society for Ecological Restoration Australasia</t>
  </si>
  <si>
    <t>Society for Ecological Restoration Australiasia</t>
  </si>
  <si>
    <t>http://www.seraustralasia.com/standards/introduction.html</t>
  </si>
  <si>
    <t>Increase in woody plant density or extent so that the natural equilibrium of woody plant layer (trees and shrubs) and herbaceous (grass and forb) layer densities is shifted towards woody species.</t>
  </si>
  <si>
    <t>Part of the definition for this term is re-used from 'Bush Encroachment', Ingewelala. Copyright © 2020 - Ingwelala. All Rights Reserved.</t>
  </si>
  <si>
    <t>Ingwelala</t>
  </si>
  <si>
    <t>https://www.ingwelala.co.za/archives/conservation/bush-encroachment.html</t>
  </si>
  <si>
    <t>The definition for this term is re-used from 'Erosion', National Geographic. © 1996 - 2020 National Geographic Society. All rights reserved.</t>
  </si>
  <si>
    <t>National Geographic</t>
  </si>
  <si>
    <t>https://www.nationalgeographic.org/encyclopedia/erosion/#:~:text=Erosion%20is%20the%20geological%20process,such%20as%20wind%20or%20water.</t>
  </si>
  <si>
    <t>The definition for this term is re-used from 'Nutrients and Eutrophication'. Generally, materials produced by federal agencies are in the public domain and may be reproduced without permission.</t>
  </si>
  <si>
    <t>https://www.usgs.gov/mission-areas/water-resources/science/nutrients-and-eutrophication?qt-science_center_objects=0#qt-science_center_objects</t>
  </si>
  <si>
    <t>Part of the definition for this term is re-used from 'Glossary', Bureau of Meteorology. © Copyright Commonwealth of Australia 2020, Bureau of Meteorology</t>
  </si>
  <si>
    <t>Bureau of Meteorology</t>
  </si>
  <si>
    <t>http://www.bom.gov.au/lam/glossary/</t>
  </si>
  <si>
    <t>Part of the definition for this term is re-used from 'What is a Tropical Cyclone?', Bureau of Meteorology. © Copyright Commonwealth of Australia 2020, Bureau of Meteorology</t>
  </si>
  <si>
    <t>http://www.bom.gov.au/cyclone/tropical-cyclone-knowledge-centre/understanding/tc-info/</t>
  </si>
  <si>
    <t>A farming technique whereby a field is left unoccupied by crops during an entire growing period or part of it to raise soil fertility, accumulate moisture in the soil, increase the yield of all crops in a rotation and improve the quality of agricultural products.</t>
  </si>
  <si>
    <t>Part of the definition for this term is re-used from 'Fallow', The Free Dictionary. Copyright © 2003-2020 Farlex, Inc. All content on this website, including dictionary, thesaurus, literature, geography, and other reference data is for informational purposes only. This information should not be considered complete, up to date, and is not intended to be used in place of a visit, consultation, or advice of a legal, medical, or any other professional.</t>
  </si>
  <si>
    <t>https://encyclopedia2.thefreedictionary.com/fallowing</t>
  </si>
  <si>
    <t>Part of the definition for this term is re-used from EuroStat. © European Union, 1995-2013.</t>
  </si>
  <si>
    <t>EuroStat - Statistics Explained</t>
  </si>
  <si>
    <t>https://ec.europa.eu/eurostat/statistics-explained/index.php/Glossary:Farmland_abandonment</t>
  </si>
  <si>
    <t>The definition for this term is re-used from 'What is fracking and why is it controversial?', BBC News, © 2020 BBC.</t>
  </si>
  <si>
    <t>BBC News</t>
  </si>
  <si>
    <t>https://www.bbc.com/news/uk-14432401#:~:text=Fracking%20is%20the%20process%20of,the%20head%20of%20the%20well.</t>
  </si>
  <si>
    <t>Deposit of soft white ice crystals or frozen dew drops on objects near the ground; formed when surface temperature falls below freezing point.</t>
  </si>
  <si>
    <t>The definition for this term is re-used from 'Glossary', Bureau of Meteorology. © Copyright Commonwealth of Australia 2020, Bureau of Meteorology</t>
  </si>
  <si>
    <t>Part of the definition for this term is re-used from 'Fuelwood collection and its impacts on a protected tropical mountain forest in Uganda. In: Forest Ecology and Management', Copyright © 2015 Elsevier B.V. All rights reserved.</t>
  </si>
  <si>
    <t>Marieke Sassen, Douglas Sheil, Ken E. Giller</t>
  </si>
  <si>
    <t>https://www.sciencedirect.com/science/article/pii/S0378112715003631</t>
  </si>
  <si>
    <t>The process, deliberate or inadvertent, of extracting ground water from a source at a rate so in excess of the replenishment that the ground water level declines persistently, threatening exhaustion of the supply or at least a decline of pumping levels to uneconomic depths.</t>
  </si>
  <si>
    <t>The definition for this term is re-used from 'Groundwater extraction', European Environment Agency. Creative Commons Attribution 2.5 Denmark (CC BY 2.5 DK)</t>
  </si>
  <si>
    <t>European Environment Agency; International Groundwater Resources Assessment Centre</t>
  </si>
  <si>
    <t>https://www.eea.europa.eu/help/glossary/gemet-environmental-thesaurus/groundwater-extraction</t>
  </si>
  <si>
    <t>The process by which external water is added to the zone of saturation of an aquifer, either directly into a formation or indirectly by way of another formation.</t>
  </si>
  <si>
    <t>The definition for this term is re-used from 'Groundwater recharge', European Environment Agency. Creative Commons Attribution 2.5 Denmark (CC BY 2.5 DK)</t>
  </si>
  <si>
    <t>https://www.eea.europa.eu/help/glossary/eea-glossary/groundwater-recharge</t>
  </si>
  <si>
    <t>The definition for this term is re-used from 'Run-off', Encyclopædia Britannica ©2020 Encyclopædia Britannica, Inc.</t>
  </si>
  <si>
    <t>https://www.britannica.com/science/growth-biology</t>
  </si>
  <si>
    <t>Spreading of a naturally occurring mineral that contains calcium and sulphur, thereby increasing porosity of the soil.</t>
  </si>
  <si>
    <t>Act of removing a crop from where it was growing and moving it to a more secure location for processing, consumption, or storage.</t>
  </si>
  <si>
    <t>The definition for this term is re-used from 'Harvesting', Encyclopedia.com. © 2019 Encyclopedia.com</t>
  </si>
  <si>
    <t>All rights reserved.</t>
  </si>
  <si>
    <t>Encyclopedia.com</t>
  </si>
  <si>
    <t>Water temperatures of rivers, lakes, floodplains, reservoirs, wetlands, and inland saline systems that are warmer than usual, often based on the recent average.</t>
  </si>
  <si>
    <t>The definition for this term is re-used from '4.2 Crop Rotations', [Cannot find copyright info]</t>
  </si>
  <si>
    <t>U.S. Department of Agriculture Economic Research Service</t>
  </si>
  <si>
    <t>https://www.ers.usda.gov/webdocs/publications/41882/30078_arei4-2.pdf?v=0</t>
  </si>
  <si>
    <t>A decrease in the pH of water or soils across the range of alkaline (7-14), neutral (7) to acidic (0 to 7). Inversely related to alkalinity.</t>
  </si>
  <si>
    <t>Part of the definition for this term is re-used from 'PH', Collins Dictionary. © Collins 2020</t>
  </si>
  <si>
    <t>Enhanced buffering capacity of a water body; a measure of the ability of the water body to neutralize acids and bases and thus maintain a fairly stable pH level.</t>
  </si>
  <si>
    <t>Increased availability of soil nutrients needed for plants to grow or maintain physiological function and potentially influencing vegetation composition.</t>
  </si>
  <si>
    <t>Part of the definition for this term is re-used from 'Traffic', Cambridge Dictionary. © Cambridge University Press 2021</t>
  </si>
  <si>
    <t>https://dictionary.cambridge.org/dictionary/english/traffic</t>
  </si>
  <si>
    <t>Invasive or exotic species</t>
  </si>
  <si>
    <t>A plant or animal that has been introduced into a region (terrestrial or aquatic) in which it does not naturally occur and that becomes established and spreads, displacing naturally occurring species.</t>
  </si>
  <si>
    <t>The definition for this term is re-used from 'Measuring biodiversity and ecological integrity in NSW: Method for the Biodiversity Indicator Program', © State of New South Wales and Office of Environment and Heritage 2019. It is licensed under the Creative Commons Attribution 4.0 International (CC BY 4.0).</t>
  </si>
  <si>
    <t>Office of Environment and Heritage &amp; CSIRO</t>
  </si>
  <si>
    <t>OEH &amp; CSIRO 2019, Measuring Biodiversity and Ecological Integrity in New South Wales: Method for the Biodiversity Indicator Program, Office of Environment and Heritage NSW and Commonwealth Scientific and Industrial Research Organisation, NSW Government, Sydney.</t>
  </si>
  <si>
    <t>https://www.environment.nsw.gov.au/-/media/OEH/Corporate-Site/Documents/Animals-and-plants/Biodiversity/measuring-biodiversity-and-ecological-integrity-in-nsw-method-190132.pdf</t>
  </si>
  <si>
    <t>Part of the definition for this term is re-used from 'Australian Water Information Dictionary', Bureau of Meteorology, © Copyright Commonwealth of Australia 2020</t>
  </si>
  <si>
    <t>http://www.bom.gov.au/water/awid/initial-i.shtml</t>
  </si>
  <si>
    <t>The restoration of productivity or use to lands that have been degraded by past human activities or have been impaired by natural phenomena.</t>
  </si>
  <si>
    <t>The definition for this term is sourced from FAO, who acknowledge the original source as UNCED, 1997.</t>
  </si>
  <si>
    <t>http://www.fao.org/faoterm/en/</t>
  </si>
  <si>
    <t>Part of the definition for this term is re-used from 'Australian Disaster Reslience Glossary', © Copyright AIDR</t>
  </si>
  <si>
    <t>Flattening ground by infilling or cutting the surface. Used to create a straight base for a new development including some forms of agriculture.</t>
  </si>
  <si>
    <t>Use of machines (e.g., to remove or alter vegetation)</t>
  </si>
  <si>
    <t>Design and construction of landforms as well as the establishment of sustainable ecosystems or alternative vegetation, depending upon desired post-operational land use.</t>
  </si>
  <si>
    <t>Part of the definition for this term is re-used from 'MINE REHABILITATION Leading Practice Sustainable Development Program for the Mining Industry', Australian Government. © Commonwealth of Australia 2016. This work is copyright. Apart from any use as permitted under the Copyright Act 1968, no part may be reproduced by any process without prior written permission from the Commonwealth.</t>
  </si>
  <si>
    <t>Australian Government: Dept of Industry, Science, Energy and Resources</t>
  </si>
  <si>
    <t>© Commonwealth of Australia 2016, MINE REHABILITATION Leading Practice Sustainable Development Program for the Mining Industry, &lt;last accessed 14th Dec 2020, https://www.industry.gov.au/data-and-publications/leading-practice-handbook-mine-rehabilitation&gt;</t>
  </si>
  <si>
    <t>https://www.industry.gov.au/sites/default/files/2019-04/lpsdp-mine-rehabilitation-handbook-english.pdf</t>
  </si>
  <si>
    <t>Part of the definition for this term is re-used from 'The Australian Land Use and Management Classification Version 8', ABARES, © Commonwealth of Australia 2016. All material in this publication is licensed under a Creative Commons Attribution 3.0 Australia Licence.</t>
  </si>
  <si>
    <t>ABARES 2016, The Australian Land Use and Management Classification Version 8, Australian Bureau of Agricultural and Resource Economics and Sciences, Canberra. CC BY 3.0. ISBN: 978-1-74323-310-8. ABARES project: 115063-43590, [agriculture.gov.au/abares/publications]</t>
  </si>
  <si>
    <t>https://www.agriculture.gov.au/sites/default/files/abares/aclump/documents/ALUMCv8_Handbook4ednPart2_UpdateOctober2016.pdf</t>
  </si>
  <si>
    <t>Cutting down ( grass, crops, etc) with a hand implement or machine</t>
  </si>
  <si>
    <t>The definition for this term is re-used from 'Definition of mowing', Collins Dictionary. © Collins 2021</t>
  </si>
  <si>
    <t>https://www.collinsdictionary.com/dictionary/english/mowing</t>
  </si>
  <si>
    <t>The definition for this term is re-used from 'Chapter 12 - Herbivory. In Insect Ecology (Fourth edition)', Copyright © 2016 Elsevier Inc. All rights reserved.</t>
  </si>
  <si>
    <t>Timothy D.Schowalter</t>
  </si>
  <si>
    <t>Schowalter, T.D. (2016). Herbivory. In Insect Ecology (Fourth Edition) (Ed. Timothy D. Schowalter, Academic Pressure, pp 405-443.</t>
  </si>
  <si>
    <t>https://doi.org/10.1016/B978-0-12-803033-2.00012-1</t>
  </si>
  <si>
    <t>The process by which water bodies such as estuaries or embayments receive excess nutrients from a variety of sources (primarily agriculture, aquaculture and sewage), setting off a cascade of environmental changes.</t>
  </si>
  <si>
    <t>Naturally occurring cycles affecting sea surface temperature and precipitation</t>
  </si>
  <si>
    <t>The definition for this term is re-used from 'Coral cores and ocean-atmosphere oscillations', International Atomic Energy Agency. © 1998–2020 IAEA, All rights reserved.</t>
  </si>
  <si>
    <t>International Atomic Energy Agency</t>
  </si>
  <si>
    <t>https://www.iaea.org/topics/oceans-and-climate-change/coral-cores-and-ocean-atmosphere-oscillations</t>
  </si>
  <si>
    <t>Excessive grazing by natural animal populations without sufficient rest, resulting in declines in the biomass or health of vegetation.</t>
  </si>
  <si>
    <t>Excessive grazing by domesticated stock without sufficient rest, resulting in declines in the biomass or health of vegetation.</t>
  </si>
  <si>
    <t>Any small organism, such as a virus or a bacterium that can cause disease.</t>
  </si>
  <si>
    <t>The definition for this term is re-used from 'Pathogen', Cambridge Dictionary. © Cambridge University Press 2021</t>
  </si>
  <si>
    <t>https://dictionary.cambridge.org/dictionary/english/pathogen</t>
  </si>
  <si>
    <t>Use of a substance that is intended to kill, repel or otherwise control any organism that is designated a “pest”, including weeds, insects, snails, rodents, fungi and bacteria. Includes herbicides, which is a pesticide that is used to kill plants, or to inhibit their growth or development. Also known as weedkillers.</t>
  </si>
  <si>
    <t>Part of the definition for this term is re-used from 'Pesticides', Copyright © 1995–2021 British Crop Production Council (BCPC).</t>
  </si>
  <si>
    <t>British Crop Production Council (BCPC)</t>
  </si>
  <si>
    <t>https://pesticidecompendium.bcpc.org/glossary.html</t>
  </si>
  <si>
    <t>Placement of seeds, seedlings or saplings into the ground so they can grow, leading to an increase in vegetation amount or a change in plant species composition.</t>
  </si>
  <si>
    <t>The definition for this term is re-used from 'Definition of ploughing', Law Insider. All contents of the lawinsider.com excluding publicly sourced documents are Copyright © 2013-2020 Law Insider Inc. All rights reserved.</t>
  </si>
  <si>
    <t>Law Insider</t>
  </si>
  <si>
    <t>https://www.lawinsider.com/dictionary/ploughing</t>
  </si>
  <si>
    <t>Introduction of harmful materials known as pollutants into the environment. Pollutants can be natural, such as volcanic ash. They can also be created by human activity, such as trash or runoff from industrial sources (e.g., factories, farms, etc.) and contaminated with substances including fertilizers and pesticides/herbicides. Pollutants damage the quality of air, water, and land.</t>
  </si>
  <si>
    <t>Part of the definition for this term is re-used from 'Pollution', National Geographic. © 1996 - 2020 National Geographic Society. All rights reserved.</t>
  </si>
  <si>
    <t>https://www.nationalgeographic.org/encyclopedia/pollution/#:~:text=1%2F14-,Pollution%20is%20the%20introduction%20of%20harmful%20materials%20into%20the%20environment,air%2C%20water%2C%20and%20land.</t>
  </si>
  <si>
    <t>The process of planning and applying fire to a predetermined area, under specific environmental conditions, to achieve a desired outcome.</t>
  </si>
  <si>
    <t>The definition for this term is re-used from 'Prescribed burning', Government of Western Australia Parks and Wildlife Service. All contents copyright © Government of Western Australia. All rights reserved.</t>
  </si>
  <si>
    <t>Government of Western Australia Parks and Wildlife Service</t>
  </si>
  <si>
    <t>https://www.dpaw.wa.gov.au/management/fire/prescribed-burning</t>
  </si>
  <si>
    <t>Cumulative influx of water and increase in water depth for long periods over an area that previously supported no water.</t>
  </si>
  <si>
    <t>Seasonal to multi-annual decreases in temperature compared with past averages.</t>
  </si>
  <si>
    <t>Seasonal to multi-annual increases in temperature compared with past averages.</t>
  </si>
  <si>
    <t>Reduction or cessation of repetitive consumption of herbaceous or woody vegetation by herbivores/omnivores.</t>
  </si>
  <si>
    <t>Reduced quantity of water discharged in surface streams. Runoff includes not only the waters that travel over the land surface and through channels to reach a stream but also interflow, the water that infiltrates the soil surface and travels by means of gravity toward a stream channel (always above the main groundwater level) and eventually empties into the channel. Runoff also includes groundwater that is discharged into a stream; streamflow that is composed entirely of groundwater is termed base flow, or fair-weather runoff, and it occurs where a stream channel intersects the water table.</t>
  </si>
  <si>
    <t>Part of the definition for this term is re-used from 'Run-off', Encyclopædia Britannica ©2020 Encyclopædia Britannica, Inc.</t>
  </si>
  <si>
    <t>https://www.britannica.com/science/runoff</t>
  </si>
  <si>
    <t>The process of deliberate replanting of vegetation, often with a diverse species mix, on land where the previous plant communities have been cleared. Generally undertaken to improve environmental conditions.</t>
  </si>
  <si>
    <t>© FAO 2020, Terms and Definitions FRA, Page 7, [http://www.fao.org/forest-resources-assessment/en/] [last accessed 10th Dec 2020]</t>
  </si>
  <si>
    <t>Establishing plantations of trees or shrubs (limited numbers of native or exotic species) for production or environmental and resource protection purposes. Includes farm forestry.</t>
  </si>
  <si>
    <t>Natural increase in the number and size of plants over an area that previously supported vegetation that had been cleared or degraded.</t>
  </si>
  <si>
    <t>The process of returning the land in a given area to some degree of its former state, after some process (industry, natural disasters etc.) has resulted in its damage.</t>
  </si>
  <si>
    <t>Part of the definition for this term is re-used from 'Land rehabilitation', Wikipedia. Text is available under the Creative Commons Attribution-ShareAlike License.</t>
  </si>
  <si>
    <t>Wikipedia</t>
  </si>
  <si>
    <t>https://en.wikipedia.org/wiki/Land_rehabilitation</t>
  </si>
  <si>
    <t>Grazing (by stock) at a level where there is evidence of the annual growth not being fully utilised or scrub or coarse vegetation is becoming evident and such changes are detrimental to the environmental interest of the site.</t>
  </si>
  <si>
    <t>Part of the definition for this term is re-used from 'Undergrazing', Law Insider. All contents of the lawinsider.com excluding publicly sourced documents are Copyright © 2013-2020 Law Insider Inc. All rights reserved.</t>
  </si>
  <si>
    <t>https://www.lawinsider.com/dictionary/undergrazing</t>
  </si>
  <si>
    <t>Improvement in condition of infrastructure or an increase in amount of construction following damage repair.</t>
  </si>
  <si>
    <t>The re-establishment of vegetation (excluding forests) in areas that have been cleared or highly modified. The mix of plant species may not be the same as that of the original vegetation.</t>
  </si>
  <si>
    <t>Part of the definition for this term is re-used from 'Australia's Native Vegetation Framework', © Standing Council on Environment and Water 2012.</t>
  </si>
  <si>
    <t>Australia's Native Vegetation Framework</t>
  </si>
  <si>
    <t>COAG Standing Council on Environment and Water 2012, Australia’s Native Vegetation Framework, Australian Government, Department of Sustainability, Environment, Water, Population and Communities, Canberra. [last accessed 10th Dec 2020, https://www.environment.gov.au/land/publications/australias-native-vegetation-framework]</t>
  </si>
  <si>
    <t>http://www.environment.gov.au/system/files/resources/76f709dc-ccb3-4645-a18b-063fbbf0a899/files/native-vegetation-framework.pdf</t>
  </si>
  <si>
    <t>The movement of solid particles (sediment) caused by movement of the water volume within which they are contained and the force of gravity.</t>
  </si>
  <si>
    <t>Part of the definition for this term is re-used from 'Glossary - S', Fisheries. © All contents copyright Government of Western Australia. All rights reserved.</t>
  </si>
  <si>
    <t>Government of Western Australia Fisheries</t>
  </si>
  <si>
    <t>https://www.fish.wa.gov.au/About-Us/Glossary/Pages/S.aspx</t>
  </si>
  <si>
    <t>Deposition of sediment from flowing water (in channels or floodplains) or standing water (in wetlands, lakes, or oceans).</t>
  </si>
  <si>
    <t>The definition for this term is re-used from ' Soil erosion: the greatest challenge to sustainable soil management', Food and Agriculture Organisation; © FAO, 2019. Some rights reserved. This work is made available under the Creative Commons AttributionNonCommercial-ShareAlike 3.0 IGO licence</t>
  </si>
  <si>
    <t>FAO. 2019. Soil erosion: the greatest challenge to sustainable soil management. Rome. 100 pp. Licence: CC BY-NC-SA 3.0 IGO. http://www.fao.org/3/ca4395en/ca4395en.pdf</t>
  </si>
  <si>
    <t>http://www.fao.org/3/ca4395en/ca4395en.pdf</t>
  </si>
  <si>
    <t>A type of (exploitation) cutting that removes only certain types of trees (a) above a certain size, (b) of high value, or (c) of specific size for specific purposes.</t>
  </si>
  <si>
    <t>Part of the definition for this term is sourced from FAO, who acknowledge the original source as FAO Language Resources Project, 2005, (A10.9); International Union of Forest Research Organizations (IUFRO), SilvaTerm Forestry Terminology, Vienna, 2005.; Terminology(A10.3)/CSCM, FAO, 2010.</t>
  </si>
  <si>
    <t>A rain-bearing cloud that also produces lightning and hail one inch or larger in diameter and/or winds equal or exceed 58 miles an hour.</t>
  </si>
  <si>
    <t>Part of the definition for this term is re-used from 'Thunderstorm Definition' and 'Severe Weather Definitions', National Oceanic and Atmospheric Administration. No licensing restrictions are indicated.</t>
  </si>
  <si>
    <t>National Oceanic and Atmospheric Administration</t>
  </si>
  <si>
    <t>"https://www.weather.gov/phi/ThunderstormDefinition</t>
  </si>
  <si>
    <t>Net increase in ice crystals or snow resulting from consecutive precipitation below or at near zero land and/or air temperatures.</t>
  </si>
  <si>
    <t>Where water vapour turns into solid ice crystals and falls as snow.</t>
  </si>
  <si>
    <t>The accumulation of soluble mineral salts near the surface of soil, usually caused by the capillary flow of water from saline ground water. Where the rate of surface evaporation is high, irrigation can exacerbate the problem by moistening the soil and causing water to be drawn from deeper levels as water evaporates from the surface. The evaporation of pure water leaves the salts behind, allowing them to accumulate, and they can reach concentrations that are toxic to plants, thus sterilising the land.</t>
  </si>
  <si>
    <t>The definition is re-used from 'Glossary: List of environmental terms used by EEA', European Environment Agency, ©Creative commons license</t>
  </si>
  <si>
    <t>"European Environment Agency</t>
  </si>
  <si>
    <t>An abnormal rise in sea level over and above the normal (astronomical) tide levels. It can be thought of as the change in the water level due to the presence of a storm. These powerful ocean movements are caused by strong winds piling water up against the coast as a cyclone approaches.</t>
  </si>
  <si>
    <t>The definition for this term is re-used from 'Storm Surge', Bureau of Meteorology. © Copyright Commonwealth of Australia 2020, Bureau of Meteorology</t>
  </si>
  <si>
    <t>http://www.bom.gov.au/cyclone/tropical-cyclone-knowledge-centre/understanding/storm-surge/</t>
  </si>
  <si>
    <t>The definition for this term is re-used from 'Weather Words', Bureau of Meteorology. © Copyright Commonwealth of Australia 2020, Bureau of Meteorology</t>
  </si>
  <si>
    <t>http://www.bom.gov.au/info/wwords/</t>
  </si>
  <si>
    <t>An area with straw stubble that remains after grains (e.g., paddy, wheat) have been harvested and which has been intentionally set on fire.</t>
  </si>
  <si>
    <t>Part of the definition for this term is re-used from 'Stubble burning', Wikipedia. Text is available under the Creative Commons Attribution-ShareAlike License.</t>
  </si>
  <si>
    <t>https://en.wikipedia.org/wiki/Stubble_burning#:~:text=Stubble%20burning%20is%20intentionally%20setting,governments%20increasingly%20restricted%20its%20use.</t>
  </si>
  <si>
    <t>The lowering of the Earth's surface, caused by factors such as compaction, a decrease in ground water or earthquakes.</t>
  </si>
  <si>
    <t>Part of the definition for this term is re-used from 'Glossary', Minerals Council of Australia. © Minerals Council of Australia</t>
  </si>
  <si>
    <t>Minerals Council of Australia</t>
  </si>
  <si>
    <t>https://minerals.org.au/coal/glossary</t>
  </si>
  <si>
    <t>The natural, sequential change (stage) of species composition in an ecosystem in a given area.</t>
  </si>
  <si>
    <t>The definition for this term is re-used from ''.....</t>
  </si>
  <si>
    <t>FAO - Food and Agriculture Organisation</t>
  </si>
  <si>
    <t>Increase in linear dimensions of a solid or in volume of a fluid because of rise in temperature.</t>
  </si>
  <si>
    <t>The definition for this term is re-used from 'Thermal Expansion', © 2021 Merriam-Webster, Incorporated</t>
  </si>
  <si>
    <t>Merriam-Webster, Incorporated</t>
  </si>
  <si>
    <t>https://www.merriam-webster.com/dictionary/thermal%20expansion</t>
  </si>
  <si>
    <t>Removal or death of plants or parts of plants to decrease plant density in a stand and facilitate growth of remaining plants. Natural thinning can occur. Plant parts may not be removed from the area.</t>
  </si>
  <si>
    <t>Preparation of soil for agricultural use through mechanical intervention such as digging, stirring, and overturning. Tillage disrupts the soil structure in a way that increases porosity and accelerates soil erosion.</t>
  </si>
  <si>
    <t>Part of the definition for this term is re-used from 'Tillage', Wikipedia. Text is available under the Creative Commons Attribution-ShareAlike License.</t>
  </si>
  <si>
    <t>https://en.wikipedia.org/wiki/Tillage</t>
  </si>
  <si>
    <t>Taking away the surface layer of soil that contains partly decomposed organic debris, and which is usually high in nutrients, containing many seeds, and is rich in fungal mycorrhizae. Topsoil is usually a dark colour due to the ‘organic matter’ present. In arable land, ‘topsoil’ refers to the soil down to plough depth.</t>
  </si>
  <si>
    <t>Part of the definition for this term is re-used from 'Glossary of Soil-related terms', NSRI, Cranfield University, UK. No licensing restrictions are indicated.</t>
  </si>
  <si>
    <t>Cranfield University</t>
  </si>
  <si>
    <t>NSRI Staff (2011) Glossary of Soil-Related Terms. 9pp. NSRI, Cranfield University, UK.</t>
  </si>
  <si>
    <t>https://www.landis.org.uk/downloads/downloads/Glossary.pdf</t>
  </si>
  <si>
    <t>A non-frontal low pressure system of synoptic scale developing over warm waters having organised convection and a maximum mean wind speed of 34 knots or greater extending more than half-way around near the centre and persisting for at least six hours.</t>
  </si>
  <si>
    <t>The definition for this term is re-used from 'What is a Tropical Cyclone?', Bureau of Meteorology. © Copyright Commonwealth of Australia 2020, Bureau of Meteorology</t>
  </si>
  <si>
    <t>"Grazing (natural) at a level where there is evidence of the annual growth not being fully utilised or scrub or coarse vegetation is becoming evident and such changes are detrimental to the environmental interest of the site.</t>
  </si>
  <si>
    <t>Urban fire occurs primarily in cities or towns with the potential to rapidly spread to adjoining structures. These fires damage and destroy homes, schools, commercial buildings, and vehicles.</t>
  </si>
  <si>
    <t>The definition for this term is re-used from 'Urban Fire', City of Eugene. © Copyright © 2005-2016 City of Eugene</t>
  </si>
  <si>
    <t>City of Eugene</t>
  </si>
  <si>
    <t>https://www.eugene-or.gov/1175/Urban-Fire</t>
  </si>
  <si>
    <t>Increase in the area of vegetation in urban settings by establishing parks and urban farms and by planting trees and other forms of vegetation.</t>
  </si>
  <si>
    <t>Area devoted to regenerating and conserving the built heritage or the urban environment, including the ecosystems. In addition to the refurbishment of historical buildings and townscapes, such activities also comprise the modernisation and upgrading of technical facilities and the respect of environmental and security norms and standards. Includes urban restoration.</t>
  </si>
  <si>
    <t>The definition for this term is re-used from 'urban rehabilitation and restoration', European Commission. © European Union, 1995-2021. Unless otherwise indicated (e.g. in individual copyright notices), content owned by the EU on this website is licensed under the Creative Commons Attribution 4.0 International (CC BY 4.0) licence.</t>
  </si>
  <si>
    <t>European Commission</t>
  </si>
  <si>
    <t>https://inspire.ec.europa.eu/codelist/SupplementaryRegulationValue/7_4_3_UrbanRehabilitationAndRestoration/</t>
  </si>
  <si>
    <t>Increasing shrub and tree density on grazed rangelands, woodlands and forests that may or may not have supported such woody plant populations in the past.</t>
  </si>
  <si>
    <t>Part of the definition for this term is re-used from 'Vegetation thickening in an ecological perspective: significance to national greenhouse gas inventories. In: Environmental Science &amp; Policy', Copyright © 2001 Elsevier Science Ltd. All rights reserved.</t>
  </si>
  <si>
    <t>Roger M. Gifford, Mark Howden</t>
  </si>
  <si>
    <t>Roger M. Gifford, Mark Howden, Vegetation thickening in an ecological perspective: significance to national greenhouse gas inventories, Environmental Science &amp; Policy, Volume 4, Issues 2–3, 2001, Pages 59-72, ISSN 1462-9011, https://doi.org/10.1016/S1462-9011(00)00109-X.(http://www.sciencedirect.com/science/article/pii/S146290110000109X)</t>
  </si>
  <si>
    <t>https://www.sciencedirect.com/science/article/pii/S146290110000109X?via%3Dihub</t>
  </si>
  <si>
    <t>The discharge (aerially explosive) of fragmentary ejecta, lava and gases from a volcanic vent.</t>
  </si>
  <si>
    <t>Disturbance on the surface of a liquid body, as the sea or a lake, in the form of a moving ridge or swell that impacts on the structure of land elements.</t>
  </si>
  <si>
    <t>Part of the definition for this term is re-used from 'Wave', Dictionary.com, Copyright © 2021 Dictionary.com, LLC</t>
  </si>
  <si>
    <t>Dictionary.com</t>
  </si>
  <si>
    <t>https://www.dictionary.com/browse/wave</t>
  </si>
  <si>
    <t>A change in the direction of flow of a body of water that might be accompanied by a change in velocity, turbulence and/or discharge.</t>
  </si>
  <si>
    <t>Invasions begin when an introduced species is able to survive and give rise to subsequent generations.</t>
  </si>
  <si>
    <t>The definition for this term is re-used from 'Weed Science Module 5 Weed Invasions', Faculty of Science, © The University of Queensland.</t>
  </si>
  <si>
    <t>University of Queensland</t>
  </si>
  <si>
    <t>https://shire.science.uq.edu.au/bb/PLNT3012/index.html</t>
  </si>
  <si>
    <t>Part of the definition for this term is re-used from 'Definition of drainage of wetlands', Law Insider. All contents of the lawinsider.com excluding publicly sourced documents are Copyright © 2013-2020 Law Insider Inc. All rights reserved.</t>
  </si>
  <si>
    <t>https://www.lawinsider.com/dictionary/drainage-of-wetlands</t>
  </si>
  <si>
    <t>Vegetation health improvement (increased nutrient supply in soil)</t>
  </si>
  <si>
    <t>Code</t>
  </si>
  <si>
    <t>Vegetation reduction (amount) (pesticide application)</t>
  </si>
  <si>
    <t>Medium Slate Blue</t>
  </si>
  <si>
    <t>Light Slate Gray</t>
  </si>
  <si>
    <t>Medium Orchid</t>
  </si>
  <si>
    <t>Light Salmon</t>
  </si>
  <si>
    <t>Dark Turquoise</t>
  </si>
  <si>
    <t>Light Sky Blue</t>
  </si>
  <si>
    <t>Light Steel Blue</t>
  </si>
  <si>
    <t>Medium Purple</t>
  </si>
  <si>
    <t>Pale Violet Red</t>
  </si>
  <si>
    <t>Light Green</t>
  </si>
  <si>
    <t>Medium Spring Green</t>
  </si>
  <si>
    <t>Light Cyan</t>
  </si>
  <si>
    <t>Dark Orchid</t>
  </si>
  <si>
    <t>Cornflower Blue</t>
  </si>
  <si>
    <t>Light Yellow</t>
  </si>
  <si>
    <t>Dark Orange</t>
  </si>
  <si>
    <t>Pale Green</t>
  </si>
  <si>
    <t>Medium Aquamarine</t>
  </si>
  <si>
    <t>Light Pink</t>
  </si>
  <si>
    <t>Sea Green</t>
  </si>
  <si>
    <t>Peru</t>
  </si>
  <si>
    <t>Indian Red</t>
  </si>
  <si>
    <t>Tan</t>
  </si>
  <si>
    <t>Dark Khaki</t>
  </si>
  <si>
    <t>Rosy Brown</t>
  </si>
  <si>
    <t>Dark Olive Green</t>
  </si>
  <si>
    <t>Olive Drab</t>
  </si>
  <si>
    <t>Slate Gray</t>
  </si>
  <si>
    <t>Lavender</t>
  </si>
  <si>
    <t>Ghost White</t>
  </si>
  <si>
    <t>Blue</t>
  </si>
  <si>
    <t>Green</t>
  </si>
  <si>
    <t>Cyan</t>
  </si>
  <si>
    <t>Red</t>
  </si>
  <si>
    <t>Magenta</t>
  </si>
  <si>
    <t>Yellow</t>
  </si>
  <si>
    <t>White</t>
  </si>
  <si>
    <t>Alice Blue</t>
  </si>
  <si>
    <t>Antique White</t>
  </si>
  <si>
    <t>Aqua</t>
  </si>
  <si>
    <t>Aquamarine</t>
  </si>
  <si>
    <t>Azure</t>
  </si>
  <si>
    <t>Beige</t>
  </si>
  <si>
    <t>Bisque</t>
  </si>
  <si>
    <t>Blanched Almond</t>
  </si>
  <si>
    <t>Blue Violet</t>
  </si>
  <si>
    <t>Brown</t>
  </si>
  <si>
    <t>Burlywood</t>
  </si>
  <si>
    <t>Cadet Blue</t>
  </si>
  <si>
    <t>Chartreuse</t>
  </si>
  <si>
    <t>Chocolate</t>
  </si>
  <si>
    <t>Coral</t>
  </si>
  <si>
    <t>Cornsilk</t>
  </si>
  <si>
    <t>Crimson</t>
  </si>
  <si>
    <t>Dark Blue</t>
  </si>
  <si>
    <t>Dark Cyan</t>
  </si>
  <si>
    <t>Dark Goldenrod</t>
  </si>
  <si>
    <t>Dark Gray</t>
  </si>
  <si>
    <t>Dark Green</t>
  </si>
  <si>
    <t>Dark Magenta</t>
  </si>
  <si>
    <t>Dark Red</t>
  </si>
  <si>
    <t>Dark Salmon</t>
  </si>
  <si>
    <t>Dark Sea Green</t>
  </si>
  <si>
    <t>Dark Slate Blue</t>
  </si>
  <si>
    <t>Dark Slate Gray</t>
  </si>
  <si>
    <t>Dark Violet</t>
  </si>
  <si>
    <t>Deep Pink</t>
  </si>
  <si>
    <t>Deep Sky Blue</t>
  </si>
  <si>
    <t>Dim Gray</t>
  </si>
  <si>
    <t>Dodger Blue</t>
  </si>
  <si>
    <t>Firebrick</t>
  </si>
  <si>
    <t>Floral White</t>
  </si>
  <si>
    <t>Forest Green</t>
  </si>
  <si>
    <t>Gainsboro</t>
  </si>
  <si>
    <t>Gold</t>
  </si>
  <si>
    <t>Goldenrod</t>
  </si>
  <si>
    <t>Gray</t>
  </si>
  <si>
    <t>Green Yellow</t>
  </si>
  <si>
    <t>Honeydew</t>
  </si>
  <si>
    <t>Hot Pink</t>
  </si>
  <si>
    <t>Indigo</t>
  </si>
  <si>
    <t>Ivory</t>
  </si>
  <si>
    <t>Khaki</t>
  </si>
  <si>
    <t>Lavender Blush</t>
  </si>
  <si>
    <t>Lawn Green</t>
  </si>
  <si>
    <t>Lemon Chiffon</t>
  </si>
  <si>
    <t>Light Blue</t>
  </si>
  <si>
    <t>Light Coral</t>
  </si>
  <si>
    <t>Light Goldenrod Yellow</t>
  </si>
  <si>
    <t>Light Gray</t>
  </si>
  <si>
    <t>Light Sea Green</t>
  </si>
  <si>
    <t>Lime</t>
  </si>
  <si>
    <t>Lime Green</t>
  </si>
  <si>
    <t>Linen</t>
  </si>
  <si>
    <t>Maroon</t>
  </si>
  <si>
    <t>Medium Blue</t>
  </si>
  <si>
    <t>Medium Sea Green</t>
  </si>
  <si>
    <t>Medium Turquoise</t>
  </si>
  <si>
    <t>Medium Violet Red</t>
  </si>
  <si>
    <t>Midnight Blue</t>
  </si>
  <si>
    <t>Mint Cream</t>
  </si>
  <si>
    <t>Misty Rose</t>
  </si>
  <si>
    <t>Moccasin</t>
  </si>
  <si>
    <t>Navajo White</t>
  </si>
  <si>
    <t>Navy</t>
  </si>
  <si>
    <t>Old Lace</t>
  </si>
  <si>
    <t>Olive</t>
  </si>
  <si>
    <t>Orange</t>
  </si>
  <si>
    <t>Orange Red</t>
  </si>
  <si>
    <t>Orchid</t>
  </si>
  <si>
    <t>Pale Goldenrod</t>
  </si>
  <si>
    <t>Pale Turquoise</t>
  </si>
  <si>
    <t>Papaya Whip</t>
  </si>
  <si>
    <t>Peach Puff</t>
  </si>
  <si>
    <t>Pink</t>
  </si>
  <si>
    <t>Plum</t>
  </si>
  <si>
    <t>Powder Blue</t>
  </si>
  <si>
    <t>Rebecca Purple</t>
  </si>
  <si>
    <t>Royal Blue</t>
  </si>
  <si>
    <t>Saddle Brown</t>
  </si>
  <si>
    <t>Salmon</t>
  </si>
  <si>
    <t>Sandy Brown</t>
  </si>
  <si>
    <t>Seashell</t>
  </si>
  <si>
    <t>Sienna</t>
  </si>
  <si>
    <t>Silver</t>
  </si>
  <si>
    <t>Sky Blue</t>
  </si>
  <si>
    <t>Slate Blue</t>
  </si>
  <si>
    <t>Snow</t>
  </si>
  <si>
    <t>Spring Green</t>
  </si>
  <si>
    <t>Steel Blue</t>
  </si>
  <si>
    <t>Teal</t>
  </si>
  <si>
    <t>Thistle</t>
  </si>
  <si>
    <t>Tomato</t>
  </si>
  <si>
    <t>Turquoise</t>
  </si>
  <si>
    <t>Violet</t>
  </si>
  <si>
    <t>Wheat</t>
  </si>
  <si>
    <t>White Smoke</t>
  </si>
  <si>
    <t>Yellow Green</t>
  </si>
  <si>
    <t>Paprika</t>
  </si>
  <si>
    <t>Hibiscus</t>
  </si>
  <si>
    <t>Hazelnut</t>
  </si>
  <si>
    <t>Copper</t>
  </si>
  <si>
    <t>Vermilion</t>
  </si>
  <si>
    <t>Lilac</t>
  </si>
  <si>
    <t>Strawberry</t>
  </si>
  <si>
    <t>Avocado</t>
  </si>
  <si>
    <t>Tangerine</t>
  </si>
  <si>
    <t>Clover</t>
  </si>
  <si>
    <t>Eggplant</t>
  </si>
  <si>
    <t>Sea Foam</t>
  </si>
  <si>
    <t>Almond</t>
  </si>
  <si>
    <t>Iris</t>
  </si>
  <si>
    <t>Topaz</t>
  </si>
  <si>
    <t>Terracotta</t>
  </si>
  <si>
    <t>Raspberry</t>
  </si>
  <si>
    <t>Heather</t>
  </si>
  <si>
    <t>Fern</t>
  </si>
  <si>
    <t>Peach</t>
  </si>
  <si>
    <t>Walnut</t>
  </si>
  <si>
    <t>Pine</t>
  </si>
  <si>
    <t>Aubergine</t>
  </si>
  <si>
    <t>Ochre</t>
  </si>
  <si>
    <t>Ebony</t>
  </si>
  <si>
    <t>Garnet</t>
  </si>
  <si>
    <t>Ruby</t>
  </si>
  <si>
    <t>Mocha</t>
  </si>
  <si>
    <t>Pearl</t>
  </si>
  <si>
    <t>Shadow</t>
  </si>
  <si>
    <t>Marigold</t>
  </si>
  <si>
    <t>Amethyst</t>
  </si>
  <si>
    <t>Coral Pink</t>
  </si>
  <si>
    <t>Electric Indigo</t>
  </si>
  <si>
    <t>Persian Red</t>
  </si>
  <si>
    <t>Wild Blue Yonder</t>
  </si>
  <si>
    <t>Neon Carrot</t>
  </si>
  <si>
    <t>Magic Mint</t>
  </si>
  <si>
    <t>Outer Space</t>
  </si>
  <si>
    <t>Razzmatazz</t>
  </si>
  <si>
    <t>Yellow Orange</t>
  </si>
  <si>
    <t>Mango Tango</t>
  </si>
  <si>
    <t>Mulberry</t>
  </si>
  <si>
    <t>Fuzzy Wuzzy</t>
  </si>
  <si>
    <t>Pacific Blue</t>
  </si>
  <si>
    <t>Radical Red</t>
  </si>
  <si>
    <t>Wild Watermelon</t>
  </si>
  <si>
    <t>Mountain Meadow</t>
  </si>
  <si>
    <t>Spring Bud</t>
  </si>
  <si>
    <t>Spanish Orange</t>
  </si>
  <si>
    <t>Ultramarine Blue</t>
  </si>
  <si>
    <t>Vivid Violet</t>
  </si>
  <si>
    <t>Caribbean Green</t>
  </si>
  <si>
    <t>Antique Brass</t>
  </si>
  <si>
    <t>Brick Red</t>
  </si>
  <si>
    <t>Gold Fusion</t>
  </si>
  <si>
    <t>Granny Smith Apple</t>
  </si>
  <si>
    <t>Tropical Rain Forest</t>
  </si>
  <si>
    <t>Purple Plum</t>
  </si>
  <si>
    <t>Silver Pink</t>
  </si>
  <si>
    <t>Wild Strawberry</t>
  </si>
  <si>
    <t>Blue Bell</t>
  </si>
  <si>
    <t>Carmine</t>
  </si>
  <si>
    <t>Jasper</t>
  </si>
  <si>
    <t>Cosmic Cobalt</t>
  </si>
  <si>
    <t>Green Sheen</t>
  </si>
  <si>
    <t>Denim</t>
  </si>
  <si>
    <t>Alabaster</t>
  </si>
  <si>
    <t>Acid Green</t>
  </si>
  <si>
    <t>Aero</t>
  </si>
  <si>
    <t>Alloy Orange</t>
  </si>
  <si>
    <t>Amaranth</t>
  </si>
  <si>
    <t>Raspberry Glace</t>
  </si>
  <si>
    <t>Beaver</t>
  </si>
  <si>
    <t>Pistachio</t>
  </si>
  <si>
    <t>Bistre</t>
  </si>
  <si>
    <t>Lavender Gray</t>
  </si>
  <si>
    <t>Bittersweet</t>
  </si>
  <si>
    <t>Purple Heart</t>
  </si>
  <si>
    <t>Blue Sapphire</t>
  </si>
  <si>
    <t>Midnight Green</t>
  </si>
  <si>
    <t>Spanish Viridian</t>
  </si>
  <si>
    <t>Persimmon</t>
  </si>
  <si>
    <t>Lava</t>
  </si>
  <si>
    <t>Cyan Azure</t>
  </si>
  <si>
    <t>Burgundy</t>
  </si>
  <si>
    <t>Russian Green</t>
  </si>
  <si>
    <t>Raspberry Rose</t>
  </si>
  <si>
    <t>Yellow Rose</t>
  </si>
  <si>
    <t>Wild Orchid</t>
  </si>
  <si>
    <t>Pink Pearl</t>
  </si>
  <si>
    <t>Ube</t>
  </si>
  <si>
    <t>Watermelon</t>
  </si>
  <si>
    <t>Zinnwaldite Brown</t>
  </si>
  <si>
    <t>Purple Taupe</t>
  </si>
  <si>
    <t>Pear</t>
  </si>
  <si>
    <t>Teal Blue</t>
  </si>
  <si>
    <t>Neon Green</t>
  </si>
  <si>
    <t>Neon Fuchsia</t>
  </si>
  <si>
    <t>Dark Brown</t>
  </si>
  <si>
    <t>Khaki Web</t>
  </si>
  <si>
    <t>Iceberg</t>
  </si>
  <si>
    <t>Jasmine</t>
  </si>
  <si>
    <t>Mahogany</t>
  </si>
  <si>
    <t>French Rose</t>
  </si>
  <si>
    <t>Cyan-Blue Azure</t>
  </si>
  <si>
    <t>Fuchsia</t>
  </si>
  <si>
    <t>1113: (123, 104, 238, 255, Accretion (sediment transport)),</t>
  </si>
  <si>
    <t>2038: (119, 136, 153, 255, Algal bloom (eutrophication)),</t>
  </si>
  <si>
    <t>2060: (186, 85, 211, 255, Algal bloom (high inland water temperatures)),</t>
  </si>
  <si>
    <t>2068: (255, 160, 122, 255, Algal bloom (increased temperature)),</t>
  </si>
  <si>
    <t>3027: (0, 206, 209, 255, Algal dieback (decreased temperature)),</t>
  </si>
  <si>
    <t>4012: (135, 206, 250, 255, Bare soil exposure (burning)),</t>
  </si>
  <si>
    <t>4037: (176, 196, 222, 255, Bare soil exposure (erosion)),</t>
  </si>
  <si>
    <t>4093: (147, 112, 219, 255, Bare soil exposure (ploughing)),</t>
  </si>
  <si>
    <t>4127: (219, 112, 147, 255, Bare soil exposure (tillage)),</t>
  </si>
  <si>
    <t>5072: (144, 238, 144, 255, Blackwater event (inundation following extended drought)),</t>
  </si>
  <si>
    <t>6026: (0, 250, 154, 255, Browning (vegetation) (decreased precipitation)),</t>
  </si>
  <si>
    <t>7022: (224, 255, 255, 255, Building or infrastructure abandonment (dam removal)),</t>
  </si>
  <si>
    <t>7047: (153, 50, 204, 255, Building or infrastructure abandonment (flooding)),</t>
  </si>
  <si>
    <t>7070: (100, 149, 237, 255, Building or infrastructure abandonment (increased wind)),</t>
  </si>
  <si>
    <t>7132: (255, 255, 224, 255, Building or infrastructure abandonment (urban fire)),</t>
  </si>
  <si>
    <t>8069: (255, 140, 0, 255, Compaction (increased traffic)),</t>
  </si>
  <si>
    <t>8088: (152, 251, 152, 255, Compaction (overgrazing (natural))),</t>
  </si>
  <si>
    <t>8089: (102, 205, 170, 255, Compaction (overgrazing (stock))),</t>
  </si>
  <si>
    <t>9062: (255, 182, 193, 255, Coral bleaching (increased acidity)),</t>
  </si>
  <si>
    <t>9099: (46, 139, 87, 255, Coral bleaching (prolonged temperature increase)),</t>
  </si>
  <si>
    <t>10073: (205, 133, 63, 255, Coral damage (invasive or exotic species)),</t>
  </si>
  <si>
    <t>10090: (205, 92, 92, 255, Coral damage (pathogens)),</t>
  </si>
  <si>
    <t>10114: (210, 180, 140, 255, Coral damage (sedimentation)),</t>
  </si>
  <si>
    <t>11023: (189, 183, 107, 255, Coral recovery (decreased acidity)),</t>
  </si>
  <si>
    <t>11098: (188, 143, 143, 255, Coral recovery (prolonged temperature decrease)),</t>
  </si>
  <si>
    <t>12020: (85, 107, 47, 255, Crop change in cultivated lands (crop rotation)),</t>
  </si>
  <si>
    <t>13032: (107, 142, 35, 255, Crop damage (drought)),</t>
  </si>
  <si>
    <t>13040: (112, 128, 144, 255, Crop damage (excess precipitation)),</t>
  </si>
  <si>
    <t>13041: (230, 230, 250, 255, Crop damage (excess rain)),</t>
  </si>
  <si>
    <t>13047: (248, 248, 255, 255, Crop damage (flooding)),</t>
  </si>
  <si>
    <t>13051: (0, 0, 255, 255, Crop damage (grazing (natural))),</t>
  </si>
  <si>
    <t>13052: (0, 128, 0, 255, Crop damage (grazing (stock))),</t>
  </si>
  <si>
    <t>13070: (0, 255, 255, 255, Crop damage (increased wind)),</t>
  </si>
  <si>
    <t>13071: (255, 0, 0, 255, Crop damage (insect herbivory)),</t>
  </si>
  <si>
    <t>13121: (255, 0, 255, 255, Crop damage (strong winds)),</t>
  </si>
  <si>
    <t>14092: (255, 255, 0, 255, Crop establishment (planting)),</t>
  </si>
  <si>
    <t>15004: (255, 255, 255, 255, Cropland gain (agricultural expansion)),</t>
  </si>
  <si>
    <t>15045: (240, 248, 255, 255, Cropland gain (farmland creation)),</t>
  </si>
  <si>
    <t>16005: (250, 235, 215, 255, Cropland loss (agricultural loss)),</t>
  </si>
  <si>
    <t>16008: (0, 255, 255, 255, Cropland loss (animal stock change)),</t>
  </si>
  <si>
    <t>16043: (127, 255, 212, 255, Cropland loss (fallowing)),</t>
  </si>
  <si>
    <t>16044: (240, 255, 255, 255, Cropland loss (farmland abandonment)),</t>
  </si>
  <si>
    <t>16061: (245, 245, 220, 255, Cropland loss (idle or fallow in rotation)),</t>
  </si>
  <si>
    <t>17099: (255, 228, 196, 255, Deglaciation (prolonged temperature increase)),</t>
  </si>
  <si>
    <t>18057: (255, 235, 205, 255, Desalinisation (gypsum application)),</t>
  </si>
  <si>
    <t>19099: (138, 43, 226, 255, Desertification (prolonged temperature increase)),</t>
  </si>
  <si>
    <t>20030: (165, 42, 42, 255, Elevation change (deposition)),</t>
  </si>
  <si>
    <t>20034: (222, 184, 135, 255, Elevation change (earthquake)),</t>
  </si>
  <si>
    <t>20076: (95, 158, 160, 255, Elevation change (landslide)),</t>
  </si>
  <si>
    <t>20082: (127, 255, 0, 255, Elevation change (mining)),</t>
  </si>
  <si>
    <t>20123: (210, 105, 30, 255, Elevation change (subsidence)),</t>
  </si>
  <si>
    <t>20138: (255, 127, 80, 255, Elevation change (waste dumping)),</t>
  </si>
  <si>
    <t>21017: (255, 248, 220, 255, Erosion (construction)),</t>
  </si>
  <si>
    <t>21040: (220, 20, 60, 255, Erosion (excess precipitation)),</t>
  </si>
  <si>
    <t>21049: (0, 0, 139, 255, Erosion (frost)),</t>
  </si>
  <si>
    <t>21069: (0, 139, 139, 255, Erosion (increased traffic)),</t>
  </si>
  <si>
    <t>21070: (184, 134, 11, 255, Erosion (increased wind)),</t>
  </si>
  <si>
    <t>21112: (169, 169, 169, 255, Erosion (sea level fluctuation)),</t>
  </si>
  <si>
    <t>21128: (0, 100, 0, 255, Erosion (topsoil removal)),</t>
  </si>
  <si>
    <t>21139: (139, 0, 139, 255, Erosion (water movement change)),</t>
  </si>
  <si>
    <t>21141: (255, 140, 0, 255, Erosion (wave action)),</t>
  </si>
  <si>
    <t>22041: (139, 0, 0, 255, Flooding (excess rain)),</t>
  </si>
  <si>
    <t>22042: (233, 150, 122, 255, Flooding (excess snow)),</t>
  </si>
  <si>
    <t>23082: (143, 188, 143, 255, Geomorphological change (mining)),</t>
  </si>
  <si>
    <t>24098: (72, 61, 139, 255, Glaciation (prolonged temperature decrease)),</t>
  </si>
  <si>
    <t>25067: (47, 79, 79, 255, Greening (increased precipitation)),</t>
  </si>
  <si>
    <t>26113: (0, 206, 209, 255, Increased sediment load (sediment transport)),</t>
  </si>
  <si>
    <t>27047: (148, 0, 211, 255, Inundation (flooding)),</t>
  </si>
  <si>
    <t>27112: (255, 20, 147, 255, Inundation (sea level fluctuation)),</t>
  </si>
  <si>
    <t>28137: (0, 191, 255, 255, Lava flow (volcanic eruption)),</t>
  </si>
  <si>
    <t>29121: (105, 105, 105, 255, Leaf scorch (strong winds)),</t>
  </si>
  <si>
    <t>30100: (30, 144, 255, 255, Mine abandonment (reduced investment)),</t>
  </si>
  <si>
    <t>31064: (178, 34, 34, 255, Mine expansion (increased investment)),</t>
  </si>
  <si>
    <t>32030: (255, 250, 240, 255, Natural surface gain (deposition)),</t>
  </si>
  <si>
    <t>32134: (34, 139, 34, 255, Natural surface gain (urban rehabilitation)),</t>
  </si>
  <si>
    <t>33082: (220, 220, 220, 255, Natural surface loss (mining)),</t>
  </si>
  <si>
    <t>34117: (255, 215, 0, 255, Net snow gain (amount) (snowfall)),</t>
  </si>
  <si>
    <t>35118: (218, 165, 32, 255, Net snow loss (amount) (snowmelt)),</t>
  </si>
  <si>
    <t>36117: (128, 128, 128, 255, Net snow gain (extent) (snowfall)),</t>
  </si>
  <si>
    <t>37118: (173, 255, 47, 255, Net snow loss (extent) (snowmelt)),</t>
  </si>
  <si>
    <t>38098: (240, 255, 240, 255, Net snow gain (hydroperiod) (prolonged temperature decrease)),</t>
  </si>
  <si>
    <t>39099: (255, 105, 180, 255, Net snow loss (hydroperiod) (prolonged temperature increase)),</t>
  </si>
  <si>
    <t>40084: (75, 0, 130, 255, Phenological change (natural diurnal and seasonal cycles)),</t>
  </si>
  <si>
    <t>41100: (255, 255, 240, 255, Railway or road abandonment (reduced investment)),</t>
  </si>
  <si>
    <t>42064: (240, 230, 140, 255, Railway or road construction (increased investment)),</t>
  </si>
  <si>
    <t>43102: (255, 240, 245, 255, Receding Flood (reduced runoff post flood)),</t>
  </si>
  <si>
    <t>44039: (124, 252, 0, 255, Salinisation (evaporation)),</t>
  </si>
  <si>
    <t>44112: (255, 250, 205, 255, Salinisation (sea level fluctuation)),</t>
  </si>
  <si>
    <t>45099: (173, 216, 230, 255, Sea ice decrease (prolonged temperature increase)),</t>
  </si>
  <si>
    <t>46098: (240, 128, 128, 255, Sea ice increase (prolonged temperature decrease)),</t>
  </si>
  <si>
    <t>47087: (250, 250, 210, 255, Sea level fall (ocean-atmosphere oscillations)),</t>
  </si>
  <si>
    <t>48079: (211, 211, 211, 255, Sea level rise (melting ice sheets/glaciers)),</t>
  </si>
  <si>
    <t>48125: (255, 182, 193, 255, Sea level rise (thermal expansion)),</t>
  </si>
  <si>
    <t>49031: (255, 160, 122, 255, Sedimentation (dredging)),</t>
  </si>
  <si>
    <t>50123: (32, 178, 170, 255, Sink hole (subsidence)),</t>
  </si>
  <si>
    <t>51117: (119, 136, 153, 255, Snow accumulation (snowfall)),</t>
  </si>
  <si>
    <t>52068: (176, 196, 222, 255, Snow melt (increased temperature)),</t>
  </si>
  <si>
    <t>53034: (255, 255, 224, 255, Urban area loss (earthquake)),</t>
  </si>
  <si>
    <t>53047: (0, 255, 0, 255, Urban area loss (flooding)),</t>
  </si>
  <si>
    <t>53129: (50, 205, 50, 255, Urban area loss (tropical cyclone)),</t>
  </si>
  <si>
    <t>54047: (250, 240, 230, 255, Urban damage (flooding)),</t>
  </si>
  <si>
    <t>54070: (128, 0, 0, 255, Urban damage (increased wind)),</t>
  </si>
  <si>
    <t>54132: (102, 205, 170, 255, Urban damage (urban fire)),</t>
  </si>
  <si>
    <t>55021: (0, 0, 205, 255, Urban decay (dam failure)),</t>
  </si>
  <si>
    <t>55080: (147, 112, 219, 255, Urban decay (mine abandonment)),</t>
  </si>
  <si>
    <t>55123: (60, 179, 113, 255, Urban decay (subsidence)),</t>
  </si>
  <si>
    <t>56017: (123, 104, 238, 255, Urban densification (construction)),</t>
  </si>
  <si>
    <t>57077: (72, 209, 204, 255, Urban development (levelling)),</t>
  </si>
  <si>
    <t>58017: (199, 21, 133, 255, Urban growth (construction)),</t>
  </si>
  <si>
    <t>59109: (25, 25, 112, 255, Urban renewal (repairing damage)),</t>
  </si>
  <si>
    <t>60017: (245, 255, 250, 255, Urban sprawl (construction)),</t>
  </si>
  <si>
    <t>61013: (255, 228, 225, 255, Vegetation damage (bushfire)),</t>
  </si>
  <si>
    <t>61040: (255, 228, 181, 255, Vegetation damage (excess precipitation)),</t>
  </si>
  <si>
    <t>61041: (255, 222, 173, 255, Vegetation damage (excess rain)),</t>
  </si>
  <si>
    <t>61047: (0, 0, 128, 255, Vegetation damage (flooding)),</t>
  </si>
  <si>
    <t>61049: (253, 245, 230, 255, Vegetation damage (frost)),</t>
  </si>
  <si>
    <t>61070: (128, 128, 0, 255, Vegetation damage (increased wind)),</t>
  </si>
  <si>
    <t>61078: (255, 165, 0, 255, Vegetation damage (mechanical intervention)),</t>
  </si>
  <si>
    <t>61095: (255, 69, 0, 255, Vegetation damage (prescribed burn)),</t>
  </si>
  <si>
    <t>61097: (218, 112, 214, 255, Vegetation damage (prolonged snow cover)),</t>
  </si>
  <si>
    <t>61116: (238, 232, 170, 255, Vegetation damage (severe thunderstorm)),</t>
  </si>
  <si>
    <t>61121: (175, 238, 238, 255, Vegetation damage (strong winds)),</t>
  </si>
  <si>
    <t>62007: (255, 239, 213, 255, Vegetation dieback (anchoring)),</t>
  </si>
  <si>
    <t>62015: (255, 218, 185, 255, Vegetation dieback (cold snap)),</t>
  </si>
  <si>
    <t>62032: (255, 192, 203, 255, Vegetation dieback (drought)),</t>
  </si>
  <si>
    <t>62059: (221, 160, 221, 255, Vegetation dieback (heatwave)),</t>
  </si>
  <si>
    <t>62070: (176, 224, 230, 255, Vegetation dieback (increased wind)),</t>
  </si>
  <si>
    <t>62085: (102, 51, 153, 255, Vegetation dieback (non-insect herbivory (natural))),</t>
  </si>
  <si>
    <t>62090: (65, 105, 225, 255, Vegetation dieback (pathogens)),</t>
  </si>
  <si>
    <t>62094: (139, 69, 19, 255, Vegetation dieback (pollution)),</t>
  </si>
  <si>
    <t>62096: (250, 128, 114, 255, Vegetation dieback (prolonged inundation)),</t>
  </si>
  <si>
    <t>62097: (244, 164, 96, 255, Vegetation dieback (prolonged snow cover)),</t>
  </si>
  <si>
    <t>62112: (255, 245, 238, 255, Vegetation dieback (sea level fluctuation)),</t>
  </si>
  <si>
    <t>62119: (160, 82, 45, 255, Vegetation dieback (soil salinisation)),</t>
  </si>
  <si>
    <t>62140: (192, 192, 192, 255, Vegetation dieback (water salinisation)),</t>
  </si>
  <si>
    <t>63003: (135, 206, 235, 255, Vegetation gain (amount) (afforestation)),</t>
  </si>
  <si>
    <t>63014: (106, 90, 205, 255, Vegetation gain (amount) (bushfire recovery)),</t>
  </si>
  <si>
    <t>63035: (255, 250, 250, 255, Vegetation gain (amount) (ecological restoration)),</t>
  </si>
  <si>
    <t>63036: (0, 255, 127, 255, Vegetation gain (amount) (encroachment)),</t>
  </si>
  <si>
    <t>63044: (70, 130, 180, 255, Vegetation gain (amount) (farmland abandonment)),</t>
  </si>
  <si>
    <t>63046: (0, 128, 128, 255, Vegetation gain (amount) (fertiliser application)),</t>
  </si>
  <si>
    <t>63056: (216, 191, 216, 255, Vegetation gain (amount) (growth)),</t>
  </si>
  <si>
    <t>63101: (255, 99, 71, 255, Vegetation gain (amount) (reduced or cessation of grazing)),</t>
  </si>
  <si>
    <t>63104: (64, 224, 208, 255, Vegetation gain (amount) (reforestation (natural))),</t>
  </si>
  <si>
    <t>63105: (238, 130, 238, 255, Vegetation gain (amount) (reforestation (plantations))),</t>
  </si>
  <si>
    <t>63106: (245, 222, 179, 255, Vegetation gain (amount) (regrowth)),</t>
  </si>
  <si>
    <t>63108: (245, 245, 245, 255, Vegetation gain (amount) (removal of herbivores)),</t>
  </si>
  <si>
    <t>63110: (154, 205, 50, 255, Vegetation gain (amount) (revegetation)),</t>
  </si>
  <si>
    <t>63126: (141, 43, 11, 255, Vegetation gain (amount) (thinning)),</t>
  </si>
  <si>
    <t>63133: (182, 49, 108, 255, Vegetation gain (amount) (urban greening)),</t>
  </si>
  <si>
    <t>63136: (184, 125, 73, 255, Vegetation gain (amount) (vegetation thickening)),</t>
  </si>
  <si>
    <t>64003: (184, 115, 51, 255, Vegetation gain (extent) (afforestation)),</t>
  </si>
  <si>
    <t>64016: (227, 66, 52, 255, Vegetation gain (extent) (colonisation)),</t>
  </si>
  <si>
    <t>64028: (200, 162, 200, 255, Vegetation gain (extent) (decreased wave action)),</t>
  </si>
  <si>
    <t>64035: (252, 90, 141, 255, Vegetation gain (extent) (ecological restoration)),</t>
  </si>
  <si>
    <t>64053: (86, 130, 3, 255, Vegetation gain (extent) (greenspace construction)),</t>
  </si>
  <si>
    <t>64081: (255, 160, 0, 255, Vegetation gain (extent) (mine site rehabilitation)),</t>
  </si>
  <si>
    <t>64092: (78, 135, 32, 255, Vegetation gain (extent) (planting)),</t>
  </si>
  <si>
    <t>64107: (97, 64, 81, 255, Vegetation gain (extent) (rehabilitation)),</t>
  </si>
  <si>
    <t>64110: (128, 255, 159, 255, Vegetation gain (extent) (revegetation)),</t>
  </si>
  <si>
    <t>64118: (234, 215, 160, 255, Vegetation gain (extent) (snowmelt)),</t>
  </si>
  <si>
    <t>65001: (90, 79, 207, 255, Vegetation health deterioration (abandonment of fertilizer application)),</t>
  </si>
  <si>
    <t>65025: (26, 72, 118, 255, Vegetation health deterioration (decreased nutrient supply in soil)),</t>
  </si>
  <si>
    <t>66046: (123, 63, 0, 255, Vegetation health improvement (fertiliser application)),</t>
  </si>
  <si>
    <t>66066: (226, 114, 91, 255, Vegetation health improvement (increased nutrient supply in soil)),</t>
  </si>
  <si>
    <t>66074: (227, 11, 92, 255, Vegetation health improvement (irrigation)),</t>
  </si>
  <si>
    <t>67013: (183, 195, 243, 255, Vegetation loss (extent) (bushfire)),</t>
  </si>
  <si>
    <t>67029: (99, 169, 80, 255, Vegetation loss (extent) (deforestation)),</t>
  </si>
  <si>
    <t>67032: (255, 218, 191, 255, Vegetation loss (extent) (drought)),</t>
  </si>
  <si>
    <t>67041: (119, 63, 26, 255, Vegetation loss (extent) (excess rain)),</t>
  </si>
  <si>
    <t>67044: (43, 93, 52, 255, Vegetation loss (extent) (farmland abandonment)),</t>
  </si>
  <si>
    <t>67047: (61, 7, 52, 255, Vegetation loss (extent) (flooding)),</t>
  </si>
  <si>
    <t>67075: (204, 119, 34, 255, Vegetation loss (extent) (land reclamation)),</t>
  </si>
  <si>
    <t>67111: (85, 93, 80, 255, Vegetation loss (extent) (sea defence construction)),</t>
  </si>
  <si>
    <t>67116: (115, 54, 53, 255, Vegetation loss (extent) (severe thunderstorm)),</t>
  </si>
  <si>
    <t>67121: (170, 64, 105, 255, Vegetation loss (extent) (strong winds)),</t>
  </si>
  <si>
    <t>67135: (88, 41, 0, 255, Vegetation loss (extent) (vegetation clearance)),</t>
  </si>
  <si>
    <t>67142: (234, 224, 200, 255, Vegetation loss (extent) (wave action)),</t>
  </si>
  <si>
    <t>68013: (138, 121, 93, 255, Vegetation reduction (amount) (bushfire)),</t>
  </si>
  <si>
    <t>68019: (255, 182, 30, 255, Vegetation reduction (amount) (coppicing)),</t>
  </si>
  <si>
    <t>68025: (153, 102, 204, 255, Vegetation reduction (amount) (decreased nutrient supply in soil)),</t>
  </si>
  <si>
    <t>68044: (248, 131, 121, 255, Vegetation reduction (amount) (farmland abandonment)),</t>
  </si>
  <si>
    <t>68050: (111, 0, 255, 255, Vegetation reduction (amount) (fuelwood collection)),</t>
  </si>
  <si>
    <t>68058: (217, 0, 0, 255, Vegetation reduction (amount) (harvesting)),</t>
  </si>
  <si>
    <t>68071: (162, 173, 208, 255, Vegetation reduction (amount) (insect herbivory)),</t>
  </si>
  <si>
    <t>68083: (255, 163, 67, 255, Vegetation reduction (amount) (mowing)),</t>
  </si>
  <si>
    <t>68085: (170, 240, 209, 255, Vegetation reduction (amount) (non-insect herbivory (natural))),</t>
  </si>
  <si>
    <t>68088: (65, 74, 76, 255, Vegetation reduction (amount) (overgrazing (natural))),</t>
  </si>
  <si>
    <t>68089: (227, 37, 107, 255, Vegetation reduction (amount) (overgrazing (stock))),</t>
  </si>
  <si>
    <t>68091: (255, 174, 66, 255, Vegetation reduction (amount) (pesticide application)),</t>
  </si>
  <si>
    <t>68095: (255, 130, 67, 255, Vegetation reduction (amount) (prescribed burn)),</t>
  </si>
  <si>
    <t>68114: (200, 80, 155, 255, Vegetation reduction (amount) (sedimentation)),</t>
  </si>
  <si>
    <t>68115: (135, 66, 31, 255, Vegetation reduction (amount) (selective logging)),</t>
  </si>
  <si>
    <t>68122: (28, 169, 201, 255, Vegetation reduction (amount) (stubble burn)),</t>
  </si>
  <si>
    <t>68126: (255, 53, 94, 255, Vegetation reduction (amount) (thinning)),</t>
  </si>
  <si>
    <t>69051: (252, 108, 133, 255, Vegetation reduction in understorey (amount) (grazing (natural))),</t>
  </si>
  <si>
    <t>69052: (48, 186, 143, 255, Vegetation reduction in understorey (amount) (grazing (stock))),</t>
  </si>
  <si>
    <t>69085: (167, 252, 0, 255, Vegetation reduction in understorey (amount) (non-insect herbivory (natural))),</t>
  </si>
  <si>
    <t>70006: (232, 97, 0, 255, Vegetation species change (amenity development)),</t>
  </si>
  <si>
    <t>70011: (65, 102, 245, 255, Vegetation species change (atmospheric deposition)),</t>
  </si>
  <si>
    <t>70012: (159, 0, 255, 255, Vegetation species change (burning)),</t>
  </si>
  <si>
    <t>70018: (0, 204, 153, 255, Vegetation species change (control of invasive or exotic species)),</t>
  </si>
  <si>
    <t>70023: (205, 149, 117, 255, Vegetation species change (decreased acidity)),</t>
  </si>
  <si>
    <t>70024: (203, 65, 84, 255, Vegetation species change (decreased alkalinity)),</t>
  </si>
  <si>
    <t>70025: (133, 117, 78, 255, Vegetation species change (decreased nutrient supply in soil)),</t>
  </si>
  <si>
    <t>70047: (168, 228, 160, 255, Vegetation species change (flooding)),</t>
  </si>
  <si>
    <t>70051: (0, 117, 94, 255, Vegetation species change (grazing (natural))),</t>
  </si>
  <si>
    <t>70052: (204, 51, 51, 255, Vegetation species change (grazing (stock))),</t>
  </si>
  <si>
    <t>70054: (156, 81, 182, 255, Vegetation species change (ground water extraction)),</t>
  </si>
  <si>
    <t>70055: (196, 174, 173, 255, Vegetation species change (ground water recharge)),</t>
  </si>
  <si>
    <t>70062: (255, 67, 164, 255, Vegetation species change (increased acidity)),</t>
  </si>
  <si>
    <t>70063: (162, 162, 208, 255, Vegetation species change (increased alkalinity)),</t>
  </si>
  <si>
    <t>70065: (150, 0, 24, 255, Vegetation species change (increased nutrient supply in soil)),</t>
  </si>
  <si>
    <t>70073: (215, 59, 62, 255, Vegetation species change (invasive/exotic species)),</t>
  </si>
  <si>
    <t>70088: (46, 45, 136, 255, Vegetation species change (overgrazing (natural))),</t>
  </si>
  <si>
    <t>70089: (110, 174, 161, 255, Vegetation species change (overgrazing (stock))),</t>
  </si>
  <si>
    <t>70090: (21, 96, 189, 255, Vegetation species change (pathogens)),</t>
  </si>
  <si>
    <t>70091: (242, 240, 230, 255, Vegetation species change (pesticide application)),</t>
  </si>
  <si>
    <t>70094: (176, 191, 26, 255, Vegetation species change (pollution)),</t>
  </si>
  <si>
    <t>70096: (124, 185, 232, 255, Vegetation species change (prolonged inundation)),</t>
  </si>
  <si>
    <t>70124: (196, 98, 16, 255, Vegetation species change (succession)),</t>
  </si>
  <si>
    <t>70130: (229, 43, 80, 255, Vegetation species change (undergrazing (natural))),</t>
  </si>
  <si>
    <t>70131: (145, 95, 109, 255, Vegetation species change (undergrazing (stock))),</t>
  </si>
  <si>
    <t>71002: (159, 129, 112, 255, Water depth decrease (abstraction)),</t>
  </si>
  <si>
    <t>71021: (147, 197, 114, 255, Water depth decrease (dam failure)),</t>
  </si>
  <si>
    <t>71022: (61, 43, 31, 255, Water depth decrease (dam removal)),</t>
  </si>
  <si>
    <t>71030: (196, 195, 208, 255, Water depth decrease (deposition)),</t>
  </si>
  <si>
    <t>71039: (254, 111, 94, 255, Water depth decrease (evaporation)),</t>
  </si>
  <si>
    <t>72017: (105, 53, 156, 255, Water depth increase (construction)),</t>
  </si>
  <si>
    <t>72031: (18, 97, 128, 255, Water depth increase (dredging)),</t>
  </si>
  <si>
    <t>72047: (0, 73, 83, 255, Water depth increase (flooding)),</t>
  </si>
  <si>
    <t>72112: (0, 127, 92, 255, Water depth increase (sea level fluctuation)),</t>
  </si>
  <si>
    <t>72118: (236, 88, 0, 255, Water depth increase (snowmelt)),</t>
  </si>
  <si>
    <t>73009: (207, 16, 32, 255, Water gain (extent) (aquaculture expansion)),</t>
  </si>
  <si>
    <t>73040: (78, 130, 180, 255, Water gain (extent) (excess precipitation)),</t>
  </si>
  <si>
    <t>73047: (128, 0, 32, 255, Water gain (extent) (flooding)),</t>
  </si>
  <si>
    <t>73120: (103, 146, 103, 255, Water gain (extent) (storm surge)),</t>
  </si>
  <si>
    <t>73144: (179, 68, 108, 255, Water gain (extent) (wetland restoration and/or construction)),</t>
  </si>
  <si>
    <t>74010: (255, 240, 0, 255, Water loss (extent) (aquaculture loss)),</t>
  </si>
  <si>
    <t>74033: (212, 112, 162, 255, Water loss (extent) (drying)),</t>
  </si>
  <si>
    <t>74075: (231, 172, 207, 255, Water loss (extent) (land reclamation)),</t>
  </si>
  <si>
    <t>74103: (136, 120, 195, 255, Water loss (extent) (reduced snowfall)),</t>
  </si>
  <si>
    <t>74143: (252, 108, 133, 255, Water loss (extent) (wetland drainage)),</t>
  </si>
  <si>
    <t>75048: (44, 22, 8, 255, Water quality change (fracking)),</t>
  </si>
  <si>
    <t>75086: (80, 64, 77, 255, Water quality change (nutrification)),</t>
  </si>
  <si>
    <t>75094: (209, 226, 49, 255, Water quality change (pollution)),</t>
  </si>
  <si>
    <t>: (54, 117, 136, , ),</t>
  </si>
  <si>
    <t>: (57, 255, 20, , ),</t>
  </si>
  <si>
    <t>: (254, 65, 100, , ),</t>
  </si>
  <si>
    <t>: (101, 67, 33, , ),</t>
  </si>
  <si>
    <t>: (195, 176, 145, , ),</t>
  </si>
  <si>
    <t>: (113, 166, 210, , ),</t>
  </si>
  <si>
    <t>: (248, 222, 126, , ),</t>
  </si>
  <si>
    <t>: (192, 64, 0, , ),</t>
  </si>
  <si>
    <t>: (246, 74, 138, , ),</t>
  </si>
  <si>
    <t>: (70, 130, 191, , ),</t>
  </si>
  <si>
    <t>: (255, 0, 255, , ),</t>
  </si>
  <si>
    <t>Canopycoa_Ev</t>
  </si>
  <si>
    <t>Term</t>
  </si>
  <si>
    <t>Definition</t>
  </si>
  <si>
    <t>Copyright</t>
  </si>
  <si>
    <t>Authority</t>
  </si>
  <si>
    <t>Authority citation</t>
  </si>
  <si>
    <t>Authority link</t>
  </si>
  <si>
    <t>The build-up of sediments to form land or shoaling in coastal waters or waterways. It may be either natural or artificial. Natural accretion is the build-up of land on the beach, dunes, or in the water by natural processes, such as waves, current and wind. Artificial accretion is a similar build-up of land resulting from built structures such as groynes or breakwaters, or activities such as filling and beach nourishment, or also aggradation.</t>
  </si>
  <si>
    <t>The definition for this term is re-used from 'Costal Management Glossary', Office of Environment and Heritage © 2018 State of NSW and Office of Environment and Heritage. It is licensed under the Creative Commons Attribution 4.0 International (CC BY 4.0).</t>
  </si>
  <si>
    <t>Office of Environment and Heritage</t>
  </si>
  <si>
    <t>OEH 2018. Coastal Management Glossary. &lt;last accessed 14th Dec 2020 https://www.environment.nsw.gov.au/research-and-publications/publications-search/coastal-management-glossary&gt;</t>
  </si>
  <si>
    <t>https://www.environment.nsw.gov.au/-/media/OEH/Corporate-Site/Documents/Water/Coasts/coastal-management-glossary-180195.pdf</t>
  </si>
  <si>
    <t>A sudden proliferation of algae (microscopic plants) that occurs near the surface of a body of water. Blooms can occur due to natural nutrient cycles, or can be in response to eutrophication or climate variations.</t>
  </si>
  <si>
    <t>The definition for this term is re-used from Australia State of the Environment 2016 Glossary, © Commonwealth of Australia 2017-2018. It is licenced by the Commonwealth of Australia for use under a Creative Commons Attribution 4.0 International licence.</t>
  </si>
  <si>
    <t>Loss of algae (microscopic plants) that occurs near the surface of a body of water.</t>
  </si>
  <si>
    <t>Part of the definition for this term is re-used from Australia State of the Environment 2016 Glossary, © Commonwealth of Australia 2017-2018. It is licenced by the Commonwealth of Australia for use under a Creative Commons Attribution 4.0 International licence.</t>
  </si>
  <si>
    <t>Appearance of underlying soil following human or natural disturbance, such as removal of top soil prior to urban construction or grazing of natural vegetation.</t>
  </si>
  <si>
    <t>Blackwater event</t>
  </si>
  <si>
    <t>When organic material is inundated or washed into waterways and consumed by bacteria, leading to a sudden depletion of dissolved oxygen in the water.</t>
  </si>
  <si>
    <t>A decrease in the amount or loss of photosynthetically active pigments (primarily chlorophylls) in vegetation.</t>
  </si>
  <si>
    <t>Building or infrastucture abandonment</t>
  </si>
  <si>
    <t>Process that brings about an increase in soil density or unit weight, accompanied by a decrease in air volume.</t>
  </si>
  <si>
    <t>The definition for this term is re-used from 'Compaction', University of West England, Copyright 2020 © UWE Bristol</t>
  </si>
  <si>
    <t>University of New England</t>
  </si>
  <si>
    <t>http://environment.uwe.ac.uk/geocal/SoilMech/compaction/compaction.htm</t>
  </si>
  <si>
    <t>When the coral host expels its zooxanthellae (marine algae living in symbiosis with the coral) in response to increased water temperatures, often resulting in the death of the coral.</t>
  </si>
  <si>
    <t>Physical damage or loss of a coral reef that is not the result of changes in water. temperature.</t>
  </si>
  <si>
    <t>Replacement of one crop type by another.</t>
  </si>
  <si>
    <t>Loss of or harm to crops during or following a disturbance.</t>
  </si>
  <si>
    <t>Increase of total cropping area or total area sown.</t>
  </si>
  <si>
    <t>Decrease of total cropping area or total area sown.</t>
  </si>
  <si>
    <t>The definition for this term is re-used from 'Deglaciation', The Free Dictionary. Copyright © 2003-2021 Farlex, Inc</t>
  </si>
  <si>
    <t>https://www.thefreedictionary.com/deglaciation</t>
  </si>
  <si>
    <t>The process of soils becoming less salty; the reduction of soluble salts in water bodies.</t>
  </si>
  <si>
    <t>Reduction in the productivity of the land that is not reversible. In other words, land is desertified when it can no longer support the same plant growth it had in the past, and the change is permanent on a human time scale.</t>
  </si>
  <si>
    <t>Part of the definition for this term is re-used from 'Defining Desertification', NASA Earth Observatory. No specific copyright info (only this: https://www.nasa.gov/multimedia/guidelines/index.html)</t>
  </si>
  <si>
    <t>NASA Earth Observatory</t>
  </si>
  <si>
    <t>https://earthobservatory.nasa.gov/features/Desertification/desertification2.php</t>
  </si>
  <si>
    <t>Part of the definition for this term is re-used from 'Elevation', Macquarie Dictionary. © Macmillan Publishers Australia 2020. All rights reserved.</t>
  </si>
  <si>
    <t>Macquarie Dictionary</t>
  </si>
  <si>
    <t>https://www.macquariedictionary.com.au/features/word/search/?search_word_type=Dictionary&amp;word=elevation</t>
  </si>
  <si>
    <t>Geological process in which earthen materials are worn away and transported by natural forces such as wind or water.</t>
  </si>
  <si>
    <t>A geomorphic adjustment that changes the geometry of landforms. Examples include estuarine evolution and beach rotation in coastal areas and mountain uplift.</t>
  </si>
  <si>
    <t>An increase in the amount of photosynthetically active pigments (primarily chlorophylls) in vegetation.</t>
  </si>
  <si>
    <t>Increase in the amount of a substance discharged into a body of water (e.g. salt or sediment).</t>
  </si>
  <si>
    <t>Part of the definition for this term is re-used from 'Glossary', Northern Territory Environment Protection Authority,© Copyright 2020 NTEPA</t>
  </si>
  <si>
    <t>Northern Territory Environment Protection Authority</t>
  </si>
  <si>
    <t>NTEPA 2005, Glossary, Enesar Consulting Pty Ltd, NTEPA</t>
  </si>
  <si>
    <t>https://ntepa.nt.gov.au/__data/assets/pdf_file/0007/286567/chp12.pdf</t>
  </si>
  <si>
    <t>A mass of molten rock produced during the eruption of a volcano and moving down its sides.</t>
  </si>
  <si>
    <t>The definition for this term is re-used from 'Lava flow', Macquarie Dictionary. © Macmillan Publishers Australia 2020. All rights reserved.</t>
  </si>
  <si>
    <t>https://www.macquariedictionary.com.au/features/word/search/?search_word_type=Dictionary&amp;word=lava+flow</t>
  </si>
  <si>
    <t>A non-infectious, physiological condition caused by unfavorable environmental situations. It is not caused by fungus, bacteria, or virus. The problem may appear on almost any plant if weather conditions are favourable, such as high temperatures, dry winds, salt carrying winds and low soil moisture.</t>
  </si>
  <si>
    <t>The definition for this term is re-used from 'Leaf scorch', The Morton Arboretum, © 2021 The Morton Arboretum</t>
  </si>
  <si>
    <t>The Morton Arboretum</t>
  </si>
  <si>
    <t>https://mortonarb.org/plant-and-protect/tree-plant-care/plant-care-resources/leaf-scorch/#!</t>
  </si>
  <si>
    <t>Creation of infrastructure in prepration for mining.</t>
  </si>
  <si>
    <t>Increase in the area occupied by a natural surface.</t>
  </si>
  <si>
    <t>Decrease in area of natural surface.</t>
  </si>
  <si>
    <t>The increase in the residence time of snow cover, often expressed as a percentage of a year.</t>
  </si>
  <si>
    <t>Loss of snow cover through melt resulting in exposure of the underlying surface.</t>
  </si>
  <si>
    <t>The decrease in the residence time of snow cover, often expressed as a percentage of a year.</t>
  </si>
  <si>
    <t>Alteration in the timing of natural lifecycle events.</t>
  </si>
  <si>
    <t>Transport infrastructure no longer in use and no new use observed.</t>
  </si>
  <si>
    <t>Building of a land cover that consists of a combination of materials to form a linear structure for the purpose of road or railroad transportation.</t>
  </si>
  <si>
    <t>Part of the definition for this term is re-used from 'Glossary of Terms for United States National Vegetation Classification'.</t>
  </si>
  <si>
    <t>United States National Vegetation Classification</t>
  </si>
  <si>
    <t>https://www.blm.gov/sites/blm.gov/files/uploads/IM2013-111_att2.pdf</t>
  </si>
  <si>
    <t>Movement of water away from an area after a flood.</t>
  </si>
  <si>
    <t>The process of soils becoming more salty; the accumulation of soluble salts in water bodies.</t>
  </si>
  <si>
    <t>Decrease in the extent and/or volume of frozen marine water.</t>
  </si>
  <si>
    <t>Increae in the extent and/or volume of frozen marine water.</t>
  </si>
  <si>
    <t>An decrease in the mean level of the oceans. Relative sea level occurs where there is a local increase in the level of the ocean relative to the land, which might be caused by ocean falling, the land rising, or both. I</t>
  </si>
  <si>
    <t>Part of the definition for this term is re-used from 'Costal Management Glossary', Office of Environment and Heritage © 2018 State of NSW and Office of Environment and Heritage. It is licensed under the Creative Commons Attribution 4.0 International (CC BY 4.0).</t>
  </si>
  <si>
    <t>An increase in the mean level of the oceans. Relative sea level occurs where there is a local increase in the level of the ocean relative to the land, which might be caused by ocean rising, the land subsiding, or both. In areas with rapid land level uplift (e.g. seismically active areas), relative sea level can fall.</t>
  </si>
  <si>
    <t>Sinkhole</t>
  </si>
  <si>
    <t>A sinkhole is a closed natural depression in the ground surface caused by removal of material below the ground and either collapse or gradual subsidence of the surface into the resulting void.</t>
  </si>
  <si>
    <t>The definition for this term is re-used from 'What is the difference between a sinkhole and a pothole?', USGS. Generally, materials produced by federal agencies are in the public domain and may be reproduced without permission.</t>
  </si>
  <si>
    <t>United States Geological Survey</t>
  </si>
  <si>
    <t>https://www.usgs.gov/faqs/what-difference-between-a-sinkhole-and-a-pothole?qt-news_science_products=0#qt-news_science_products</t>
  </si>
  <si>
    <t>Damage to urban buildings and infrastructure.</t>
  </si>
  <si>
    <t>The process of deterioration in the integrity of buildings and infrastructure.</t>
  </si>
  <si>
    <t>Part of the definition for this term is re-used from 'Dictionary of Geographical Terms', © 2007 - 2020 Collins Learning, a division of HarperCollins Publishers Ltd, registered in Scotland, Company No.27389. Registered address: Westerhill Road, Bishopbriggs, Glasgow, G64 2QT. © 2020 National Geographic Partners, LLC.</t>
  </si>
  <si>
    <t>https://resources.collins.co.uk/Wesbite%20images/KS3Geography/TB2/Dictionary%20of%20geographical%20terms.pdf</t>
  </si>
  <si>
    <t>Increases in the number of buildings and associated infrastructure as human populations move into an area to live or work.</t>
  </si>
  <si>
    <t>Economic, social and political changes that improve the wellbeing of people in an urban setting.</t>
  </si>
  <si>
    <t>Part of the definition for this term is re-used from 'Glossary', Australian Curriculum, © Australian Curriculum, Assessment and Reporting Authority.</t>
  </si>
  <si>
    <t>Australian Curriculum</t>
  </si>
  <si>
    <t>https://www.australiancurriculum.edu.au/f-10-curriculum/humanities-and-social-sciences/geography/glossary/?letter=D</t>
  </si>
  <si>
    <t>Increase in extent of urban land cover through the construction of buildings and associated infrastructure.</t>
  </si>
  <si>
    <t>Removal of all settlements above a certain minimum population size and minimum population density that are within a certain travel time by road.</t>
  </si>
  <si>
    <t>Part of the definition for this term is re-used from © 2009 The International Bank for Reconstruction and Development/The World Bank</t>
  </si>
  <si>
    <t>World Bank World Development Report 2009</t>
  </si>
  <si>
    <t>http://www-wds.worldbank.org/external/default/WDSContentServer/WDSP/IB/2008/12/03/000333038_20081203234958/Rendered/PDF/437380REVISED01BLIC1097808213760720.pdf</t>
  </si>
  <si>
    <t>Redevelopment of a built environment to address urban decay.</t>
  </si>
  <si>
    <t>Unplanned low-density development surrounding an urban area that often starts as rural land. Also called suburban sprawl.</t>
  </si>
  <si>
    <t>The definition for this term is re-used from 'Glossary', National Geographic. © 1996 - 2020 National Geographic Society. All rights reserved.</t>
  </si>
  <si>
    <t>https://www.nationalgeographic.org/glossary/?page=3&amp;term=urban</t>
  </si>
  <si>
    <t>Physical harm that impairs the value, usefulness, or normal function of plants or plant communities.</t>
  </si>
  <si>
    <t>Part of the definition for this term is re-used from 'Damage', Lexico, powered by Oxford © 2021 Lexico.com</t>
  </si>
  <si>
    <t>Lexico</t>
  </si>
  <si>
    <t>https://www.lexico.com/definition/damage</t>
  </si>
  <si>
    <t>Mortality of all or part of plant components, either sinularly or en masse.</t>
  </si>
  <si>
    <t>Expansion of whole plant communities into an area. This includes native vegetation.</t>
  </si>
  <si>
    <t>Deterioration in the state or function of plants or plant communities.</t>
  </si>
  <si>
    <t>Reduction in the diversity, abundance and/or coverage of plants within an area.</t>
  </si>
  <si>
    <t>Reduction in the diversity, abundance and/or coverage of subcanopy plants within an area.</t>
  </si>
  <si>
    <t>Decrease in the amount of water from an existing water body.</t>
  </si>
  <si>
    <t>Change in the physical, chemical and biological characteristics of water and the measure of its condition relative to the requirements for one or more biotic species and/or to any human need or purpose.</t>
  </si>
  <si>
    <t>Part of the definition for this term is re-used from 'Glossary of Terms', Australia and New Zealand Guidelines for fresh and marine water quality, Australian Goverment Initiative. © Commonwealth of Australia</t>
  </si>
  <si>
    <t>Commonwealth of Australia</t>
  </si>
  <si>
    <t>https://www.waterquality.gov.au/anz-guidelines/resources/glossary</t>
  </si>
  <si>
    <t>Increase in the quantity of snow</t>
  </si>
  <si>
    <t>Decrease in the quantity of snow</t>
  </si>
  <si>
    <t>Definition short</t>
  </si>
  <si>
    <t xml:space="preserve">The build-up of sediments to form land or shoaling in coastal waters or waterways. </t>
  </si>
  <si>
    <t xml:space="preserve">A sudden proliferation of algae (microscopic plants) that occurs near the surface of a body of water. </t>
  </si>
  <si>
    <t>Appearance of underlying soil following human or natural disturbance..</t>
  </si>
  <si>
    <t>When organic material is inundated or washed into waterways and consumed by bacteria.</t>
  </si>
  <si>
    <t>A decrease in the amount or loss of photosynthetically active pigments in vegetation.</t>
  </si>
  <si>
    <t>Process that brings about an increase in soil density or unit weight.</t>
  </si>
  <si>
    <t>When the coral host expels its zooxanthellae.</t>
  </si>
  <si>
    <t>Physical damage or loss of a coral reef not caused b y changes in water temperature</t>
  </si>
  <si>
    <t>The process of soils becoming less salty.</t>
  </si>
  <si>
    <t>Geological process in which earthen materials are worn away and transported by natural forces.</t>
  </si>
  <si>
    <t xml:space="preserve">A geomorphic adjustment that changes the geometry of landforms. </t>
  </si>
  <si>
    <t>An increase in the amount of photosynthetically active pigments  in vegetation.</t>
  </si>
  <si>
    <t>A plant or animal that has been introduced into a region (terrestrial or aquatic).</t>
  </si>
  <si>
    <t>A non-infectious, physiological condition caused by unfavorable environmental situations.</t>
  </si>
  <si>
    <t>Design and construction of landforms as well as the establishment of sustainable ecosystems or alternative vegetation.</t>
  </si>
  <si>
    <t>Building of a land cover that consists of a combination of materials to form a linear structure.</t>
  </si>
  <si>
    <t>The process of soils becoming more salty.</t>
  </si>
  <si>
    <t>An decrease in the mean level of the oceans.</t>
  </si>
  <si>
    <t>An increase in the mean level of the oceans.</t>
  </si>
  <si>
    <t>Deposition of sediment from  flowing or standing water</t>
  </si>
  <si>
    <t>A closed natural depression in the ground surface.</t>
  </si>
  <si>
    <t>Increases in the number of buildings and associated infrastructure.</t>
  </si>
  <si>
    <t>Increase urban area through the construction of buildings and associated infrastructure.</t>
  </si>
  <si>
    <t xml:space="preserve">Removal of all settlements above a certain minimum population size and density. </t>
  </si>
  <si>
    <t>Unplanned low-density development surrounding an urban area.</t>
  </si>
  <si>
    <t>Change in the physical, chemical and biological characteristics of water.</t>
  </si>
  <si>
    <t>Disturbance on the surface of a liquid body.</t>
  </si>
  <si>
    <t>The definition for this term is re-used from 'Definitions', Society for Ecological Restoration. © Society for Ecological Restoration Australasia</t>
  </si>
  <si>
    <r>
      <t>Marieke Sassen, Douglas Sheil, Ken E. Giller, Fuelwood collection and its impacts on a protected tropical mountain forest in Uganda, Forest Ecology and Management, Volume 354, 2015, Pages 56-67, ISSN 0378-1127, </t>
    </r>
    <r>
      <rPr>
        <u/>
        <sz val="11"/>
        <color rgb="FF1F2328"/>
        <rFont val="Helvetica"/>
        <family val="2"/>
      </rPr>
      <t>https://doi.org/10.1016/j.foreco.2015.06.037</t>
    </r>
    <r>
      <rPr>
        <sz val="11"/>
        <color rgb="FF1F2328"/>
        <rFont val="Helvetica"/>
        <family val="2"/>
      </rPr>
      <t>. (</t>
    </r>
    <r>
      <rPr>
        <u/>
        <sz val="11"/>
        <color rgb="FF1F2328"/>
        <rFont val="Helvetica"/>
        <family val="2"/>
      </rPr>
      <t>http://www.sciencedirect.com/science/article/pii/S0378112715003631</t>
    </r>
    <r>
      <rPr>
        <sz val="11"/>
        <color rgb="FF1F2328"/>
        <rFont val="Helvetica"/>
        <family val="2"/>
      </rPr>
      <t>)</t>
    </r>
  </si>
  <si>
    <t>Pressure</t>
  </si>
  <si>
    <t>No longer enriching soil to increase productivity or health of vegetation.</t>
  </si>
  <si>
    <t xml:space="preserve">Introduction of a positive element or elements that contribute to the overall character or enjoyment of an area. </t>
  </si>
  <si>
    <t>Grass fires, forest fires and/or scrub fires started naturally, accidentally, or deliberately.</t>
  </si>
  <si>
    <t>A farming technique whereby a field is left unoccupied by crops during an entire growing period or part of it ..</t>
  </si>
  <si>
    <t>The process, deliberate or inadvertent, of extracting ground water from a source that leads to depletion.</t>
  </si>
  <si>
    <t>The process by which water bodies such as estuaries or embayments receive excess nutrients from a variety of sources.</t>
  </si>
  <si>
    <t>Use of a substance that is intended to kill, repel or otherwise control any organism that is designated a “pest”.</t>
  </si>
  <si>
    <t xml:space="preserve">Reduced quantity of water discharged in surface streams. </t>
  </si>
  <si>
    <t xml:space="preserve">The process of deliberate replanting of vegetation, often with a diverse species mix, on land where the previous plant communities have been cleared. </t>
  </si>
  <si>
    <t>Grazing (by stock) at a level where there is evidence of the annual growth not being fully utilised or scrub or coarse vegetation is becoming evident.</t>
  </si>
  <si>
    <t xml:space="preserve">The re-establishment of vegetation (excluding forests) in areas that have been cleared or highly modified. </t>
  </si>
  <si>
    <t xml:space="preserve">The accumulation of soluble mineral salts near the surface of soil, usually caused by the capillary flow of water from saline ground water. </t>
  </si>
  <si>
    <t xml:space="preserve">An abnormal rise in sea level over and above the normal (astronomical) tide levels. It can be thought of as the change in the water level due to the presence of a storm. </t>
  </si>
  <si>
    <t xml:space="preserve">Removal or death of plants or parts of plants to decrease plant density in a stand and facilitate growth of remaining plants. </t>
  </si>
  <si>
    <t xml:space="preserve">Preparation of soil for agricultural use through mechanical intervention such as digging, stirring, and overturning. </t>
  </si>
  <si>
    <t xml:space="preserve">Urban fire occurs primarily in cities or towns with the potential to rapidly spread to adjoining structures. </t>
  </si>
  <si>
    <t xml:space="preserve">Area devoted to regenerating and conserving the built heritage or the urban environment, including the ecosystems. </t>
  </si>
  <si>
    <t xml:space="preserve">An increase in the concentration of dissolved salts in water or soil water. </t>
  </si>
  <si>
    <t>Removal or exclusion of water from a wetland primarily through human interventions.</t>
  </si>
  <si>
    <t xml:space="preserve">Establishing plantations of trees or shrubs (limited numbers of native or exotic species) for production or environmental and resource protection purposes. </t>
  </si>
  <si>
    <t>Increase in woody plant density or extent so that the natural equilibrium of woody and herbaceous plant layer densities is shifted towards woody species.</t>
  </si>
  <si>
    <t xml:space="preserve">Deposition is the laying down of sediment carried by wind, water, or ice. </t>
  </si>
  <si>
    <t>Management aimed at reducing or eliminating terrestrial or aquatic invasive flora and fauna species.</t>
  </si>
  <si>
    <t>Creation of infrastructure such as railways, roads, mines, buildings, agricultural farms, aquaculture farms or dams.</t>
  </si>
  <si>
    <t xml:space="preserve">The permanent clearance of a forest, usually rapidly by cutting or burning over a large area, without replanting or natural regeneration. </t>
  </si>
  <si>
    <t>Regrowth after a wildfire, whether natural or intentional.</t>
  </si>
  <si>
    <t>Water temperatures of rivers, lakes, floodplains, reservoirs, wetlands, and inland saline systems that are warmer than usual.</t>
  </si>
  <si>
    <t xml:space="preserve">A decrease in the pH of water or soils across the range of alkaline (7-14), neutral (7) to acidic (0 to 7). </t>
  </si>
  <si>
    <t xml:space="preserve">Introduction of harmful materials known as pollutants into the environment. </t>
  </si>
  <si>
    <t>Colour</t>
  </si>
  <si>
    <t>IntEl_Ev</t>
  </si>
  <si>
    <t>IP_UID</t>
  </si>
  <si>
    <t>LfD</t>
  </si>
  <si>
    <t>LfA</t>
  </si>
  <si>
    <t>LfB</t>
  </si>
  <si>
    <t>LfC</t>
  </si>
  <si>
    <t>CovA</t>
  </si>
  <si>
    <t>CovB</t>
  </si>
  <si>
    <t>CovC</t>
  </si>
  <si>
    <t>CovD</t>
  </si>
  <si>
    <t>CovE</t>
  </si>
  <si>
    <t>CovF</t>
  </si>
  <si>
    <t>WperA</t>
  </si>
  <si>
    <t>WperB</t>
  </si>
  <si>
    <t>WperC</t>
  </si>
  <si>
    <t>WperD</t>
  </si>
  <si>
    <t>WseaA</t>
  </si>
  <si>
    <t>WseaB</t>
  </si>
  <si>
    <t>WseaC</t>
  </si>
  <si>
    <t>WseaD</t>
  </si>
  <si>
    <t>ModA</t>
  </si>
  <si>
    <t>ModB</t>
  </si>
  <si>
    <t>ModC</t>
  </si>
  <si>
    <t>ModD</t>
  </si>
  <si>
    <t>ModE</t>
  </si>
  <si>
    <t>ModF</t>
  </si>
  <si>
    <t>ModG</t>
  </si>
  <si>
    <t>ModH</t>
  </si>
  <si>
    <t>ModI</t>
  </si>
  <si>
    <t>CovG</t>
  </si>
  <si>
    <t>CovH</t>
  </si>
  <si>
    <t>CovI</t>
  </si>
  <si>
    <t>CovJ</t>
  </si>
  <si>
    <t>CovL</t>
  </si>
  <si>
    <t>CovM</t>
  </si>
  <si>
    <t>CovN</t>
  </si>
  <si>
    <t>CovO</t>
  </si>
  <si>
    <t>CovP</t>
  </si>
  <si>
    <t>CovQ</t>
  </si>
  <si>
    <t>CovR</t>
  </si>
  <si>
    <t>CovS</t>
  </si>
  <si>
    <t>CovT</t>
  </si>
  <si>
    <t>CovU</t>
  </si>
  <si>
    <t>CovV</t>
  </si>
  <si>
    <t>CovW</t>
  </si>
  <si>
    <t>CovX</t>
  </si>
  <si>
    <t>Wstate</t>
  </si>
  <si>
    <t>ConA</t>
  </si>
  <si>
    <t>ConB</t>
  </si>
  <si>
    <t>ConC</t>
  </si>
  <si>
    <t>ConD</t>
  </si>
  <si>
    <t>ConE</t>
  </si>
  <si>
    <t>ConF</t>
  </si>
  <si>
    <t>ConG</t>
  </si>
  <si>
    <t>ConH</t>
  </si>
  <si>
    <t>ConI</t>
  </si>
  <si>
    <t>WperE</t>
  </si>
  <si>
    <t>WperF</t>
  </si>
  <si>
    <t>CovK</t>
  </si>
  <si>
    <t>Sediment</t>
  </si>
  <si>
    <t>ActiveFire</t>
  </si>
  <si>
    <t>Burnscar</t>
  </si>
  <si>
    <t>Smoke</t>
  </si>
  <si>
    <t>StockRecords</t>
  </si>
  <si>
    <t>ConJ</t>
  </si>
  <si>
    <t>ConK</t>
  </si>
  <si>
    <t>ConL</t>
  </si>
  <si>
    <t>ConM</t>
  </si>
  <si>
    <t>ConN</t>
  </si>
  <si>
    <t>ConO</t>
  </si>
  <si>
    <t>ConP</t>
  </si>
  <si>
    <t>WaterQual</t>
  </si>
  <si>
    <t>AtmosTemp</t>
  </si>
  <si>
    <t>SeaSurfTemp</t>
  </si>
  <si>
    <t>LandSurfTemp</t>
  </si>
  <si>
    <t>SoilQual</t>
  </si>
  <si>
    <t>AgrichemRecords</t>
  </si>
  <si>
    <t>WaterUsage</t>
  </si>
  <si>
    <t>SnowExtent</t>
  </si>
  <si>
    <t>Precipitation</t>
  </si>
  <si>
    <t>AgriRecords</t>
  </si>
  <si>
    <t>Windspeed</t>
  </si>
  <si>
    <t>TrafficData</t>
  </si>
  <si>
    <t>WildlifeCensus</t>
  </si>
  <si>
    <t>SeismicRecords</t>
  </si>
  <si>
    <t>ExtractionRegister</t>
  </si>
  <si>
    <t>PlanningData</t>
  </si>
  <si>
    <t>SeaSurfaceHeight</t>
  </si>
  <si>
    <t>Hydrograph</t>
  </si>
  <si>
    <t>AtmosPress</t>
  </si>
  <si>
    <t>OceanAcidity</t>
  </si>
  <si>
    <t>DogitalSurfaceModel</t>
  </si>
  <si>
    <t>LightningStrikesData</t>
  </si>
  <si>
    <t>ForestInventory</t>
  </si>
  <si>
    <t>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</si>
</sst>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2"/>
      <color theme="1"/>
      <name val="Aptos Narrow"/>
      <family val="2"/>
      <scheme val="minor"/>
    </font>
    <font>
      <sz val="11"/>
      <color rgb="FF9C5700"/>
      <name val="Aptos Narrow"/>
      <family val="2"/>
      <scheme val="minor"/>
    </font>
    <font>
      <u/>
      <sz val="11"/>
      <color theme="10"/>
      <name val="Aptos Narrow"/>
      <family val="2"/>
      <scheme val="minor"/>
    </font>
    <font>
      <b/>
      <sz val="11"/>
      <color theme="1"/>
      <name val="Aptos Narrow"/>
      <family val="2"/>
      <scheme val="minor"/>
    </font>
    <font>
      <b/>
      <sz val="11"/>
      <color theme="1"/>
      <name val="Aptos Narrow"/>
      <scheme val="minor"/>
    </font>
    <font>
      <b/>
      <sz val="11"/>
      <color rgb="FF1F2328"/>
      <name val="Helvetica"/>
      <family val="2"/>
    </font>
    <font>
      <sz val="11"/>
      <color rgb="FF1F2328"/>
      <name val="Helvetica"/>
      <family val="2"/>
    </font>
    <font>
      <u/>
      <sz val="11"/>
      <color rgb="FF1F2328"/>
      <name val="Helvetica"/>
      <family val="2"/>
    </font>
    <font>
      <sz val="11"/>
      <color theme="1"/>
      <name val="Aptos Narrow"/>
      <scheme val="minor"/>
    </font>
    <font>
      <sz val="11"/>
      <color rgb="FF0070C0"/>
      <name val="Aptos Narrow"/>
      <scheme val="minor"/>
    </font>
    <font>
      <b/>
      <sz val="11"/>
      <color rgb="FF000000"/>
      <name val="Aptos Narrow"/>
      <scheme val="minor"/>
    </font>
    <font>
      <b/>
      <i/>
      <sz val="11"/>
      <color theme="1"/>
      <name val="Aptos Narrow"/>
      <family val="2"/>
      <scheme val="minor"/>
    </font>
    <font>
      <i/>
      <sz val="11"/>
      <color theme="1"/>
      <name val="Aptos Narrow"/>
      <family val="2"/>
      <scheme val="minor"/>
    </font>
  </fonts>
  <fills count="17">
    <fill>
      <patternFill patternType="none"/>
    </fill>
    <fill>
      <patternFill patternType="gray125"/>
    </fill>
    <fill>
      <patternFill patternType="solid">
        <fgColor rgb="FFFFEB9C"/>
      </patternFill>
    </fill>
    <fill>
      <patternFill patternType="solid">
        <fgColor theme="9" tint="0.79998168889431442"/>
        <bgColor theme="9" tint="0.79998168889431442"/>
      </patternFill>
    </fill>
    <fill>
      <patternFill patternType="solid">
        <fgColor theme="3" tint="0.89999084444715716"/>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4"/>
      </patternFill>
    </fill>
    <fill>
      <patternFill patternType="solid">
        <fgColor rgb="FFD9D9D9"/>
        <bgColor rgb="FF000000"/>
      </patternFill>
    </fill>
    <fill>
      <patternFill patternType="solid">
        <fgColor theme="0" tint="-0.14999847407452621"/>
        <bgColor rgb="FF000000"/>
      </patternFill>
    </fill>
    <fill>
      <patternFill patternType="solid">
        <fgColor theme="5" tint="0.59999389629810485"/>
        <bgColor indexed="64"/>
      </patternFill>
    </fill>
    <fill>
      <patternFill patternType="solid">
        <fgColor theme="7" tint="0.79998168889431442"/>
        <bgColor indexed="64"/>
      </patternFill>
    </fill>
    <fill>
      <patternFill patternType="solid">
        <fgColor rgb="FF92D050"/>
        <bgColor indexed="64"/>
      </patternFill>
    </fill>
    <fill>
      <patternFill patternType="solid">
        <fgColor theme="3" tint="0.499984740745262"/>
        <bgColor indexed="64"/>
      </patternFill>
    </fill>
    <fill>
      <patternFill patternType="solid">
        <fgColor rgb="FF4D93D9"/>
        <bgColor rgb="FF000000"/>
      </patternFill>
    </fill>
    <fill>
      <patternFill patternType="solid">
        <fgColor rgb="FFC0E6F5"/>
        <bgColor rgb="FF000000"/>
      </patternFill>
    </fill>
  </fills>
  <borders count="3">
    <border>
      <left/>
      <right/>
      <top/>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3">
    <xf numFmtId="0" fontId="0" fillId="0" borderId="0"/>
    <xf numFmtId="0" fontId="2" fillId="2" borderId="0" applyNumberFormat="0" applyBorder="0" applyAlignment="0" applyProtection="0"/>
    <xf numFmtId="0" fontId="3" fillId="0" borderId="0" applyNumberFormat="0" applyFill="0" applyBorder="0" applyAlignment="0" applyProtection="0"/>
  </cellStyleXfs>
  <cellXfs count="58">
    <xf numFmtId="0" fontId="0" fillId="0" borderId="0" xfId="0"/>
    <xf numFmtId="1" fontId="0" fillId="0" borderId="0" xfId="0" applyNumberFormat="1"/>
    <xf numFmtId="0" fontId="0" fillId="5" borderId="0" xfId="0" applyFill="1"/>
    <xf numFmtId="0" fontId="4" fillId="0" borderId="0" xfId="0" applyFont="1"/>
    <xf numFmtId="0" fontId="5" fillId="0" borderId="0" xfId="0" applyFont="1"/>
    <xf numFmtId="0" fontId="0" fillId="0" borderId="0" xfId="0" applyAlignment="1">
      <alignment vertical="top"/>
    </xf>
    <xf numFmtId="0" fontId="0" fillId="0" borderId="0" xfId="0" applyAlignment="1">
      <alignment vertical="top" wrapText="1"/>
    </xf>
    <xf numFmtId="1" fontId="0" fillId="0" borderId="0" xfId="0" applyNumberFormat="1" applyAlignment="1">
      <alignment vertical="top"/>
    </xf>
    <xf numFmtId="0" fontId="0" fillId="5" borderId="0" xfId="0" applyFill="1" applyAlignment="1">
      <alignment vertical="top"/>
    </xf>
    <xf numFmtId="1" fontId="0" fillId="5" borderId="0" xfId="0" applyNumberFormat="1" applyFill="1" applyAlignment="1">
      <alignment vertical="top"/>
    </xf>
    <xf numFmtId="0" fontId="0" fillId="4" borderId="0" xfId="0" applyFill="1" applyAlignment="1">
      <alignment vertical="top"/>
    </xf>
    <xf numFmtId="1" fontId="0" fillId="4" borderId="0" xfId="0" applyNumberFormat="1" applyFill="1" applyAlignment="1">
      <alignment vertical="top"/>
    </xf>
    <xf numFmtId="1" fontId="0" fillId="4" borderId="1" xfId="0" applyNumberFormat="1" applyFill="1" applyBorder="1" applyAlignment="1">
      <alignment vertical="top"/>
    </xf>
    <xf numFmtId="0" fontId="0" fillId="5" borderId="1" xfId="0" applyFill="1" applyBorder="1" applyAlignment="1">
      <alignment vertical="top"/>
    </xf>
    <xf numFmtId="1" fontId="1" fillId="3" borderId="1" xfId="0" applyNumberFormat="1" applyFont="1" applyFill="1" applyBorder="1" applyAlignment="1">
      <alignment vertical="top"/>
    </xf>
    <xf numFmtId="0" fontId="5" fillId="0" borderId="0" xfId="0" applyFont="1" applyAlignment="1">
      <alignment horizontal="center" vertical="center" wrapText="1"/>
    </xf>
    <xf numFmtId="1" fontId="5" fillId="0" borderId="0" xfId="0" applyNumberFormat="1" applyFont="1"/>
    <xf numFmtId="0" fontId="5" fillId="5" borderId="0" xfId="0" applyFont="1" applyFill="1"/>
    <xf numFmtId="0" fontId="6" fillId="0" borderId="0" xfId="0" applyFont="1"/>
    <xf numFmtId="0" fontId="7" fillId="0" borderId="0" xfId="0" applyFont="1"/>
    <xf numFmtId="0" fontId="3" fillId="0" borderId="0" xfId="2"/>
    <xf numFmtId="0" fontId="9" fillId="0" borderId="0" xfId="0" applyFont="1" applyAlignment="1">
      <alignment vertical="top"/>
    </xf>
    <xf numFmtId="0" fontId="9" fillId="0" borderId="0" xfId="1" applyFont="1" applyFill="1"/>
    <xf numFmtId="0" fontId="9" fillId="0" borderId="0" xfId="0" applyFont="1"/>
    <xf numFmtId="0" fontId="10" fillId="0" borderId="0" xfId="0" applyFont="1" applyAlignment="1">
      <alignment vertical="top"/>
    </xf>
    <xf numFmtId="0" fontId="10" fillId="0" borderId="0" xfId="0" applyFont="1"/>
    <xf numFmtId="0" fontId="10" fillId="0" borderId="0" xfId="0" applyFont="1" applyAlignment="1">
      <alignment vertical="top" wrapText="1"/>
    </xf>
    <xf numFmtId="0" fontId="10" fillId="5" borderId="0" xfId="0" applyFont="1" applyFill="1" applyAlignment="1">
      <alignment vertical="top"/>
    </xf>
    <xf numFmtId="0" fontId="5" fillId="0" borderId="0" xfId="0" applyFont="1" applyAlignment="1">
      <alignment vertical="top"/>
    </xf>
    <xf numFmtId="0" fontId="5" fillId="6" borderId="0" xfId="0" applyFont="1" applyFill="1"/>
    <xf numFmtId="0" fontId="5" fillId="7" borderId="0" xfId="0" applyFont="1" applyFill="1"/>
    <xf numFmtId="0" fontId="5" fillId="5" borderId="0" xfId="0" applyFont="1" applyFill="1" applyAlignment="1">
      <alignment vertical="top"/>
    </xf>
    <xf numFmtId="0" fontId="5" fillId="6" borderId="0" xfId="0" applyFont="1" applyFill="1" applyAlignment="1">
      <alignment vertical="top"/>
    </xf>
    <xf numFmtId="0" fontId="9" fillId="6" borderId="0" xfId="0" applyFont="1" applyFill="1" applyAlignment="1">
      <alignment vertical="top"/>
    </xf>
    <xf numFmtId="0" fontId="5" fillId="8" borderId="0" xfId="0" applyFont="1" applyFill="1" applyAlignment="1">
      <alignment vertical="top"/>
    </xf>
    <xf numFmtId="0" fontId="11" fillId="9" borderId="0" xfId="0" applyFont="1" applyFill="1"/>
    <xf numFmtId="0" fontId="11" fillId="10" borderId="0" xfId="0" applyFont="1" applyFill="1"/>
    <xf numFmtId="0" fontId="5" fillId="11" borderId="0" xfId="0" applyFont="1" applyFill="1"/>
    <xf numFmtId="1" fontId="5" fillId="5" borderId="0" xfId="0" applyNumberFormat="1" applyFont="1" applyFill="1" applyAlignment="1">
      <alignment vertical="top"/>
    </xf>
    <xf numFmtId="0" fontId="0" fillId="11" borderId="0" xfId="0" applyFill="1" applyAlignment="1">
      <alignment vertical="top"/>
    </xf>
    <xf numFmtId="0" fontId="9" fillId="11" borderId="0" xfId="0" applyFont="1" applyFill="1" applyAlignment="1">
      <alignment vertical="top"/>
    </xf>
    <xf numFmtId="0" fontId="5" fillId="11" borderId="0" xfId="0" applyFont="1" applyFill="1" applyAlignment="1">
      <alignment vertical="top"/>
    </xf>
    <xf numFmtId="1" fontId="0" fillId="11" borderId="0" xfId="0" applyNumberFormat="1" applyFill="1" applyAlignment="1">
      <alignment vertical="top"/>
    </xf>
    <xf numFmtId="0" fontId="0" fillId="8" borderId="0" xfId="0" applyFill="1" applyAlignment="1">
      <alignment vertical="top"/>
    </xf>
    <xf numFmtId="0" fontId="0" fillId="12" borderId="0" xfId="0" applyFill="1" applyAlignment="1">
      <alignment vertical="top"/>
    </xf>
    <xf numFmtId="0" fontId="5" fillId="13" borderId="0" xfId="0" applyFont="1" applyFill="1" applyAlignment="1">
      <alignment vertical="top"/>
    </xf>
    <xf numFmtId="0" fontId="11" fillId="13" borderId="0" xfId="0" applyFont="1" applyFill="1" applyAlignment="1">
      <alignment vertical="top"/>
    </xf>
    <xf numFmtId="0" fontId="5" fillId="14" borderId="0" xfId="0" applyFont="1" applyFill="1" applyAlignment="1">
      <alignment vertical="top"/>
    </xf>
    <xf numFmtId="0" fontId="11" fillId="15" borderId="0" xfId="0" applyFont="1" applyFill="1" applyAlignment="1">
      <alignment vertical="top"/>
    </xf>
    <xf numFmtId="0" fontId="5" fillId="0" borderId="0" xfId="0" applyFont="1" applyAlignment="1">
      <alignment horizontal="center" textRotation="90"/>
    </xf>
    <xf numFmtId="0" fontId="0" fillId="0" borderId="0" xfId="0" applyAlignment="1">
      <alignment horizontal="center" vertical="top"/>
    </xf>
    <xf numFmtId="0" fontId="10" fillId="0" borderId="0" xfId="0" applyFont="1" applyAlignment="1">
      <alignment horizontal="center" vertical="top"/>
    </xf>
    <xf numFmtId="0" fontId="0" fillId="0" borderId="2" xfId="0" applyBorder="1" applyAlignment="1">
      <alignment horizontal="center" vertical="top"/>
    </xf>
    <xf numFmtId="0" fontId="0" fillId="0" borderId="0" xfId="0" applyAlignment="1">
      <alignment horizontal="center"/>
    </xf>
    <xf numFmtId="0" fontId="12" fillId="0" borderId="0" xfId="0" applyFont="1" applyAlignment="1">
      <alignment horizontal="center" textRotation="90"/>
    </xf>
    <xf numFmtId="0" fontId="13" fillId="0" borderId="0" xfId="0" applyFont="1" applyAlignment="1">
      <alignment vertical="top"/>
    </xf>
    <xf numFmtId="0" fontId="13" fillId="0" borderId="0" xfId="0" applyFont="1"/>
    <xf numFmtId="0" fontId="11" fillId="16" borderId="0" xfId="0" applyFont="1" applyFill="1" applyAlignment="1">
      <alignment vertical="top"/>
    </xf>
  </cellXfs>
  <cellStyles count="3">
    <cellStyle name="Hyperlink" xfId="2" builtinId="8"/>
    <cellStyle name="Neutral" xfId="1" builtinId="28"/>
    <cellStyle name="Normal" xfId="0" builtinId="0"/>
  </cellStyles>
  <dxfs count="1">
    <dxf>
      <font>
        <b/>
        <i val="0"/>
        <color theme="0"/>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www.nationalgeographic.org/encyclopedia/erosion/" TargetMode="External"/><Relationship Id="rId18" Type="http://schemas.openxmlformats.org/officeDocument/2006/relationships/hyperlink" Target="https://mortonarb.org/plant-and-protect/tree-plant-care/plant-care-resources/leaf-scorch/" TargetMode="External"/><Relationship Id="rId26" Type="http://schemas.openxmlformats.org/officeDocument/2006/relationships/hyperlink" Target="https://www.environment.nsw.gov.au/research-and-publications/publications-search/coastal-management-glossary%3E" TargetMode="External"/><Relationship Id="rId3" Type="http://schemas.openxmlformats.org/officeDocument/2006/relationships/hyperlink" Target="https://soe.environment.gov.au/glossary" TargetMode="External"/><Relationship Id="rId21" Type="http://schemas.openxmlformats.org/officeDocument/2006/relationships/hyperlink" Target="https://soe.environment.gov.au/glossary" TargetMode="External"/><Relationship Id="rId34" Type="http://schemas.openxmlformats.org/officeDocument/2006/relationships/hyperlink" Target="https://www.nationalgeographic.org/glossary/?page=3&amp;term=urban" TargetMode="External"/><Relationship Id="rId7" Type="http://schemas.openxmlformats.org/officeDocument/2006/relationships/hyperlink" Target="https://soe.environment.gov.au/glossary" TargetMode="External"/><Relationship Id="rId12" Type="http://schemas.openxmlformats.org/officeDocument/2006/relationships/hyperlink" Target="https://www.macquariedictionary.com.au/features/word/search/?search_word_type=Dictionary&amp;word=elevation" TargetMode="External"/><Relationship Id="rId17" Type="http://schemas.openxmlformats.org/officeDocument/2006/relationships/hyperlink" Target="https://www.macquariedictionary.com.au/features/word/search/?search_word_type=Dictionary&amp;word=lava+flow" TargetMode="External"/><Relationship Id="rId25" Type="http://schemas.openxmlformats.org/officeDocument/2006/relationships/hyperlink" Target="https://www.environment.nsw.gov.au/-/media/OEH/Corporate-Site/Documents/Water/Coasts/coastal-management-glossary-180195.pdf" TargetMode="External"/><Relationship Id="rId33" Type="http://schemas.openxmlformats.org/officeDocument/2006/relationships/hyperlink" Target="http://www-wds.worldbank.org/external/default/WDSContentServer/WDSP/IB/2008/12/03/000333038_20081203234958/Rendered/PDF/437380REVISED01BLIC1097808213760720.pdf" TargetMode="External"/><Relationship Id="rId2" Type="http://schemas.openxmlformats.org/officeDocument/2006/relationships/hyperlink" Target="https://www.environment.nsw.gov.au/-/media/OEH/Corporate-Site/Documents/Water/Coasts/coastal-management-glossary-180195.pdf" TargetMode="External"/><Relationship Id="rId16" Type="http://schemas.openxmlformats.org/officeDocument/2006/relationships/hyperlink" Target="https://www.ses.nsw.gov.au/media/2650/glossary.pdf" TargetMode="External"/><Relationship Id="rId20" Type="http://schemas.openxmlformats.org/officeDocument/2006/relationships/hyperlink" Target="https://www.industry.gov.au/sites/default/files/2019-04/lpsdp-mine-rehabilitation-handbook-english.pdf" TargetMode="External"/><Relationship Id="rId29" Type="http://schemas.openxmlformats.org/officeDocument/2006/relationships/hyperlink" Target="http://www.fao.org/3/ca4395en/ca4395en.pdf" TargetMode="External"/><Relationship Id="rId1" Type="http://schemas.openxmlformats.org/officeDocument/2006/relationships/hyperlink" Target="https://www.environment.nsw.gov.au/research-and-publications/publications-search/coastal-management-glossary%3E" TargetMode="External"/><Relationship Id="rId6" Type="http://schemas.openxmlformats.org/officeDocument/2006/relationships/hyperlink" Target="http://environment.uwe.ac.uk/geocal/SoilMech/compaction/compaction.htm" TargetMode="External"/><Relationship Id="rId11" Type="http://schemas.openxmlformats.org/officeDocument/2006/relationships/hyperlink" Target="https://earthobservatory.nasa.gov/features/Desertification/desertification2.php" TargetMode="External"/><Relationship Id="rId24" Type="http://schemas.openxmlformats.org/officeDocument/2006/relationships/hyperlink" Target="https://www.environment.nsw.gov.au/research-and-publications/publications-search/coastal-management-glossary%3E" TargetMode="External"/><Relationship Id="rId32" Type="http://schemas.openxmlformats.org/officeDocument/2006/relationships/hyperlink" Target="https://www.australiancurriculum.edu.au/f-10-curriculum/humanities-and-social-sciences/geography/glossary/?letter=D" TargetMode="External"/><Relationship Id="rId5" Type="http://schemas.openxmlformats.org/officeDocument/2006/relationships/hyperlink" Target="https://soe.environment.gov.au/glossary" TargetMode="External"/><Relationship Id="rId15" Type="http://schemas.openxmlformats.org/officeDocument/2006/relationships/hyperlink" Target="https://www.ses.nsw.gov.au/about-us/flood-storm-and-tsunami-plans/%5d%5blast" TargetMode="External"/><Relationship Id="rId23" Type="http://schemas.openxmlformats.org/officeDocument/2006/relationships/hyperlink" Target="https://soe.environment.gov.au/glossary" TargetMode="External"/><Relationship Id="rId28" Type="http://schemas.openxmlformats.org/officeDocument/2006/relationships/hyperlink" Target="http://www.fao.org/3/ca4395en/ca4395en.pdf" TargetMode="External"/><Relationship Id="rId36" Type="http://schemas.openxmlformats.org/officeDocument/2006/relationships/hyperlink" Target="https://www.waterquality.gov.au/anz-guidelines/resources/glossary" TargetMode="External"/><Relationship Id="rId10" Type="http://schemas.openxmlformats.org/officeDocument/2006/relationships/hyperlink" Target="https://www.nasa.gov/multimedia/guidelines/index.html" TargetMode="External"/><Relationship Id="rId19" Type="http://schemas.openxmlformats.org/officeDocument/2006/relationships/hyperlink" Target="https://www.industry.gov.au/data-and-publications/leading-practice-handbook-mine-rehabilitation%3E" TargetMode="External"/><Relationship Id="rId31" Type="http://schemas.openxmlformats.org/officeDocument/2006/relationships/hyperlink" Target="https://resources.collins.co.uk/Wesbite%20images/KS3Geography/TB2/Dictionary%20of%20geographical%20terms.pdf" TargetMode="External"/><Relationship Id="rId4" Type="http://schemas.openxmlformats.org/officeDocument/2006/relationships/hyperlink" Target="https://soe.environment.gov.au/glossary" TargetMode="External"/><Relationship Id="rId9" Type="http://schemas.openxmlformats.org/officeDocument/2006/relationships/hyperlink" Target="https://soe.environment.gov.au/glossary" TargetMode="External"/><Relationship Id="rId14" Type="http://schemas.openxmlformats.org/officeDocument/2006/relationships/hyperlink" Target="https://ntepa.nt.gov.au/__data/assets/pdf_file/0007/286567/chp12.pdf" TargetMode="External"/><Relationship Id="rId22" Type="http://schemas.openxmlformats.org/officeDocument/2006/relationships/hyperlink" Target="https://www.blm.gov/sites/blm.gov/files/uploads/IM2013-111_att2.pdf" TargetMode="External"/><Relationship Id="rId27" Type="http://schemas.openxmlformats.org/officeDocument/2006/relationships/hyperlink" Target="https://www.environment.nsw.gov.au/-/media/OEH/Corporate-Site/Documents/Water/Coasts/coastal-management-glossary-180195.pdf" TargetMode="External"/><Relationship Id="rId30" Type="http://schemas.openxmlformats.org/officeDocument/2006/relationships/hyperlink" Target="https://www.usgs.gov/faqs/what-difference-between-a-sinkhole-and-a-pothole?qt-news_science_products=0" TargetMode="External"/><Relationship Id="rId35" Type="http://schemas.openxmlformats.org/officeDocument/2006/relationships/hyperlink" Target="https://www.lexico.com/definition/damage" TargetMode="External"/><Relationship Id="rId8" Type="http://schemas.openxmlformats.org/officeDocument/2006/relationships/hyperlink" Target="https://www.thefreedictionary.com/deglaciation"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nationalgeographic.org/encyclopedia/erosion/" TargetMode="External"/><Relationship Id="rId21" Type="http://schemas.openxmlformats.org/officeDocument/2006/relationships/hyperlink" Target="https://www.geolsoc.org.uk/ks3/gsl/education/resources/rockcycle/page3463.html" TargetMode="External"/><Relationship Id="rId42" Type="http://schemas.openxmlformats.org/officeDocument/2006/relationships/hyperlink" Target="https://www.thefreedictionary.com/precipitation" TargetMode="External"/><Relationship Id="rId47" Type="http://schemas.openxmlformats.org/officeDocument/2006/relationships/hyperlink" Target="https://www.environment.nsw.gov.au/-/media/OEH/Corporate-Site/Documents/Animals-and-plants/Biodiversity/measuring-biodiversity-and-ecological-integrity-in-nsw-method-190132.pdf" TargetMode="External"/><Relationship Id="rId63" Type="http://schemas.openxmlformats.org/officeDocument/2006/relationships/hyperlink" Target="https://www.dpaw.wa.gov.au/management/fire/prescribed-burning" TargetMode="External"/><Relationship Id="rId68" Type="http://schemas.openxmlformats.org/officeDocument/2006/relationships/hyperlink" Target="https://en.wikipedia.org/wiki/Land_rehabilitation" TargetMode="External"/><Relationship Id="rId84" Type="http://schemas.openxmlformats.org/officeDocument/2006/relationships/hyperlink" Target="http://www.bom.gov.au/cyclone/tropical-cyclone-knowledge-centre/understanding/tc-info/" TargetMode="External"/><Relationship Id="rId89" Type="http://schemas.openxmlformats.org/officeDocument/2006/relationships/hyperlink" Target="https://www.sciencedirect.com/science/article/pii/S146290110000109X?via%3Dihub" TargetMode="External"/><Relationship Id="rId16" Type="http://schemas.openxmlformats.org/officeDocument/2006/relationships/hyperlink" Target="https://www.collinsdictionary.com/dictionary/english/ph" TargetMode="External"/><Relationship Id="rId11" Type="http://schemas.openxmlformats.org/officeDocument/2006/relationships/hyperlink" Target="https://doi.org/10.1007/978-3-642-11274-4_144" TargetMode="External"/><Relationship Id="rId32" Type="http://schemas.openxmlformats.org/officeDocument/2006/relationships/hyperlink" Target="http://www.bom.gov.au/lam/glossary/" TargetMode="External"/><Relationship Id="rId37" Type="http://schemas.openxmlformats.org/officeDocument/2006/relationships/hyperlink" Target="https://www.eea.europa.eu/help/glossary/eea-glossary/groundwater-recharge" TargetMode="External"/><Relationship Id="rId53" Type="http://schemas.openxmlformats.org/officeDocument/2006/relationships/hyperlink" Target="https://www.agriculture.gov.au/sites/default/files/abares/aclump/documents/ALUMCv8_Handbook4ednPart2_UpdateOctober2016.pdf" TargetMode="External"/><Relationship Id="rId58" Type="http://schemas.openxmlformats.org/officeDocument/2006/relationships/hyperlink" Target="https://www.iaea.org/topics/oceans-and-climate-change/coral-cores-and-ocean-atmosphere-oscillations" TargetMode="External"/><Relationship Id="rId74" Type="http://schemas.openxmlformats.org/officeDocument/2006/relationships/hyperlink" Target="http://www.fao.org/3/ca4395en/ca4395en.pdf" TargetMode="External"/><Relationship Id="rId79" Type="http://schemas.openxmlformats.org/officeDocument/2006/relationships/hyperlink" Target="https://en.wikipedia.org/wiki/Stubble_burning" TargetMode="External"/><Relationship Id="rId5" Type="http://schemas.openxmlformats.org/officeDocument/2006/relationships/hyperlink" Target="https://www.planningportal.co.uk/directory_record/101/amenity" TargetMode="External"/><Relationship Id="rId90" Type="http://schemas.openxmlformats.org/officeDocument/2006/relationships/hyperlink" Target="https://knowledge.aidr.org.au/glossary/?wordOfTheDayId=&amp;keywords=&amp;alpha=V&amp;page=1&amp;results=50&amp;order=AZ" TargetMode="External"/><Relationship Id="rId22" Type="http://schemas.openxmlformats.org/officeDocument/2006/relationships/hyperlink" Target="https://oceanservice.noaa.gov/facts/dredging.html" TargetMode="External"/><Relationship Id="rId27" Type="http://schemas.openxmlformats.org/officeDocument/2006/relationships/hyperlink" Target="https://www.usgs.gov/mission-areas/water-resources/science/nutrients-and-eutrophication?qt-science_center_objects=0" TargetMode="External"/><Relationship Id="rId43" Type="http://schemas.openxmlformats.org/officeDocument/2006/relationships/hyperlink" Target="https://dictionary.cambridge.org/dictionary/english/temperature" TargetMode="External"/><Relationship Id="rId48" Type="http://schemas.openxmlformats.org/officeDocument/2006/relationships/hyperlink" Target="http://www.bom.gov.au/water/awid/initial-i.shtml" TargetMode="External"/><Relationship Id="rId64" Type="http://schemas.openxmlformats.org/officeDocument/2006/relationships/hyperlink" Target="https://www.britannica.com/science/runoff" TargetMode="External"/><Relationship Id="rId69" Type="http://schemas.openxmlformats.org/officeDocument/2006/relationships/hyperlink" Target="https://www.lawinsider.com/dictionary/undergrazing" TargetMode="External"/><Relationship Id="rId8" Type="http://schemas.openxmlformats.org/officeDocument/2006/relationships/hyperlink" Target="https://dnr.maryland.gov/streams/Pages/atmosphericdeposition.aspx" TargetMode="External"/><Relationship Id="rId51" Type="http://schemas.openxmlformats.org/officeDocument/2006/relationships/hyperlink" Target="https://www.industry.gov.au/data-and-publications/leading-practice-handbook-mine-rehabilitation%3E" TargetMode="External"/><Relationship Id="rId72" Type="http://schemas.openxmlformats.org/officeDocument/2006/relationships/hyperlink" Target="https://www.fish.wa.gov.au/About-Us/Glossary/Pages/S.aspx" TargetMode="External"/><Relationship Id="rId80" Type="http://schemas.openxmlformats.org/officeDocument/2006/relationships/hyperlink" Target="https://minerals.org.au/coal/glossary" TargetMode="External"/><Relationship Id="rId85" Type="http://schemas.openxmlformats.org/officeDocument/2006/relationships/hyperlink" Target="https://www.lawinsider.com/dictionary/undergrazing" TargetMode="External"/><Relationship Id="rId93" Type="http://schemas.openxmlformats.org/officeDocument/2006/relationships/hyperlink" Target="https://www.lawinsider.com/dictionary/drainage-of-wetlands" TargetMode="External"/><Relationship Id="rId3" Type="http://schemas.openxmlformats.org/officeDocument/2006/relationships/hyperlink" Target="http://www.fao.org/forest-resources-assessment/en/" TargetMode="External"/><Relationship Id="rId12" Type="http://schemas.openxmlformats.org/officeDocument/2006/relationships/hyperlink" Target="https://link.springer.com/referenceworkentry/10.1007%2F978-3-642-11274-4_144" TargetMode="External"/><Relationship Id="rId17" Type="http://schemas.openxmlformats.org/officeDocument/2006/relationships/hyperlink" Target="https://www.usgs.gov/special-topic/water-science-school/science/alkalinity-and-water?qt-science_center_objects=0" TargetMode="External"/><Relationship Id="rId25" Type="http://schemas.openxmlformats.org/officeDocument/2006/relationships/hyperlink" Target="https://www.ingwelala.co.za/archives/conservation/bush-encroachment.html" TargetMode="External"/><Relationship Id="rId33" Type="http://schemas.openxmlformats.org/officeDocument/2006/relationships/hyperlink" Target="https://www.bbc.com/news/uk-14432401" TargetMode="External"/><Relationship Id="rId38" Type="http://schemas.openxmlformats.org/officeDocument/2006/relationships/hyperlink" Target="https://www.britannica.com/science/growth-biology" TargetMode="External"/><Relationship Id="rId46" Type="http://schemas.openxmlformats.org/officeDocument/2006/relationships/hyperlink" Target="https://www.ses.nsw.gov.au/media/2650/glossary.pdf" TargetMode="External"/><Relationship Id="rId59" Type="http://schemas.openxmlformats.org/officeDocument/2006/relationships/hyperlink" Target="https://dictionary.cambridge.org/dictionary/english/pathogen" TargetMode="External"/><Relationship Id="rId67" Type="http://schemas.openxmlformats.org/officeDocument/2006/relationships/hyperlink" Target="https://www.agriculture.gov.au/sites/default/files/abares/aclump/documents/ALUMCv8_Handbook4ednPart2_UpdateOctober2016.pdf" TargetMode="External"/><Relationship Id="rId20" Type="http://schemas.openxmlformats.org/officeDocument/2006/relationships/hyperlink" Target="https://www.oxfordreference.com/view/10.1093/oi/authority.20110803095707225" TargetMode="External"/><Relationship Id="rId41" Type="http://schemas.openxmlformats.org/officeDocument/2006/relationships/hyperlink" Target="https://www.usgs.gov/special-topic/water-science-school/science/alkalinity-and-water?qt-science_center_objects=0" TargetMode="External"/><Relationship Id="rId54" Type="http://schemas.openxmlformats.org/officeDocument/2006/relationships/hyperlink" Target="https://www.collinsdictionary.com/dictionary/english/mowing" TargetMode="External"/><Relationship Id="rId62" Type="http://schemas.openxmlformats.org/officeDocument/2006/relationships/hyperlink" Target="https://www.nationalgeographic.org/encyclopedia/pollution/" TargetMode="External"/><Relationship Id="rId70" Type="http://schemas.openxmlformats.org/officeDocument/2006/relationships/hyperlink" Target="https://www.environment.gov.au/land/publications/australias-native-vegetation-framework" TargetMode="External"/><Relationship Id="rId75" Type="http://schemas.openxmlformats.org/officeDocument/2006/relationships/hyperlink" Target="http://www.fao.org/faoterm/en/" TargetMode="External"/><Relationship Id="rId83" Type="http://schemas.openxmlformats.org/officeDocument/2006/relationships/hyperlink" Target="https://www.landis.org.uk/downloads/downloads/Glossary.pdf" TargetMode="External"/><Relationship Id="rId88" Type="http://schemas.openxmlformats.org/officeDocument/2006/relationships/hyperlink" Target="https://doi.org/10.1016/S1462-9011(00)00109-X.(http:/www.sciencedirect.com/science/article/pii/S146290110000109X)" TargetMode="External"/><Relationship Id="rId91" Type="http://schemas.openxmlformats.org/officeDocument/2006/relationships/hyperlink" Target="https://www.dictionary.com/browse/wave" TargetMode="External"/><Relationship Id="rId1" Type="http://schemas.openxmlformats.org/officeDocument/2006/relationships/hyperlink" Target="https://creativecommons.org/licenses/by/4.0/" TargetMode="External"/><Relationship Id="rId6" Type="http://schemas.openxmlformats.org/officeDocument/2006/relationships/hyperlink" Target="https://www.britannica.com/topic/aquaculture" TargetMode="External"/><Relationship Id="rId15" Type="http://schemas.openxmlformats.org/officeDocument/2006/relationships/hyperlink" Target="https://www.ses.nsw.gov.au/media/2650/glossary.pdf" TargetMode="External"/><Relationship Id="rId23" Type="http://schemas.openxmlformats.org/officeDocument/2006/relationships/hyperlink" Target="https://knowledge.aidr.org.au/glossary/?wordOfTheDayId=&amp;keywords=&amp;alpha=V&amp;page=1&amp;results=50&amp;order=AZ" TargetMode="External"/><Relationship Id="rId28" Type="http://schemas.openxmlformats.org/officeDocument/2006/relationships/hyperlink" Target="http://www.bom.gov.au/lam/glossary/" TargetMode="External"/><Relationship Id="rId36" Type="http://schemas.openxmlformats.org/officeDocument/2006/relationships/hyperlink" Target="https://www.eea.europa.eu/help/glossary/gemet-environmental-thesaurus/groundwater-extraction" TargetMode="External"/><Relationship Id="rId49" Type="http://schemas.openxmlformats.org/officeDocument/2006/relationships/hyperlink" Target="http://www.fao.org/faoterm/en/" TargetMode="External"/><Relationship Id="rId57" Type="http://schemas.openxmlformats.org/officeDocument/2006/relationships/hyperlink" Target="https://soe.environment.gov.au/glossary" TargetMode="External"/><Relationship Id="rId10" Type="http://schemas.openxmlformats.org/officeDocument/2006/relationships/hyperlink" Target="https://www.agriculture.gov.au/abares/forestsaustralia/glossary/search" TargetMode="External"/><Relationship Id="rId31" Type="http://schemas.openxmlformats.org/officeDocument/2006/relationships/hyperlink" Target="https://ec.europa.eu/eurostat/statistics-explained/index.php/Glossary:Farmland_abandonment" TargetMode="External"/><Relationship Id="rId44" Type="http://schemas.openxmlformats.org/officeDocument/2006/relationships/hyperlink" Target="https://dictionary.cambridge.org/dictionary/english/traffic" TargetMode="External"/><Relationship Id="rId52" Type="http://schemas.openxmlformats.org/officeDocument/2006/relationships/hyperlink" Target="https://www.industry.gov.au/sites/default/files/2019-04/lpsdp-mine-rehabilitation-handbook-english.pdf" TargetMode="External"/><Relationship Id="rId60" Type="http://schemas.openxmlformats.org/officeDocument/2006/relationships/hyperlink" Target="https://pesticidecompendium.bcpc.org/glossary.html" TargetMode="External"/><Relationship Id="rId65" Type="http://schemas.openxmlformats.org/officeDocument/2006/relationships/hyperlink" Target="http://www.fao.org/forest-resources-assessment/en/" TargetMode="External"/><Relationship Id="rId73" Type="http://schemas.openxmlformats.org/officeDocument/2006/relationships/hyperlink" Target="http://www.fao.org/3/ca4395en/ca4395en.pdf" TargetMode="External"/><Relationship Id="rId78" Type="http://schemas.openxmlformats.org/officeDocument/2006/relationships/hyperlink" Target="http://www.bom.gov.au/info/wwords/" TargetMode="External"/><Relationship Id="rId81" Type="http://schemas.openxmlformats.org/officeDocument/2006/relationships/hyperlink" Target="https://www.merriam-webster.com/dictionary/thermal%20expansion" TargetMode="External"/><Relationship Id="rId86" Type="http://schemas.openxmlformats.org/officeDocument/2006/relationships/hyperlink" Target="https://www.eugene-or.gov/1175/Urban-Fire" TargetMode="External"/><Relationship Id="rId94" Type="http://schemas.openxmlformats.org/officeDocument/2006/relationships/hyperlink" Target="http://www.seraustralasia.com/standards/introduction.html" TargetMode="External"/><Relationship Id="rId4" Type="http://schemas.openxmlformats.org/officeDocument/2006/relationships/hyperlink" Target="http://www.fao.org/3/I8661EN/i8661en.pdf" TargetMode="External"/><Relationship Id="rId9" Type="http://schemas.openxmlformats.org/officeDocument/2006/relationships/hyperlink" Target="https://dictionary.cambridge.org/dictionary/english/burning" TargetMode="External"/><Relationship Id="rId13" Type="http://schemas.openxmlformats.org/officeDocument/2006/relationships/hyperlink" Target="https://dictionary.cambridge.org/dictionary/english/coppice" TargetMode="External"/><Relationship Id="rId18" Type="http://schemas.openxmlformats.org/officeDocument/2006/relationships/hyperlink" Target="https://www.thefreedictionary.com/precipitation" TargetMode="External"/><Relationship Id="rId39" Type="http://schemas.openxmlformats.org/officeDocument/2006/relationships/hyperlink" Target="https://www.ers.usda.gov/webdocs/publications/41882/30078_arei4-2.pdf?v=0" TargetMode="External"/><Relationship Id="rId34" Type="http://schemas.openxmlformats.org/officeDocument/2006/relationships/hyperlink" Target="http://www.bom.gov.au/lam/glossary/" TargetMode="External"/><Relationship Id="rId50" Type="http://schemas.openxmlformats.org/officeDocument/2006/relationships/hyperlink" Target="https://knowledge.aidr.org.au/glossary/?wordOfTheDayId=&amp;keywords=&amp;alpha=V&amp;page=1&amp;results=50&amp;order=AZ" TargetMode="External"/><Relationship Id="rId55" Type="http://schemas.openxmlformats.org/officeDocument/2006/relationships/hyperlink" Target="https://doi.org/10.1016/B978-0-12-803033-2.00012-1" TargetMode="External"/><Relationship Id="rId76" Type="http://schemas.openxmlformats.org/officeDocument/2006/relationships/hyperlink" Target="https://www.weather.gov/phi/ThunderstormDefinition" TargetMode="External"/><Relationship Id="rId7" Type="http://schemas.openxmlformats.org/officeDocument/2006/relationships/hyperlink" Target="http://www.fao.org/3/X6941E/x6941e04.htm" TargetMode="External"/><Relationship Id="rId71" Type="http://schemas.openxmlformats.org/officeDocument/2006/relationships/hyperlink" Target="http://www.environment.gov.au/system/files/resources/76f709dc-ccb3-4645-a18b-063fbbf0a899/files/native-vegetation-framework.pdf" TargetMode="External"/><Relationship Id="rId92" Type="http://schemas.openxmlformats.org/officeDocument/2006/relationships/hyperlink" Target="https://shire.science.uq.edu.au/bb/PLNT3012/index.html" TargetMode="External"/><Relationship Id="rId2" Type="http://schemas.openxmlformats.org/officeDocument/2006/relationships/hyperlink" Target="https://soe.environment.gov.au/glossary" TargetMode="External"/><Relationship Id="rId29" Type="http://schemas.openxmlformats.org/officeDocument/2006/relationships/hyperlink" Target="http://www.bom.gov.au/cyclone/tropical-cyclone-knowledge-centre/understanding/tc-info/" TargetMode="External"/><Relationship Id="rId24" Type="http://schemas.openxmlformats.org/officeDocument/2006/relationships/hyperlink" Target="http://www.seraustralasia.com/standards/introduction.html" TargetMode="External"/><Relationship Id="rId40" Type="http://schemas.openxmlformats.org/officeDocument/2006/relationships/hyperlink" Target="https://www.collinsdictionary.com/dictionary/english/ph" TargetMode="External"/><Relationship Id="rId45" Type="http://schemas.openxmlformats.org/officeDocument/2006/relationships/hyperlink" Target="https://www.ses.nsw.gov.au/about-us/flood-storm-and-tsunami-plans/%5d%5blast" TargetMode="External"/><Relationship Id="rId66" Type="http://schemas.openxmlformats.org/officeDocument/2006/relationships/hyperlink" Target="http://www.fao.org/3/I8661EN/i8661en.pdf" TargetMode="External"/><Relationship Id="rId87" Type="http://schemas.openxmlformats.org/officeDocument/2006/relationships/hyperlink" Target="https://inspire.ec.europa.eu/codelist/SupplementaryRegulationValue/7_4_3_UrbanRehabilitationAndRestoration/" TargetMode="External"/><Relationship Id="rId61" Type="http://schemas.openxmlformats.org/officeDocument/2006/relationships/hyperlink" Target="https://www.lawinsider.com/dictionary/ploughing" TargetMode="External"/><Relationship Id="rId82" Type="http://schemas.openxmlformats.org/officeDocument/2006/relationships/hyperlink" Target="https://en.wikipedia.org/wiki/Tillage" TargetMode="External"/><Relationship Id="rId19" Type="http://schemas.openxmlformats.org/officeDocument/2006/relationships/hyperlink" Target="https://dictionary.cambridge.org/dictionary/english/temperature" TargetMode="External"/><Relationship Id="rId14" Type="http://schemas.openxmlformats.org/officeDocument/2006/relationships/hyperlink" Target="https://www.ses.nsw.gov.au/about-us/flood-storm-and-tsunami-plans/%5d%5blast" TargetMode="External"/><Relationship Id="rId30" Type="http://schemas.openxmlformats.org/officeDocument/2006/relationships/hyperlink" Target="https://encyclopedia2.thefreedictionary.com/fallowing" TargetMode="External"/><Relationship Id="rId35" Type="http://schemas.openxmlformats.org/officeDocument/2006/relationships/hyperlink" Target="https://www.sciencedirect.com/science/article/pii/S0378112715003631" TargetMode="External"/><Relationship Id="rId56" Type="http://schemas.openxmlformats.org/officeDocument/2006/relationships/hyperlink" Target="https://creativecommons.org/licenses/by/4.0/" TargetMode="External"/><Relationship Id="rId77" Type="http://schemas.openxmlformats.org/officeDocument/2006/relationships/hyperlink" Target="http://www.bom.gov.au/cyclone/tropical-cyclone-knowledge-centre/understanding/storm-sur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FCFF9-01C4-4FA6-9078-5A4B0357B6F5}">
  <sheetPr codeName="Sheet1"/>
  <dimension ref="A1:ET251"/>
  <sheetViews>
    <sheetView tabSelected="1" zoomScaleNormal="100" workbookViewId="0">
      <pane xSplit="3" ySplit="1" topLeftCell="CY235" activePane="bottomRight" state="frozen"/>
      <selection pane="topRight" activeCell="D1" sqref="D1"/>
      <selection pane="bottomLeft" activeCell="A2" sqref="A2"/>
      <selection pane="bottomRight" activeCell="DA241" sqref="DA241:DE241"/>
    </sheetView>
  </sheetViews>
  <sheetFormatPr baseColWidth="10" defaultColWidth="8.83203125" defaultRowHeight="15" x14ac:dyDescent="0.2"/>
  <cols>
    <col min="1" max="1" width="9.1640625" bestFit="1" customWidth="1"/>
    <col min="2" max="2" width="37.5" bestFit="1" customWidth="1"/>
    <col min="3" max="3" width="33.6640625" customWidth="1"/>
    <col min="4" max="4" width="10.6640625" customWidth="1"/>
    <col min="5" max="5" width="25.1640625" customWidth="1"/>
    <col min="6" max="6" width="63.5" style="23" customWidth="1"/>
    <col min="7" max="7" width="8" style="23" customWidth="1"/>
    <col min="8" max="8" width="6.6640625" customWidth="1"/>
    <col min="9" max="9" width="22" customWidth="1"/>
    <col min="10" max="10" width="5.33203125" customWidth="1"/>
    <col min="11" max="11" width="4.33203125" customWidth="1"/>
    <col min="12" max="12" width="5.33203125" customWidth="1"/>
    <col min="13" max="13" width="5.5" customWidth="1"/>
    <col min="14" max="14" width="85.83203125" customWidth="1"/>
    <col min="15" max="15" width="73.6640625" customWidth="1"/>
    <col min="16" max="16" width="150.1640625" customWidth="1"/>
    <col min="17" max="18" width="8.6640625" customWidth="1"/>
    <col min="19" max="19" width="8.6640625" bestFit="1" customWidth="1"/>
    <col min="20" max="20" width="8.6640625" customWidth="1"/>
    <col min="21" max="21" width="8.33203125" bestFit="1" customWidth="1"/>
    <col min="22" max="46" width="8.33203125" customWidth="1"/>
    <col min="47" max="48" width="9.83203125" bestFit="1" customWidth="1"/>
    <col min="49" max="49" width="10.1640625" hidden="1" customWidth="1"/>
    <col min="50" max="50" width="17.33203125" hidden="1" customWidth="1"/>
    <col min="51" max="51" width="10.83203125" hidden="1" customWidth="1"/>
    <col min="52" max="52" width="11.83203125" hidden="1" customWidth="1"/>
    <col min="53" max="53" width="12.83203125" hidden="1" customWidth="1"/>
    <col min="54" max="54" width="12.6640625" hidden="1" customWidth="1"/>
    <col min="55" max="55" width="10" hidden="1" customWidth="1"/>
    <col min="56" max="65" width="10.1640625" style="1" hidden="1" customWidth="1"/>
    <col min="66" max="66" width="10.33203125" style="1" hidden="1" customWidth="1"/>
    <col min="67" max="70" width="10.1640625" style="1" hidden="1" customWidth="1"/>
    <col min="71" max="71" width="5.5" style="1" hidden="1" customWidth="1"/>
    <col min="72" max="72" width="5.6640625" style="1" hidden="1" customWidth="1"/>
    <col min="73" max="73" width="4.5" hidden="1" customWidth="1"/>
    <col min="74" max="74" width="7.1640625" hidden="1" customWidth="1"/>
    <col min="75" max="75" width="10.6640625" hidden="1" customWidth="1"/>
    <col min="76" max="76" width="16.6640625" hidden="1" customWidth="1"/>
    <col min="77" max="77" width="18.6640625" hidden="1" customWidth="1"/>
    <col min="78" max="78" width="10.6640625" bestFit="1" customWidth="1"/>
    <col min="79" max="79" width="10.83203125" bestFit="1" customWidth="1"/>
    <col min="80" max="104" width="10.83203125" customWidth="1"/>
    <col min="105" max="105" width="6.33203125" bestFit="1" customWidth="1"/>
    <col min="106" max="109" width="10.83203125" customWidth="1"/>
    <col min="110" max="110" width="12.33203125" bestFit="1" customWidth="1"/>
    <col min="111" max="111" width="12.33203125" customWidth="1"/>
    <col min="115" max="117" width="8.83203125" style="2"/>
    <col min="118" max="118" width="12" style="2" bestFit="1" customWidth="1"/>
    <col min="119" max="148" width="3.6640625" style="53" customWidth="1"/>
    <col min="149" max="149" width="3.6640625" customWidth="1"/>
    <col min="150" max="150" width="3.1640625" style="56" bestFit="1" customWidth="1"/>
  </cols>
  <sheetData>
    <row r="1" spans="1:150" s="4" customFormat="1" ht="105" x14ac:dyDescent="0.2">
      <c r="A1" s="4" t="s">
        <v>738</v>
      </c>
      <c r="B1" s="4" t="s">
        <v>1</v>
      </c>
      <c r="C1" s="4" t="s">
        <v>672</v>
      </c>
      <c r="D1" s="4" t="s">
        <v>567</v>
      </c>
      <c r="E1" s="4" t="s">
        <v>2</v>
      </c>
      <c r="F1" s="4" t="s">
        <v>3</v>
      </c>
      <c r="G1" s="4" t="s">
        <v>1712</v>
      </c>
      <c r="H1" s="4" t="s">
        <v>0</v>
      </c>
      <c r="I1" s="4" t="s">
        <v>597</v>
      </c>
      <c r="J1" s="4" t="s">
        <v>735</v>
      </c>
      <c r="K1" s="15" t="s">
        <v>736</v>
      </c>
      <c r="L1" s="15" t="s">
        <v>737</v>
      </c>
      <c r="M1" s="15" t="s">
        <v>739</v>
      </c>
      <c r="N1" s="15" t="s">
        <v>1032</v>
      </c>
      <c r="O1" s="4" t="s">
        <v>598</v>
      </c>
      <c r="P1" s="4" t="s">
        <v>599</v>
      </c>
      <c r="Q1" s="4" t="s">
        <v>732</v>
      </c>
      <c r="R1" s="4" t="s">
        <v>731</v>
      </c>
      <c r="S1" s="4" t="s">
        <v>730</v>
      </c>
      <c r="T1" s="4" t="s">
        <v>733</v>
      </c>
      <c r="U1" s="4" t="s">
        <v>729</v>
      </c>
      <c r="V1" s="37" t="s">
        <v>1731</v>
      </c>
      <c r="W1" s="37" t="s">
        <v>1732</v>
      </c>
      <c r="X1" s="37" t="s">
        <v>1733</v>
      </c>
      <c r="Y1" s="37" t="s">
        <v>1734</v>
      </c>
      <c r="Z1" s="37" t="s">
        <v>1735</v>
      </c>
      <c r="AA1" s="37" t="s">
        <v>1736</v>
      </c>
      <c r="AB1" s="37" t="s">
        <v>1737</v>
      </c>
      <c r="AC1" s="37" t="s">
        <v>1738</v>
      </c>
      <c r="AD1" s="37" t="s">
        <v>1739</v>
      </c>
      <c r="AE1" s="30" t="s">
        <v>1758</v>
      </c>
      <c r="AF1" s="30" t="s">
        <v>1759</v>
      </c>
      <c r="AG1" s="30" t="s">
        <v>1760</v>
      </c>
      <c r="AH1" s="30" t="s">
        <v>1761</v>
      </c>
      <c r="AI1" s="30" t="s">
        <v>1762</v>
      </c>
      <c r="AJ1" s="30" t="s">
        <v>1763</v>
      </c>
      <c r="AK1" s="30" t="s">
        <v>1764</v>
      </c>
      <c r="AL1" s="30" t="s">
        <v>1765</v>
      </c>
      <c r="AM1" s="30" t="s">
        <v>1766</v>
      </c>
      <c r="AN1" s="30" t="s">
        <v>1775</v>
      </c>
      <c r="AO1" s="30" t="s">
        <v>1776</v>
      </c>
      <c r="AP1" s="30" t="s">
        <v>1777</v>
      </c>
      <c r="AQ1" s="30" t="s">
        <v>1778</v>
      </c>
      <c r="AR1" s="30" t="s">
        <v>1779</v>
      </c>
      <c r="AS1" s="30" t="s">
        <v>1780</v>
      </c>
      <c r="AT1" s="30" t="s">
        <v>1781</v>
      </c>
      <c r="AU1" s="30" t="s">
        <v>1714</v>
      </c>
      <c r="AV1" s="30" t="s">
        <v>1715</v>
      </c>
      <c r="AW1" s="4" t="s">
        <v>724</v>
      </c>
      <c r="AX1" s="4" t="s">
        <v>725</v>
      </c>
      <c r="AY1" s="4" t="s">
        <v>726</v>
      </c>
      <c r="AZ1" s="4" t="s">
        <v>684</v>
      </c>
      <c r="BA1" s="4" t="s">
        <v>685</v>
      </c>
      <c r="BB1" s="4" t="s">
        <v>686</v>
      </c>
      <c r="BD1" s="16" t="s">
        <v>693</v>
      </c>
      <c r="BE1" s="16" t="s">
        <v>694</v>
      </c>
      <c r="BF1" s="16" t="s">
        <v>695</v>
      </c>
      <c r="BG1" s="16" t="s">
        <v>696</v>
      </c>
      <c r="BH1" s="16" t="s">
        <v>697</v>
      </c>
      <c r="BI1" s="16" t="s">
        <v>698</v>
      </c>
      <c r="BJ1" s="16" t="s">
        <v>699</v>
      </c>
      <c r="BK1" s="16" t="s">
        <v>700</v>
      </c>
      <c r="BL1" s="16" t="s">
        <v>701</v>
      </c>
      <c r="BM1" s="16" t="s">
        <v>702</v>
      </c>
      <c r="BN1" s="16" t="s">
        <v>703</v>
      </c>
      <c r="BO1" s="16" t="s">
        <v>704</v>
      </c>
      <c r="BP1" s="16" t="s">
        <v>705</v>
      </c>
      <c r="BQ1" s="16" t="s">
        <v>706</v>
      </c>
      <c r="BR1" s="16" t="s">
        <v>707</v>
      </c>
      <c r="BS1" s="16" t="s">
        <v>708</v>
      </c>
      <c r="BT1" s="16" t="s">
        <v>709</v>
      </c>
      <c r="BU1" s="4" t="s">
        <v>710</v>
      </c>
      <c r="BV1" s="4" t="s">
        <v>722</v>
      </c>
      <c r="BW1" s="4" t="s">
        <v>723</v>
      </c>
      <c r="BX1" s="4" t="s">
        <v>711</v>
      </c>
      <c r="BY1" s="4" t="s">
        <v>712</v>
      </c>
      <c r="BZ1" s="4" t="s">
        <v>1716</v>
      </c>
      <c r="CA1" s="4" t="s">
        <v>1713</v>
      </c>
      <c r="CB1" s="4" t="s">
        <v>1717</v>
      </c>
      <c r="CC1" s="4" t="s">
        <v>1718</v>
      </c>
      <c r="CD1" s="4" t="s">
        <v>1719</v>
      </c>
      <c r="CE1" s="4" t="s">
        <v>1720</v>
      </c>
      <c r="CF1" s="4" t="s">
        <v>1721</v>
      </c>
      <c r="CG1" s="4" t="s">
        <v>1722</v>
      </c>
      <c r="CH1" s="4" t="s">
        <v>1740</v>
      </c>
      <c r="CI1" s="4" t="s">
        <v>1741</v>
      </c>
      <c r="CJ1" s="4" t="s">
        <v>1742</v>
      </c>
      <c r="CK1" s="4" t="s">
        <v>1743</v>
      </c>
      <c r="CL1" s="4" t="s">
        <v>1769</v>
      </c>
      <c r="CM1" s="4" t="s">
        <v>1744</v>
      </c>
      <c r="CN1" s="4" t="s">
        <v>1745</v>
      </c>
      <c r="CO1" s="4" t="s">
        <v>1746</v>
      </c>
      <c r="CP1" s="4" t="s">
        <v>1747</v>
      </c>
      <c r="CQ1" s="4" t="s">
        <v>1748</v>
      </c>
      <c r="CR1" s="4" t="s">
        <v>1749</v>
      </c>
      <c r="CS1" s="4" t="s">
        <v>1750</v>
      </c>
      <c r="CT1" s="4" t="s">
        <v>1751</v>
      </c>
      <c r="CU1" s="4" t="s">
        <v>1752</v>
      </c>
      <c r="CV1" s="4" t="s">
        <v>1753</v>
      </c>
      <c r="CW1" s="4" t="s">
        <v>1754</v>
      </c>
      <c r="CX1" s="4" t="s">
        <v>1755</v>
      </c>
      <c r="CY1" s="4" t="s">
        <v>1756</v>
      </c>
      <c r="CZ1" s="4" t="s">
        <v>1757</v>
      </c>
      <c r="DA1" s="4" t="s">
        <v>1723</v>
      </c>
      <c r="DB1" s="4" t="s">
        <v>1724</v>
      </c>
      <c r="DC1" s="4" t="s">
        <v>1725</v>
      </c>
      <c r="DD1" s="4" t="s">
        <v>1726</v>
      </c>
      <c r="DE1" s="4" t="s">
        <v>1767</v>
      </c>
      <c r="DF1" s="4" t="s">
        <v>1768</v>
      </c>
      <c r="DG1" s="4" t="s">
        <v>1727</v>
      </c>
      <c r="DH1" s="4" t="s">
        <v>1728</v>
      </c>
      <c r="DI1" s="4" t="s">
        <v>1729</v>
      </c>
      <c r="DJ1" s="4" t="s">
        <v>1730</v>
      </c>
      <c r="DK1" s="17" t="s">
        <v>727</v>
      </c>
      <c r="DL1" s="17" t="s">
        <v>728</v>
      </c>
      <c r="DM1" s="17" t="s">
        <v>1711</v>
      </c>
      <c r="DN1" s="17" t="s">
        <v>1536</v>
      </c>
      <c r="DO1" s="49" t="s">
        <v>1771</v>
      </c>
      <c r="DP1" s="49" t="s">
        <v>1772</v>
      </c>
      <c r="DQ1" s="49" t="s">
        <v>1773</v>
      </c>
      <c r="DR1" s="49" t="s">
        <v>734</v>
      </c>
      <c r="DS1" s="49" t="s">
        <v>43</v>
      </c>
      <c r="DT1" s="49" t="s">
        <v>1799</v>
      </c>
      <c r="DU1" s="49" t="s">
        <v>1789</v>
      </c>
      <c r="DV1" s="49" t="s">
        <v>1770</v>
      </c>
      <c r="DW1" s="49" t="s">
        <v>1801</v>
      </c>
      <c r="DX1" s="49" t="s">
        <v>1784</v>
      </c>
      <c r="DY1" s="49" t="s">
        <v>1785</v>
      </c>
      <c r="DZ1" s="49" t="s">
        <v>1783</v>
      </c>
      <c r="EA1" s="49" t="s">
        <v>1800</v>
      </c>
      <c r="EB1" s="49" t="s">
        <v>1790</v>
      </c>
      <c r="EC1" s="49" t="s">
        <v>1792</v>
      </c>
      <c r="ED1" s="49" t="s">
        <v>1803</v>
      </c>
      <c r="EE1" s="49" t="s">
        <v>1798</v>
      </c>
      <c r="EF1" s="49" t="s">
        <v>1795</v>
      </c>
      <c r="EG1" s="49" t="s">
        <v>1802</v>
      </c>
      <c r="EH1" s="49" t="s">
        <v>1804</v>
      </c>
      <c r="EI1" s="49" t="s">
        <v>1794</v>
      </c>
      <c r="EJ1" s="49" t="s">
        <v>1774</v>
      </c>
      <c r="EK1" s="49" t="s">
        <v>1796</v>
      </c>
      <c r="EL1" s="49" t="s">
        <v>1797</v>
      </c>
      <c r="EM1" s="49" t="s">
        <v>1791</v>
      </c>
      <c r="EN1" s="49" t="s">
        <v>1787</v>
      </c>
      <c r="EO1" s="49" t="s">
        <v>67</v>
      </c>
      <c r="EP1" s="49" t="s">
        <v>1786</v>
      </c>
      <c r="EQ1" s="49" t="s">
        <v>1793</v>
      </c>
      <c r="ER1" s="49" t="s">
        <v>1782</v>
      </c>
      <c r="ES1" s="49" t="s">
        <v>1788</v>
      </c>
      <c r="ET1" s="54" t="s">
        <v>1805</v>
      </c>
    </row>
    <row r="2" spans="1:150" s="5" customFormat="1" ht="16" customHeight="1" x14ac:dyDescent="0.2">
      <c r="A2" s="5">
        <v>1</v>
      </c>
      <c r="B2" s="8" t="s">
        <v>4</v>
      </c>
      <c r="C2" s="8" t="s">
        <v>5</v>
      </c>
      <c r="D2" s="5">
        <v>111</v>
      </c>
      <c r="E2" s="5" t="s">
        <v>6</v>
      </c>
      <c r="F2" s="21" t="s">
        <v>7</v>
      </c>
      <c r="G2" s="21">
        <v>1</v>
      </c>
      <c r="H2" s="5">
        <f>(A2*1000)+D2</f>
        <v>1111</v>
      </c>
      <c r="I2" t="s">
        <v>1034</v>
      </c>
      <c r="J2">
        <v>205</v>
      </c>
      <c r="K2">
        <v>133</v>
      </c>
      <c r="L2">
        <v>63</v>
      </c>
      <c r="M2" s="6">
        <v>255</v>
      </c>
      <c r="N2" s="6" t="str">
        <f>G2&amp;": ("&amp;J2&amp;", "&amp;K2&amp;", "&amp;L2&amp;", "&amp;M2&amp;", "&amp;F2&amp;": "&amp;H2&amp;"),"</f>
        <v>1: (205, 133, 63, 255, Accretion (sediment transport): 1111),</v>
      </c>
      <c r="O2" s="5" t="str">
        <f>VLOOKUP(Australia!B2,Impacts!$A$2:$B$80,2, FALSE)</f>
        <v xml:space="preserve">The build-up of sediments to form land or shoaling in coastal waters or waterways. </v>
      </c>
      <c r="P2" s="5" t="str">
        <f>VLOOKUP(E2,Pressures!$A$2:$B$145,2,FALSE)</f>
        <v>The movement of solid particles (sediment) caused by movement of the water volume within which they are contained and the force of gravity.</v>
      </c>
      <c r="AA2" s="29">
        <v>216216</v>
      </c>
      <c r="AD2" s="29">
        <v>220220</v>
      </c>
      <c r="AW2" s="5">
        <v>0</v>
      </c>
      <c r="AX2" s="5">
        <v>0</v>
      </c>
      <c r="AZ2" s="5">
        <v>1</v>
      </c>
      <c r="BA2" s="5">
        <v>2</v>
      </c>
      <c r="BB2" s="5">
        <v>3</v>
      </c>
      <c r="BH2" s="7">
        <v>216216</v>
      </c>
      <c r="CZ2" s="48">
        <v>11</v>
      </c>
      <c r="DK2" s="8"/>
      <c r="DL2" s="8"/>
      <c r="DM2" s="8"/>
      <c r="DN2" s="8"/>
      <c r="DO2" s="50"/>
      <c r="DP2" s="50"/>
      <c r="DQ2" s="50"/>
      <c r="DR2" s="50"/>
      <c r="DS2" s="50"/>
      <c r="DT2" s="50"/>
      <c r="DU2" s="50"/>
      <c r="DV2" s="50">
        <v>1</v>
      </c>
      <c r="DW2" s="50"/>
      <c r="DX2" s="50"/>
      <c r="DY2" s="50"/>
      <c r="DZ2" s="50"/>
      <c r="EA2" s="50"/>
      <c r="EB2" s="50"/>
      <c r="EC2" s="50"/>
      <c r="ED2" s="50"/>
      <c r="EE2" s="50"/>
      <c r="EF2" s="50"/>
      <c r="EG2" s="50"/>
      <c r="EH2" s="50"/>
      <c r="EI2" s="50"/>
      <c r="EJ2" s="50"/>
      <c r="EK2" s="50"/>
      <c r="EL2" s="50"/>
      <c r="EM2" s="50"/>
      <c r="EN2" s="50"/>
      <c r="EO2" s="50"/>
      <c r="EP2" s="50"/>
      <c r="EQ2" s="50"/>
      <c r="ER2" s="50"/>
      <c r="ET2" s="55">
        <f>SUM(DO2:ES2)</f>
        <v>1</v>
      </c>
    </row>
    <row r="3" spans="1:150" s="5" customFormat="1" ht="16" customHeight="1" x14ac:dyDescent="0.2">
      <c r="A3" s="5">
        <v>2</v>
      </c>
      <c r="B3" s="8" t="s">
        <v>8</v>
      </c>
      <c r="C3" s="8" t="s">
        <v>9</v>
      </c>
      <c r="D3" s="5">
        <v>36</v>
      </c>
      <c r="E3" s="5" t="s">
        <v>10</v>
      </c>
      <c r="F3" s="21" t="s">
        <v>11</v>
      </c>
      <c r="G3" s="21">
        <v>2</v>
      </c>
      <c r="H3" s="5">
        <f t="shared" ref="H3:H66" si="0">(A3*1000)+D3</f>
        <v>2036</v>
      </c>
      <c r="I3" t="s">
        <v>1035</v>
      </c>
      <c r="J3">
        <v>0</v>
      </c>
      <c r="K3">
        <v>255</v>
      </c>
      <c r="L3">
        <v>0</v>
      </c>
      <c r="M3" s="6">
        <v>255</v>
      </c>
      <c r="N3" s="6" t="str">
        <f t="shared" ref="N3:N66" si="1">G3&amp;": ("&amp;J3&amp;", "&amp;K3&amp;", "&amp;L3&amp;", "&amp;M3&amp;", "&amp;F3&amp;": "&amp;H3&amp;"),"</f>
        <v>2: (0, 255, 0, 255, Algal bloom (eutrophication): 2036),</v>
      </c>
      <c r="O3" s="5" t="str">
        <f>VLOOKUP(Australia!B3,Impacts!$A$2:$B$80,2, FALSE)</f>
        <v xml:space="preserve">A sudden proliferation of algae (microscopic plants) that occurs near the surface of a body of water. </v>
      </c>
      <c r="P3" s="5" t="str">
        <f>VLOOKUP(E3,Pressures!$A$2:$B$145,2,FALSE)</f>
        <v>A natural process that results from accumulation of nutrients in lakes or other bodies of water.</v>
      </c>
      <c r="AB3" s="29">
        <v>227227</v>
      </c>
      <c r="AC3" s="29">
        <v>228228</v>
      </c>
      <c r="AD3" s="29">
        <v>220220</v>
      </c>
      <c r="AW3" s="5">
        <v>0</v>
      </c>
      <c r="AX3" s="5">
        <v>0</v>
      </c>
      <c r="AZ3" s="5">
        <v>1</v>
      </c>
      <c r="BA3" s="5">
        <v>2</v>
      </c>
      <c r="BB3" s="5">
        <v>3</v>
      </c>
      <c r="CZ3" s="48">
        <v>11</v>
      </c>
      <c r="DK3" s="8"/>
      <c r="DL3" s="8"/>
      <c r="DM3" s="8"/>
      <c r="DN3" s="8"/>
      <c r="DO3" s="50" t="s">
        <v>713</v>
      </c>
      <c r="DP3" s="50"/>
      <c r="DQ3" s="50"/>
      <c r="DR3" s="50"/>
      <c r="DS3" s="50"/>
      <c r="DT3" s="50"/>
      <c r="DU3" s="50"/>
      <c r="DV3" s="50"/>
      <c r="DW3" s="50"/>
      <c r="DX3" s="50"/>
      <c r="DY3" s="50"/>
      <c r="DZ3" s="50"/>
      <c r="EA3" s="50"/>
      <c r="EB3" s="50"/>
      <c r="EC3" s="50"/>
      <c r="ED3" s="50"/>
      <c r="EE3" s="50"/>
      <c r="EF3" s="50"/>
      <c r="EG3" s="50"/>
      <c r="EH3" s="50"/>
      <c r="EI3" s="50"/>
      <c r="EJ3" s="50"/>
      <c r="EK3" s="50"/>
      <c r="EL3" s="50"/>
      <c r="EM3" s="50"/>
      <c r="EN3" s="50"/>
      <c r="EO3" s="50"/>
      <c r="EP3" s="50"/>
      <c r="EQ3" s="50"/>
      <c r="ER3" s="50">
        <v>1</v>
      </c>
      <c r="ET3" s="55">
        <f t="shared" ref="ET3:ET66" si="2">SUM(DO3:ES3)</f>
        <v>1</v>
      </c>
    </row>
    <row r="4" spans="1:150" s="5" customFormat="1" ht="16" customHeight="1" x14ac:dyDescent="0.2">
      <c r="A4" s="5">
        <v>2</v>
      </c>
      <c r="B4" s="8" t="s">
        <v>8</v>
      </c>
      <c r="C4" s="8" t="s">
        <v>12</v>
      </c>
      <c r="D4" s="5">
        <v>57</v>
      </c>
      <c r="E4" s="5" t="s">
        <v>13</v>
      </c>
      <c r="F4" s="21" t="s">
        <v>14</v>
      </c>
      <c r="G4" s="21">
        <v>3</v>
      </c>
      <c r="H4" s="5">
        <f t="shared" si="0"/>
        <v>2057</v>
      </c>
      <c r="I4" t="s">
        <v>1036</v>
      </c>
      <c r="J4">
        <v>173</v>
      </c>
      <c r="K4">
        <v>255</v>
      </c>
      <c r="L4">
        <v>47</v>
      </c>
      <c r="M4" s="6">
        <v>255</v>
      </c>
      <c r="N4" s="6" t="str">
        <f t="shared" si="1"/>
        <v>3: (173, 255, 47, 255, Algal bloom (high inland water temperatures): 2057),</v>
      </c>
      <c r="O4" s="5" t="str">
        <f>VLOOKUP(Australia!B4,Impacts!$A$2:$B$80,2, FALSE)</f>
        <v xml:space="preserve">A sudden proliferation of algae (microscopic plants) that occurs near the surface of a body of water. </v>
      </c>
      <c r="P4" s="5" t="str">
        <f>VLOOKUP(E4,Pressures!$A$2:$B$145,2,FALSE)</f>
        <v>Water temperatures of rivers, lakes, floodplains, reservoirs, wetlands, and inland saline systems that are warmer than usual.</v>
      </c>
      <c r="AB4" s="29">
        <v>227227</v>
      </c>
      <c r="AC4" s="29">
        <v>228228</v>
      </c>
      <c r="AD4" s="29">
        <v>220220</v>
      </c>
      <c r="AW4" s="5">
        <v>0</v>
      </c>
      <c r="AX4" s="5">
        <v>0</v>
      </c>
      <c r="AZ4" s="5">
        <v>1</v>
      </c>
      <c r="BA4" s="5">
        <v>2</v>
      </c>
      <c r="BB4" s="5">
        <v>3</v>
      </c>
      <c r="CZ4" s="48">
        <v>11</v>
      </c>
      <c r="DK4" s="8"/>
      <c r="DL4" s="8"/>
      <c r="DM4" s="8"/>
      <c r="DN4" s="8"/>
      <c r="DO4" s="50"/>
      <c r="DP4" s="50"/>
      <c r="DQ4" s="50"/>
      <c r="DR4" s="50"/>
      <c r="DS4" s="50"/>
      <c r="DT4" s="50"/>
      <c r="DU4" s="50"/>
      <c r="DV4" s="50"/>
      <c r="DW4" s="50"/>
      <c r="DX4" s="50"/>
      <c r="DY4" s="50">
        <v>1</v>
      </c>
      <c r="DZ4" s="50"/>
      <c r="EA4" s="50"/>
      <c r="EB4" s="50"/>
      <c r="EC4" s="50"/>
      <c r="ED4" s="50"/>
      <c r="EE4" s="50"/>
      <c r="EF4" s="50"/>
      <c r="EG4" s="50"/>
      <c r="EH4" s="50"/>
      <c r="EI4" s="50"/>
      <c r="EJ4" s="50"/>
      <c r="EK4" s="50"/>
      <c r="EL4" s="50"/>
      <c r="EM4" s="50"/>
      <c r="EN4" s="50"/>
      <c r="EO4" s="50"/>
      <c r="EP4" s="50"/>
      <c r="EQ4" s="50"/>
      <c r="ER4" s="50"/>
      <c r="ET4" s="55">
        <f t="shared" si="2"/>
        <v>1</v>
      </c>
    </row>
    <row r="5" spans="1:150" s="5" customFormat="1" ht="16" customHeight="1" x14ac:dyDescent="0.2">
      <c r="A5" s="5">
        <v>2</v>
      </c>
      <c r="B5" s="8" t="s">
        <v>8</v>
      </c>
      <c r="C5" s="8" t="s">
        <v>15</v>
      </c>
      <c r="D5" s="5">
        <v>64</v>
      </c>
      <c r="E5" s="5" t="s">
        <v>16</v>
      </c>
      <c r="F5" s="21" t="s">
        <v>17</v>
      </c>
      <c r="G5" s="21">
        <v>4</v>
      </c>
      <c r="H5" s="5">
        <f t="shared" si="0"/>
        <v>2064</v>
      </c>
      <c r="I5" t="s">
        <v>1037</v>
      </c>
      <c r="J5">
        <v>124</v>
      </c>
      <c r="K5">
        <v>252</v>
      </c>
      <c r="L5">
        <v>0</v>
      </c>
      <c r="M5" s="6">
        <v>255</v>
      </c>
      <c r="N5" s="6" t="str">
        <f t="shared" si="1"/>
        <v>4: (124, 252, 0, 255, Algal bloom (increased temperature): 2064),</v>
      </c>
      <c r="O5" s="5" t="str">
        <f>VLOOKUP(Australia!B5,Impacts!$A$2:$B$80,2, FALSE)</f>
        <v xml:space="preserve">A sudden proliferation of algae (microscopic plants) that occurs near the surface of a body of water. </v>
      </c>
      <c r="P5" s="5" t="str">
        <f>VLOOKUP(E5,Pressures!$A$2:$B$145,2,FALSE)</f>
        <v>Increased amount of heat in a place.</v>
      </c>
      <c r="AB5" s="29">
        <v>227227</v>
      </c>
      <c r="AC5" s="29">
        <v>228228</v>
      </c>
      <c r="AD5" s="29">
        <v>220220</v>
      </c>
      <c r="AW5" s="5">
        <v>0</v>
      </c>
      <c r="AX5" s="5">
        <v>0</v>
      </c>
      <c r="AZ5" s="5">
        <v>1</v>
      </c>
      <c r="BA5" s="5">
        <v>2</v>
      </c>
      <c r="BB5" s="5">
        <v>3</v>
      </c>
      <c r="BG5" s="7" t="s">
        <v>713</v>
      </c>
      <c r="CZ5" s="48">
        <v>11</v>
      </c>
      <c r="DK5" s="8"/>
      <c r="DL5" s="8"/>
      <c r="DM5" s="8"/>
      <c r="DN5" s="8"/>
      <c r="DO5" s="50"/>
      <c r="DP5" s="50"/>
      <c r="DQ5" s="50"/>
      <c r="DR5" s="50"/>
      <c r="DS5" s="50"/>
      <c r="DT5" s="50"/>
      <c r="DU5" s="50"/>
      <c r="DV5" s="50"/>
      <c r="DW5" s="50"/>
      <c r="DX5" s="50"/>
      <c r="DY5" s="50"/>
      <c r="DZ5" s="50">
        <v>1</v>
      </c>
      <c r="EA5" s="50"/>
      <c r="EB5" s="50"/>
      <c r="EC5" s="50"/>
      <c r="ED5" s="50"/>
      <c r="EE5" s="50"/>
      <c r="EF5" s="50"/>
      <c r="EG5" s="50"/>
      <c r="EH5" s="50"/>
      <c r="EI5" s="50"/>
      <c r="EJ5" s="50"/>
      <c r="EK5" s="50"/>
      <c r="EL5" s="50"/>
      <c r="EM5" s="50"/>
      <c r="EN5" s="50"/>
      <c r="EO5" s="50"/>
      <c r="EP5" s="50"/>
      <c r="EQ5" s="50"/>
      <c r="ER5" s="50"/>
      <c r="ET5" s="55">
        <f t="shared" si="2"/>
        <v>1</v>
      </c>
    </row>
    <row r="6" spans="1:150" s="5" customFormat="1" ht="16" customHeight="1" x14ac:dyDescent="0.2">
      <c r="A6" s="5">
        <v>3</v>
      </c>
      <c r="B6" s="8" t="s">
        <v>18</v>
      </c>
      <c r="C6" s="8" t="s">
        <v>19</v>
      </c>
      <c r="D6" s="5">
        <v>26</v>
      </c>
      <c r="E6" s="5" t="s">
        <v>20</v>
      </c>
      <c r="F6" s="21" t="s">
        <v>21</v>
      </c>
      <c r="G6" s="21">
        <v>5</v>
      </c>
      <c r="H6" s="5">
        <f t="shared" si="0"/>
        <v>3026</v>
      </c>
      <c r="I6" t="s">
        <v>1038</v>
      </c>
      <c r="J6">
        <v>210</v>
      </c>
      <c r="K6">
        <v>105</v>
      </c>
      <c r="L6">
        <v>30</v>
      </c>
      <c r="M6" s="6">
        <v>255</v>
      </c>
      <c r="N6" s="6" t="str">
        <f t="shared" si="1"/>
        <v>5: (210, 105, 30, 255, Algal dieback (decreased temperature): 3026),</v>
      </c>
      <c r="O6" s="5" t="str">
        <f>VLOOKUP(Australia!B6,Impacts!$A$2:$B$80,2, FALSE)</f>
        <v>Loss of algae (microscopic plants) that occurs near the surface of a body of water.</v>
      </c>
      <c r="P6" s="5" t="str">
        <f>VLOOKUP(E6,Pressures!$A$2:$B$145,2,FALSE)</f>
        <v>Decreased amount of heat in a place.</v>
      </c>
      <c r="AB6" s="29">
        <v>227227</v>
      </c>
      <c r="AC6" s="29">
        <v>228228</v>
      </c>
      <c r="AD6" s="29">
        <v>220220</v>
      </c>
      <c r="AU6" s="5" t="s">
        <v>713</v>
      </c>
      <c r="AV6" s="5" t="s">
        <v>713</v>
      </c>
      <c r="AW6" s="5">
        <v>0</v>
      </c>
      <c r="AX6" s="5">
        <v>0</v>
      </c>
      <c r="AZ6" s="5">
        <v>1</v>
      </c>
      <c r="BA6" s="5">
        <v>2</v>
      </c>
      <c r="BB6" s="5">
        <v>3</v>
      </c>
      <c r="BD6" s="7">
        <v>111111</v>
      </c>
      <c r="BE6" s="7">
        <v>112112</v>
      </c>
      <c r="BV6" s="5">
        <v>22</v>
      </c>
      <c r="BX6" s="5" t="s">
        <v>714</v>
      </c>
      <c r="BY6" s="5" t="s">
        <v>717</v>
      </c>
      <c r="CZ6" s="48">
        <v>11</v>
      </c>
      <c r="DK6" s="8"/>
      <c r="DL6" s="8"/>
      <c r="DM6" s="8"/>
      <c r="DN6" s="8"/>
      <c r="DO6" s="50"/>
      <c r="DP6" s="50"/>
      <c r="DQ6" s="50"/>
      <c r="DR6" s="50"/>
      <c r="DS6" s="50"/>
      <c r="DT6" s="50"/>
      <c r="DU6" s="50"/>
      <c r="DV6" s="50"/>
      <c r="DW6" s="50"/>
      <c r="DX6" s="50"/>
      <c r="DY6" s="50">
        <v>1</v>
      </c>
      <c r="DZ6" s="50">
        <v>1</v>
      </c>
      <c r="EA6" s="50"/>
      <c r="EB6" s="50"/>
      <c r="EC6" s="50"/>
      <c r="ED6" s="50"/>
      <c r="EE6" s="50"/>
      <c r="EF6" s="50"/>
      <c r="EG6" s="50"/>
      <c r="EH6" s="50"/>
      <c r="EI6" s="50"/>
      <c r="EJ6" s="50"/>
      <c r="EK6" s="50"/>
      <c r="EL6" s="50"/>
      <c r="EM6" s="50"/>
      <c r="EN6" s="50"/>
      <c r="EO6" s="50"/>
      <c r="EP6" s="50"/>
      <c r="EQ6" s="50"/>
      <c r="ER6" s="50"/>
      <c r="ET6" s="55">
        <f t="shared" si="2"/>
        <v>2</v>
      </c>
    </row>
    <row r="7" spans="1:150" s="5" customFormat="1" ht="16" customHeight="1" x14ac:dyDescent="0.2">
      <c r="A7" s="5">
        <v>4</v>
      </c>
      <c r="B7" s="39" t="s">
        <v>22</v>
      </c>
      <c r="C7" s="39" t="s">
        <v>23</v>
      </c>
      <c r="D7" s="5">
        <v>11</v>
      </c>
      <c r="E7" s="5" t="s">
        <v>24</v>
      </c>
      <c r="F7" s="21" t="s">
        <v>25</v>
      </c>
      <c r="G7" s="21">
        <v>6</v>
      </c>
      <c r="H7" s="5">
        <f t="shared" si="0"/>
        <v>4011</v>
      </c>
      <c r="I7" t="s">
        <v>1039</v>
      </c>
      <c r="J7">
        <v>119</v>
      </c>
      <c r="K7">
        <v>63</v>
      </c>
      <c r="L7">
        <v>26</v>
      </c>
      <c r="M7" s="6">
        <v>255</v>
      </c>
      <c r="N7" s="6" t="str">
        <f t="shared" si="1"/>
        <v>6: (119, 63, 26, 255, Bare soil exposure (burning): 4011),</v>
      </c>
      <c r="O7" s="5" t="str">
        <f>VLOOKUP(Australia!B7,Impacts!$A$2:$B$80,2, FALSE)</f>
        <v>Appearance of underlying soil following human or natural disturbance..</v>
      </c>
      <c r="P7" s="5" t="str">
        <f>VLOOKUP(E7,Pressures!$A$2:$B$145,2,FALSE)</f>
        <v>On fire.</v>
      </c>
      <c r="AE7" s="29">
        <v>111216</v>
      </c>
      <c r="AF7" s="29">
        <v>112216</v>
      </c>
      <c r="AG7" s="29">
        <v>123216</v>
      </c>
      <c r="AH7" s="29">
        <v>124216</v>
      </c>
      <c r="AW7" s="5">
        <v>0</v>
      </c>
      <c r="AX7" s="5">
        <v>0</v>
      </c>
      <c r="AZ7" s="5">
        <v>1</v>
      </c>
      <c r="BA7" s="5">
        <v>2</v>
      </c>
      <c r="BB7" s="5">
        <v>3</v>
      </c>
      <c r="BD7" s="7">
        <v>111111</v>
      </c>
      <c r="BE7" s="7">
        <v>112112</v>
      </c>
      <c r="BV7" s="5">
        <v>11</v>
      </c>
      <c r="BX7" s="5" t="s">
        <v>714</v>
      </c>
      <c r="BY7" s="5" t="s">
        <v>717</v>
      </c>
      <c r="DK7" s="8"/>
      <c r="DL7" s="8"/>
      <c r="DM7" s="8"/>
      <c r="DN7" s="8"/>
      <c r="DO7" s="50">
        <v>1</v>
      </c>
      <c r="DP7" s="50">
        <v>1</v>
      </c>
      <c r="DQ7" s="50">
        <v>1</v>
      </c>
      <c r="DR7" s="50"/>
      <c r="DS7" s="50"/>
      <c r="DT7" s="50"/>
      <c r="DU7" s="50"/>
      <c r="DV7" s="50"/>
      <c r="DW7" s="50"/>
      <c r="DX7" s="50"/>
      <c r="DY7" s="50"/>
      <c r="DZ7" s="50"/>
      <c r="EA7" s="50"/>
      <c r="EB7" s="50"/>
      <c r="EC7" s="50"/>
      <c r="ED7" s="50"/>
      <c r="EE7" s="50"/>
      <c r="EF7" s="50"/>
      <c r="EG7" s="50"/>
      <c r="EH7" s="50"/>
      <c r="EI7" s="50"/>
      <c r="EJ7" s="50"/>
      <c r="EK7" s="50"/>
      <c r="EL7" s="50"/>
      <c r="EM7" s="50"/>
      <c r="EN7" s="50"/>
      <c r="EO7" s="50"/>
      <c r="EP7" s="50"/>
      <c r="EQ7" s="50"/>
      <c r="ER7" s="50"/>
      <c r="ET7" s="55">
        <f t="shared" si="2"/>
        <v>3</v>
      </c>
    </row>
    <row r="8" spans="1:150" s="5" customFormat="1" ht="16" customHeight="1" x14ac:dyDescent="0.2">
      <c r="A8" s="5">
        <v>4</v>
      </c>
      <c r="B8" s="39" t="s">
        <v>22</v>
      </c>
      <c r="C8" s="39" t="s">
        <v>26</v>
      </c>
      <c r="D8" s="5">
        <v>35</v>
      </c>
      <c r="E8" s="5" t="s">
        <v>27</v>
      </c>
      <c r="F8" s="21" t="s">
        <v>28</v>
      </c>
      <c r="G8" s="21">
        <v>7</v>
      </c>
      <c r="H8" s="5">
        <f t="shared" si="0"/>
        <v>4035</v>
      </c>
      <c r="I8" t="s">
        <v>1040</v>
      </c>
      <c r="J8">
        <v>244</v>
      </c>
      <c r="K8">
        <v>164</v>
      </c>
      <c r="L8">
        <v>96</v>
      </c>
      <c r="M8" s="6">
        <v>255</v>
      </c>
      <c r="N8" s="6" t="str">
        <f t="shared" si="1"/>
        <v>7: (244, 164, 96, 255, Bare soil exposure (erosion): 4035),</v>
      </c>
      <c r="O8" s="5" t="str">
        <f>VLOOKUP(Australia!B8,Impacts!$A$2:$B$80,2, FALSE)</f>
        <v>Appearance of underlying soil following human or natural disturbance..</v>
      </c>
      <c r="P8" s="5" t="str">
        <f>VLOOKUP(E8,Pressures!$A$2:$B$145,2,FALSE)</f>
        <v>Geological process in which earth materials are worn away and transported by natural forces such as wind or water.</v>
      </c>
      <c r="AE8" s="29">
        <v>111216</v>
      </c>
      <c r="AF8" s="29">
        <v>112216</v>
      </c>
      <c r="AG8" s="29">
        <v>123216</v>
      </c>
      <c r="AH8" s="29">
        <v>124216</v>
      </c>
      <c r="AU8" s="5" t="s">
        <v>713</v>
      </c>
      <c r="AV8" s="5" t="s">
        <v>713</v>
      </c>
      <c r="AW8" s="5">
        <v>0</v>
      </c>
      <c r="AX8" s="5">
        <v>0</v>
      </c>
      <c r="AZ8" s="5">
        <v>1</v>
      </c>
      <c r="BA8" s="5">
        <v>2</v>
      </c>
      <c r="BB8" s="5">
        <v>3</v>
      </c>
      <c r="BD8" s="7">
        <v>111111</v>
      </c>
      <c r="BE8" s="7">
        <v>112112</v>
      </c>
      <c r="BV8" s="5">
        <v>11</v>
      </c>
      <c r="BX8" s="5" t="s">
        <v>714</v>
      </c>
      <c r="BY8" s="5" t="s">
        <v>717</v>
      </c>
      <c r="DK8" s="8"/>
      <c r="DL8" s="8"/>
      <c r="DM8" s="8"/>
      <c r="DN8" s="8"/>
      <c r="DO8" s="50"/>
      <c r="DP8" s="50"/>
      <c r="DQ8" s="50"/>
      <c r="DR8" s="50"/>
      <c r="DS8" s="50">
        <v>1</v>
      </c>
      <c r="DT8" s="50"/>
      <c r="DU8" s="50"/>
      <c r="DV8" s="50"/>
      <c r="DW8" s="50"/>
      <c r="DX8" s="50"/>
      <c r="DY8" s="50"/>
      <c r="DZ8" s="50"/>
      <c r="EA8" s="50"/>
      <c r="EB8" s="50"/>
      <c r="EC8" s="50">
        <v>1</v>
      </c>
      <c r="ED8" s="50"/>
      <c r="EE8" s="50"/>
      <c r="EF8" s="50"/>
      <c r="EG8" s="50"/>
      <c r="EH8" s="50"/>
      <c r="EI8" s="50"/>
      <c r="EJ8" s="50"/>
      <c r="EK8" s="50"/>
      <c r="EL8" s="50"/>
      <c r="EM8" s="50"/>
      <c r="EN8" s="50"/>
      <c r="EO8" s="50"/>
      <c r="EP8" s="50"/>
      <c r="EQ8" s="50"/>
      <c r="ER8" s="50"/>
      <c r="ET8" s="55">
        <f t="shared" si="2"/>
        <v>2</v>
      </c>
    </row>
    <row r="9" spans="1:150" s="5" customFormat="1" ht="16" customHeight="1" x14ac:dyDescent="0.2">
      <c r="A9" s="5">
        <v>4</v>
      </c>
      <c r="B9" s="39" t="s">
        <v>22</v>
      </c>
      <c r="C9" s="39" t="s">
        <v>29</v>
      </c>
      <c r="D9" s="5">
        <v>91</v>
      </c>
      <c r="E9" s="5" t="s">
        <v>30</v>
      </c>
      <c r="F9" s="21" t="s">
        <v>31</v>
      </c>
      <c r="G9" s="21">
        <v>8</v>
      </c>
      <c r="H9" s="5">
        <f t="shared" si="0"/>
        <v>4091</v>
      </c>
      <c r="I9" t="s">
        <v>1041</v>
      </c>
      <c r="J9">
        <v>184</v>
      </c>
      <c r="K9">
        <v>134</v>
      </c>
      <c r="L9">
        <v>11</v>
      </c>
      <c r="M9" s="6">
        <v>255</v>
      </c>
      <c r="N9" s="6" t="str">
        <f t="shared" si="1"/>
        <v>8: (184, 134, 11, 255, Bare soil exposure (ploughing): 4091),</v>
      </c>
      <c r="O9" s="5" t="str">
        <f>VLOOKUP(Australia!B9,Impacts!$A$2:$B$80,2, FALSE)</f>
        <v>Appearance of underlying soil following human or natural disturbance..</v>
      </c>
      <c r="P9" s="5" t="str">
        <f>VLOOKUP(E9,Pressures!$A$2:$B$145,2,FALSE)</f>
        <v>Making furrows in land mechanically, by breaking and turning over the soil.</v>
      </c>
      <c r="AE9" s="29">
        <v>111216</v>
      </c>
      <c r="AV9" s="5" t="s">
        <v>713</v>
      </c>
      <c r="AW9" s="5">
        <v>0</v>
      </c>
      <c r="AX9" s="5">
        <v>0</v>
      </c>
      <c r="AZ9" s="5">
        <v>1</v>
      </c>
      <c r="BA9" s="5">
        <v>2</v>
      </c>
      <c r="BB9" s="5">
        <v>3</v>
      </c>
      <c r="BL9" s="7">
        <v>220220</v>
      </c>
      <c r="DK9" s="8"/>
      <c r="DL9" s="8"/>
      <c r="DM9" s="8"/>
      <c r="DN9" s="8"/>
      <c r="DO9" s="50"/>
      <c r="DP9" s="50"/>
      <c r="DQ9" s="50"/>
      <c r="DR9" s="50"/>
      <c r="DS9" s="50"/>
      <c r="DT9" s="50"/>
      <c r="DU9" s="50"/>
      <c r="DV9" s="50"/>
      <c r="DW9" s="50"/>
      <c r="DX9" s="50"/>
      <c r="DY9" s="50"/>
      <c r="DZ9" s="50"/>
      <c r="EA9" s="50"/>
      <c r="EB9" s="50"/>
      <c r="EC9" s="50"/>
      <c r="ED9" s="50"/>
      <c r="EE9" s="50"/>
      <c r="EF9" s="50"/>
      <c r="EG9" s="50"/>
      <c r="EH9" s="50"/>
      <c r="EI9" s="50"/>
      <c r="EJ9" s="50"/>
      <c r="EK9" s="50"/>
      <c r="EL9" s="50"/>
      <c r="EM9" s="50">
        <v>1</v>
      </c>
      <c r="EN9" s="50"/>
      <c r="EO9" s="50"/>
      <c r="EP9" s="50"/>
      <c r="EQ9" s="50"/>
      <c r="ER9" s="50"/>
      <c r="ET9" s="55">
        <f t="shared" si="2"/>
        <v>1</v>
      </c>
    </row>
    <row r="10" spans="1:150" s="5" customFormat="1" ht="16" customHeight="1" x14ac:dyDescent="0.2">
      <c r="A10" s="5">
        <v>4</v>
      </c>
      <c r="B10" s="39" t="s">
        <v>22</v>
      </c>
      <c r="C10" s="39" t="s">
        <v>32</v>
      </c>
      <c r="D10" s="5">
        <v>126</v>
      </c>
      <c r="E10" s="5" t="s">
        <v>33</v>
      </c>
      <c r="F10" s="21" t="s">
        <v>34</v>
      </c>
      <c r="G10" s="21">
        <v>9</v>
      </c>
      <c r="H10" s="5">
        <f t="shared" si="0"/>
        <v>4126</v>
      </c>
      <c r="I10" t="s">
        <v>1042</v>
      </c>
      <c r="J10">
        <v>169</v>
      </c>
      <c r="K10">
        <v>169</v>
      </c>
      <c r="L10">
        <v>169</v>
      </c>
      <c r="M10" s="6">
        <v>255</v>
      </c>
      <c r="N10" s="6" t="str">
        <f t="shared" si="1"/>
        <v>9: (169, 169, 169, 255, Bare soil exposure (tillage): 4126),</v>
      </c>
      <c r="O10" s="5" t="str">
        <f>VLOOKUP(Australia!B10,Impacts!$A$2:$B$80,2, FALSE)</f>
        <v>Appearance of underlying soil following human or natural disturbance..</v>
      </c>
      <c r="P10" s="5" t="str">
        <f>VLOOKUP(E10,Pressures!$A$2:$B$145,2,FALSE)</f>
        <v xml:space="preserve">Preparation of soil for agricultural use through mechanical intervention such as digging, stirring, and overturning. </v>
      </c>
      <c r="AE10" s="29">
        <v>111216</v>
      </c>
      <c r="AW10" s="5">
        <v>0</v>
      </c>
      <c r="AX10" s="5">
        <v>0</v>
      </c>
      <c r="AZ10" s="5">
        <v>1</v>
      </c>
      <c r="BA10" s="5">
        <v>2</v>
      </c>
      <c r="BB10" s="5">
        <v>3</v>
      </c>
      <c r="BL10" s="7">
        <v>220220</v>
      </c>
      <c r="DK10" s="8"/>
      <c r="DL10" s="8"/>
      <c r="DM10" s="8"/>
      <c r="DN10" s="8"/>
      <c r="DO10" s="50"/>
      <c r="DP10" s="50"/>
      <c r="DQ10" s="50"/>
      <c r="DR10" s="50"/>
      <c r="DS10" s="50"/>
      <c r="DT10" s="50"/>
      <c r="DU10" s="50"/>
      <c r="DV10" s="50"/>
      <c r="DW10" s="50"/>
      <c r="DX10" s="50"/>
      <c r="DY10" s="50"/>
      <c r="DZ10" s="50"/>
      <c r="EA10" s="50"/>
      <c r="EB10" s="50"/>
      <c r="EC10" s="50"/>
      <c r="ED10" s="50"/>
      <c r="EE10" s="50"/>
      <c r="EF10" s="50"/>
      <c r="EG10" s="50"/>
      <c r="EH10" s="50"/>
      <c r="EI10" s="50"/>
      <c r="EJ10" s="50"/>
      <c r="EK10" s="50"/>
      <c r="EL10" s="50"/>
      <c r="EM10" s="50">
        <v>1</v>
      </c>
      <c r="EN10" s="50"/>
      <c r="EO10" s="50"/>
      <c r="EP10" s="50"/>
      <c r="EQ10" s="50"/>
      <c r="ER10" s="50"/>
      <c r="ET10" s="55">
        <f t="shared" si="2"/>
        <v>1</v>
      </c>
    </row>
    <row r="11" spans="1:150" s="5" customFormat="1" ht="16" customHeight="1" x14ac:dyDescent="0.2">
      <c r="A11" s="5">
        <v>5</v>
      </c>
      <c r="B11" s="8" t="s">
        <v>1553</v>
      </c>
      <c r="C11" s="8" t="s">
        <v>35</v>
      </c>
      <c r="D11" s="5">
        <v>69</v>
      </c>
      <c r="E11" s="5" t="s">
        <v>36</v>
      </c>
      <c r="F11" s="21" t="s">
        <v>687</v>
      </c>
      <c r="G11" s="21">
        <v>10</v>
      </c>
      <c r="H11" s="5">
        <f t="shared" si="0"/>
        <v>5069</v>
      </c>
      <c r="I11" t="s">
        <v>1043</v>
      </c>
      <c r="J11">
        <v>61</v>
      </c>
      <c r="K11">
        <v>7</v>
      </c>
      <c r="L11">
        <v>52</v>
      </c>
      <c r="M11" s="6">
        <v>255</v>
      </c>
      <c r="N11" s="6" t="str">
        <f t="shared" si="1"/>
        <v>10: (61, 7, 52, 255, Blackwater event (inundation following extended drought): 5069),</v>
      </c>
      <c r="O11" s="5" t="str">
        <f>VLOOKUP(Australia!B11,Impacts!$A$2:$B$80,2, FALSE)</f>
        <v>When organic material is inundated or washed into waterways and consumed by bacteria.</v>
      </c>
      <c r="P11" s="5" t="str">
        <f>VLOOKUP(E11,Pressures!$A$2:$B$145,2,FALSE)</f>
        <v>Progressive submergence of land or structures through flooding and following an extended period of drought.</v>
      </c>
      <c r="AB11" s="29">
        <v>227227</v>
      </c>
      <c r="AC11" s="29">
        <v>228228</v>
      </c>
      <c r="AD11" s="29">
        <v>220220</v>
      </c>
      <c r="AW11" s="5">
        <v>0</v>
      </c>
      <c r="AX11" s="5">
        <v>0</v>
      </c>
      <c r="AZ11" s="5">
        <v>1</v>
      </c>
      <c r="BA11" s="5">
        <v>2</v>
      </c>
      <c r="BB11" s="5">
        <v>3</v>
      </c>
      <c r="BL11" s="7">
        <v>220220</v>
      </c>
      <c r="CZ11" s="48">
        <v>11</v>
      </c>
      <c r="DK11" s="8"/>
      <c r="DL11" s="8"/>
      <c r="DM11" s="8"/>
      <c r="DN11" s="8"/>
      <c r="DO11" s="50"/>
      <c r="DP11" s="50"/>
      <c r="DQ11" s="50"/>
      <c r="DR11" s="50"/>
      <c r="DS11" s="50">
        <v>1</v>
      </c>
      <c r="DT11" s="50"/>
      <c r="DU11" s="50"/>
      <c r="DV11" s="50"/>
      <c r="DW11" s="50"/>
      <c r="DX11" s="50"/>
      <c r="DY11" s="50"/>
      <c r="DZ11" s="50"/>
      <c r="EA11" s="50"/>
      <c r="EB11" s="50">
        <v>1</v>
      </c>
      <c r="EC11" s="50"/>
      <c r="ED11" s="50"/>
      <c r="EE11" s="50"/>
      <c r="EF11" s="50"/>
      <c r="EG11" s="50"/>
      <c r="EH11" s="50"/>
      <c r="EI11" s="50"/>
      <c r="EJ11" s="50"/>
      <c r="EK11" s="50"/>
      <c r="EL11" s="50"/>
      <c r="EM11" s="50"/>
      <c r="EN11" s="50"/>
      <c r="EO11" s="50"/>
      <c r="EP11" s="50"/>
      <c r="EQ11" s="50"/>
      <c r="ER11" s="50"/>
      <c r="ET11" s="55">
        <f t="shared" si="2"/>
        <v>2</v>
      </c>
    </row>
    <row r="12" spans="1:150" s="5" customFormat="1" ht="16" customHeight="1" x14ac:dyDescent="0.2">
      <c r="A12" s="5">
        <v>6</v>
      </c>
      <c r="B12" s="8" t="s">
        <v>749</v>
      </c>
      <c r="C12" s="8" t="s">
        <v>37</v>
      </c>
      <c r="D12" s="5">
        <v>25</v>
      </c>
      <c r="E12" s="5" t="s">
        <v>38</v>
      </c>
      <c r="F12" s="21" t="s">
        <v>747</v>
      </c>
      <c r="G12" s="21">
        <v>11</v>
      </c>
      <c r="H12" s="5">
        <f t="shared" si="0"/>
        <v>6025</v>
      </c>
      <c r="I12" t="s">
        <v>1044</v>
      </c>
      <c r="J12">
        <v>255</v>
      </c>
      <c r="K12">
        <v>228</v>
      </c>
      <c r="L12">
        <v>181</v>
      </c>
      <c r="M12" s="6">
        <v>255</v>
      </c>
      <c r="N12" s="6" t="str">
        <f t="shared" si="1"/>
        <v>11: (255, 228, 181, 255, Browning (vegetation) (decreased precipitation): 6025),</v>
      </c>
      <c r="O12" s="5" t="str">
        <f>VLOOKUP(Australia!B12,Impacts!$A$2:$B$80,2, FALSE)</f>
        <v>A decrease in the amount or loss of photosynthetically active pigments in vegetation.</v>
      </c>
      <c r="P12" s="5" t="str">
        <f>VLOOKUP(E12,Pressures!$A$2:$B$145,2,FALSE)</f>
        <v>Decreased condensation of water vapour in the atmosphere forming rain, snow, sleet or dew.</v>
      </c>
      <c r="V12" s="29">
        <v>111111</v>
      </c>
      <c r="W12" s="29">
        <v>112112</v>
      </c>
      <c r="X12" s="29">
        <v>123123</v>
      </c>
      <c r="Y12" s="29">
        <v>124124</v>
      </c>
      <c r="BL12" s="7"/>
      <c r="CB12" s="45">
        <v>1012</v>
      </c>
      <c r="CC12" s="45">
        <v>1013</v>
      </c>
      <c r="CD12" s="45">
        <v>1015</v>
      </c>
      <c r="CE12" s="45">
        <v>1016</v>
      </c>
      <c r="CF12" s="45">
        <v>1213</v>
      </c>
      <c r="CG12" s="45">
        <v>1215</v>
      </c>
      <c r="CH12" s="46">
        <v>1216</v>
      </c>
      <c r="CI12" s="46">
        <v>1315</v>
      </c>
      <c r="CJ12" s="46">
        <v>1316</v>
      </c>
      <c r="CK12" s="46">
        <v>1516</v>
      </c>
      <c r="DK12" s="8"/>
      <c r="DL12" s="8"/>
      <c r="DM12" s="8"/>
      <c r="DN12" s="8"/>
      <c r="DO12" s="50"/>
      <c r="DP12" s="50"/>
      <c r="DQ12" s="50"/>
      <c r="DR12" s="50"/>
      <c r="DS12" s="50"/>
      <c r="DT12" s="50"/>
      <c r="DU12" s="50"/>
      <c r="DV12" s="50"/>
      <c r="DW12" s="50"/>
      <c r="DX12" s="50"/>
      <c r="DY12" s="50"/>
      <c r="DZ12" s="50"/>
      <c r="EA12" s="50"/>
      <c r="EB12" s="50">
        <v>1</v>
      </c>
      <c r="EC12" s="50"/>
      <c r="ED12" s="50"/>
      <c r="EE12" s="50"/>
      <c r="EF12" s="50"/>
      <c r="EG12" s="50"/>
      <c r="EH12" s="50"/>
      <c r="EI12" s="50"/>
      <c r="EJ12" s="50"/>
      <c r="EK12" s="50"/>
      <c r="EL12" s="50"/>
      <c r="EM12" s="50"/>
      <c r="EN12" s="50"/>
      <c r="EO12" s="50"/>
      <c r="EP12" s="50"/>
      <c r="EQ12" s="50"/>
      <c r="ER12" s="50"/>
      <c r="ET12" s="55">
        <f t="shared" si="2"/>
        <v>1</v>
      </c>
    </row>
    <row r="13" spans="1:150" s="5" customFormat="1" ht="16" customHeight="1" x14ac:dyDescent="0.2">
      <c r="A13" s="5">
        <v>7</v>
      </c>
      <c r="B13" s="39" t="s">
        <v>1556</v>
      </c>
      <c r="C13" s="39" t="s">
        <v>39</v>
      </c>
      <c r="D13" s="5">
        <v>21</v>
      </c>
      <c r="E13" s="5" t="s">
        <v>40</v>
      </c>
      <c r="F13" s="21" t="s">
        <v>41</v>
      </c>
      <c r="G13" s="21">
        <v>12</v>
      </c>
      <c r="H13" s="5">
        <f t="shared" si="0"/>
        <v>7021</v>
      </c>
      <c r="I13" t="s">
        <v>1045</v>
      </c>
      <c r="J13">
        <v>147</v>
      </c>
      <c r="K13">
        <v>112</v>
      </c>
      <c r="L13">
        <v>219</v>
      </c>
      <c r="M13" s="6">
        <v>255</v>
      </c>
      <c r="N13" s="6" t="str">
        <f t="shared" si="1"/>
        <v>12: (147, 112, 219, 255, Building or infrastructure abandonment (dam removal): 7021),</v>
      </c>
      <c r="O13" s="5" t="str">
        <f>VLOOKUP(Australia!B13,Impacts!$A$2:$B$80,2, FALSE)</f>
        <v>Buildings dehabited or no longer in use.</v>
      </c>
      <c r="P13" s="5" t="str">
        <f>VLOOKUP(E13,Pressures!$A$2:$B$145,2,FALSE)</f>
        <v>Demolition/decommissioning of a dam enabling reinstatement of unconstrained water flow and typically reducing pooled water.</v>
      </c>
      <c r="AE13" s="32">
        <v>215216</v>
      </c>
      <c r="AF13" s="32">
        <v>227216</v>
      </c>
      <c r="AG13" s="32">
        <v>220216</v>
      </c>
      <c r="AK13" s="28"/>
      <c r="AW13" s="5">
        <v>0</v>
      </c>
      <c r="AX13" s="5">
        <v>0</v>
      </c>
      <c r="AZ13" s="5">
        <v>1</v>
      </c>
      <c r="BA13" s="5">
        <v>2</v>
      </c>
      <c r="BB13" s="5">
        <v>3</v>
      </c>
      <c r="BL13" s="7">
        <v>220220</v>
      </c>
      <c r="DK13" s="8"/>
      <c r="DL13" s="8"/>
      <c r="DM13" s="8"/>
      <c r="DN13" s="8"/>
      <c r="DO13" s="50"/>
      <c r="DP13" s="50"/>
      <c r="DQ13" s="50"/>
      <c r="DR13" s="50"/>
      <c r="DS13" s="50"/>
      <c r="DT13" s="50"/>
      <c r="DU13" s="50"/>
      <c r="DV13" s="50"/>
      <c r="DW13" s="50"/>
      <c r="DX13" s="50"/>
      <c r="DY13" s="50"/>
      <c r="DZ13" s="50"/>
      <c r="EA13" s="50"/>
      <c r="EB13" s="50"/>
      <c r="EC13" s="50"/>
      <c r="ED13" s="50"/>
      <c r="EE13" s="50"/>
      <c r="EF13" s="50"/>
      <c r="EG13" s="50"/>
      <c r="EH13" s="50"/>
      <c r="EI13" s="50"/>
      <c r="EJ13" s="50"/>
      <c r="EK13" s="50"/>
      <c r="EL13" s="50"/>
      <c r="EM13" s="50"/>
      <c r="EN13" s="50"/>
      <c r="EO13" s="50"/>
      <c r="EP13" s="50"/>
      <c r="EQ13" s="50"/>
      <c r="ER13" s="50"/>
      <c r="ES13" s="5">
        <v>1</v>
      </c>
      <c r="ET13" s="55">
        <f t="shared" si="2"/>
        <v>1</v>
      </c>
    </row>
    <row r="14" spans="1:150" s="5" customFormat="1" ht="16" customHeight="1" x14ac:dyDescent="0.2">
      <c r="A14" s="5">
        <v>7</v>
      </c>
      <c r="B14" s="39" t="s">
        <v>1556</v>
      </c>
      <c r="C14" s="39" t="s">
        <v>42</v>
      </c>
      <c r="D14" s="5">
        <v>44</v>
      </c>
      <c r="E14" s="5" t="s">
        <v>43</v>
      </c>
      <c r="F14" s="21" t="s">
        <v>44</v>
      </c>
      <c r="G14" s="21">
        <v>13</v>
      </c>
      <c r="H14" s="5">
        <f t="shared" si="0"/>
        <v>7044</v>
      </c>
      <c r="I14" t="s">
        <v>1046</v>
      </c>
      <c r="J14">
        <v>123</v>
      </c>
      <c r="K14">
        <v>104</v>
      </c>
      <c r="L14">
        <v>238</v>
      </c>
      <c r="M14" s="6">
        <v>255</v>
      </c>
      <c r="N14" s="6" t="str">
        <f t="shared" si="1"/>
        <v>13: (123, 104, 238, 255, Building or infrastructure abandonment (flooding): 7044),</v>
      </c>
      <c r="O14" s="5" t="str">
        <f>VLOOKUP(Australia!B14,Impacts!$A$2:$B$80,2, FALSE)</f>
        <v>Buildings dehabited or no longer in use.</v>
      </c>
      <c r="P14" s="5" t="str">
        <f>VLOOKUP(E14,Pressures!$A$2:$B$145,2,FALSE)</f>
        <v>The inundation of water over land that is generally dry.</v>
      </c>
      <c r="AE14" s="32">
        <v>215220</v>
      </c>
      <c r="AF14" s="32">
        <v>215227</v>
      </c>
      <c r="AG14" s="32">
        <v>215220</v>
      </c>
      <c r="AK14" s="28"/>
      <c r="AW14" s="5">
        <v>0</v>
      </c>
      <c r="AX14" s="5">
        <v>0</v>
      </c>
      <c r="AZ14" s="5">
        <v>1</v>
      </c>
      <c r="BA14" s="5">
        <v>2</v>
      </c>
      <c r="BB14" s="5">
        <v>3</v>
      </c>
      <c r="DK14" s="8"/>
      <c r="DL14" s="8"/>
      <c r="DM14" s="8"/>
      <c r="DN14" s="8"/>
      <c r="DO14" s="50"/>
      <c r="DP14" s="50"/>
      <c r="DQ14" s="50"/>
      <c r="DR14" s="50"/>
      <c r="DS14" s="50">
        <v>1</v>
      </c>
      <c r="DT14" s="50"/>
      <c r="DU14" s="50"/>
      <c r="DV14" s="50"/>
      <c r="DW14" s="50"/>
      <c r="DX14" s="50"/>
      <c r="DY14" s="50"/>
      <c r="DZ14" s="50"/>
      <c r="EA14" s="50"/>
      <c r="EB14" s="50"/>
      <c r="EC14" s="50"/>
      <c r="ED14" s="50"/>
      <c r="EE14" s="50"/>
      <c r="EF14" s="50"/>
      <c r="EG14" s="50"/>
      <c r="EH14" s="50"/>
      <c r="EI14" s="50"/>
      <c r="EJ14" s="50"/>
      <c r="EK14" s="50"/>
      <c r="EL14" s="50"/>
      <c r="EM14" s="50"/>
      <c r="EN14" s="50"/>
      <c r="EO14" s="50"/>
      <c r="EP14" s="50"/>
      <c r="EQ14" s="50"/>
      <c r="ER14" s="50"/>
      <c r="ET14" s="55">
        <f t="shared" si="2"/>
        <v>1</v>
      </c>
    </row>
    <row r="15" spans="1:150" s="5" customFormat="1" ht="16" customHeight="1" x14ac:dyDescent="0.2">
      <c r="A15" s="5">
        <v>7</v>
      </c>
      <c r="B15" s="8" t="s">
        <v>1556</v>
      </c>
      <c r="C15" s="8" t="s">
        <v>45</v>
      </c>
      <c r="D15" s="5">
        <v>66</v>
      </c>
      <c r="E15" s="5" t="s">
        <v>46</v>
      </c>
      <c r="F15" s="21" t="s">
        <v>47</v>
      </c>
      <c r="G15" s="21">
        <v>14</v>
      </c>
      <c r="H15" s="5">
        <f t="shared" si="0"/>
        <v>7066</v>
      </c>
      <c r="I15" t="s">
        <v>1047</v>
      </c>
      <c r="J15">
        <v>70</v>
      </c>
      <c r="K15">
        <v>130</v>
      </c>
      <c r="L15">
        <v>180</v>
      </c>
      <c r="M15" s="6">
        <v>255</v>
      </c>
      <c r="N15" s="6" t="str">
        <f t="shared" si="1"/>
        <v>14: (70, 130, 180, 255, Building or infrastructure abandonment (increased wind): 7066),</v>
      </c>
      <c r="O15" s="5" t="str">
        <f>VLOOKUP(Australia!B15,Impacts!$A$2:$B$80,2, FALSE)</f>
        <v>Buildings dehabited or no longer in use.</v>
      </c>
      <c r="P15" s="5" t="str">
        <f>VLOOKUP(E15,Pressures!$A$2:$B$145,2,FALSE)</f>
        <v>A higher velocity of air movement into an area associated with, for example, cyclones, hurricans, typhoons, tornados, thunderstorms, storms or ice storms.</v>
      </c>
      <c r="Z15" s="29">
        <v>215215</v>
      </c>
      <c r="AW15" s="5">
        <v>0</v>
      </c>
      <c r="AX15" s="5">
        <v>0</v>
      </c>
      <c r="AZ15" s="5">
        <v>1</v>
      </c>
      <c r="BA15" s="5">
        <v>2</v>
      </c>
      <c r="BB15" s="5">
        <v>3</v>
      </c>
      <c r="BL15" s="7">
        <v>220220</v>
      </c>
      <c r="DK15" s="8"/>
      <c r="DL15" s="8"/>
      <c r="DM15" s="8"/>
      <c r="DN15" s="8"/>
      <c r="DO15" s="50"/>
      <c r="DP15" s="50"/>
      <c r="DQ15" s="50"/>
      <c r="DR15" s="50"/>
      <c r="DS15" s="50"/>
      <c r="DT15" s="50"/>
      <c r="DU15" s="50"/>
      <c r="DV15" s="50"/>
      <c r="DW15" s="50"/>
      <c r="DX15" s="50"/>
      <c r="DY15" s="50"/>
      <c r="DZ15" s="50"/>
      <c r="EA15" s="50"/>
      <c r="EB15" s="50"/>
      <c r="EC15" s="50">
        <v>1</v>
      </c>
      <c r="ED15" s="50"/>
      <c r="EE15" s="50"/>
      <c r="EF15" s="50"/>
      <c r="EG15" s="50"/>
      <c r="EH15" s="50"/>
      <c r="EI15" s="50"/>
      <c r="EJ15" s="50"/>
      <c r="EK15" s="50"/>
      <c r="EL15" s="50"/>
      <c r="EM15" s="50"/>
      <c r="EN15" s="50"/>
      <c r="EO15" s="50"/>
      <c r="EP15" s="50"/>
      <c r="EQ15" s="50"/>
      <c r="ER15" s="50"/>
      <c r="ET15" s="55">
        <f t="shared" si="2"/>
        <v>1</v>
      </c>
    </row>
    <row r="16" spans="1:150" s="5" customFormat="1" ht="16" customHeight="1" x14ac:dyDescent="0.2">
      <c r="A16" s="5">
        <v>7</v>
      </c>
      <c r="B16" s="8" t="s">
        <v>1556</v>
      </c>
      <c r="C16" s="8" t="s">
        <v>48</v>
      </c>
      <c r="D16" s="5">
        <v>131</v>
      </c>
      <c r="E16" s="5" t="s">
        <v>49</v>
      </c>
      <c r="F16" s="21" t="s">
        <v>50</v>
      </c>
      <c r="G16" s="21">
        <v>15</v>
      </c>
      <c r="H16" s="5">
        <f t="shared" si="0"/>
        <v>7131</v>
      </c>
      <c r="I16" t="s">
        <v>1048</v>
      </c>
      <c r="J16">
        <v>148</v>
      </c>
      <c r="K16">
        <v>0</v>
      </c>
      <c r="L16">
        <v>211</v>
      </c>
      <c r="M16" s="6">
        <v>255</v>
      </c>
      <c r="N16" s="6" t="str">
        <f t="shared" si="1"/>
        <v>15: (148, 0, 211, 255, Building or infrastructure abandonment (urban fire): 7131),</v>
      </c>
      <c r="O16" s="5" t="str">
        <f>VLOOKUP(Australia!B16,Impacts!$A$2:$B$80,2, FALSE)</f>
        <v>Buildings dehabited or no longer in use.</v>
      </c>
      <c r="P16" s="5" t="str">
        <f>VLOOKUP(E16,Pressures!$A$2:$B$145,2,FALSE)</f>
        <v xml:space="preserve">Urban fire occurs primarily in cities or towns with the potential to rapidly spread to adjoining structures. </v>
      </c>
      <c r="Z16" s="29">
        <v>215215</v>
      </c>
      <c r="AE16" s="32">
        <v>215216</v>
      </c>
      <c r="AW16" s="5">
        <v>0</v>
      </c>
      <c r="AX16" s="5">
        <v>0</v>
      </c>
      <c r="AZ16" s="5">
        <v>1</v>
      </c>
      <c r="BA16" s="5">
        <v>2</v>
      </c>
      <c r="BB16" s="5">
        <v>3</v>
      </c>
      <c r="BL16" s="7">
        <v>220220</v>
      </c>
      <c r="DK16" s="8"/>
      <c r="DL16" s="8"/>
      <c r="DM16" s="8"/>
      <c r="DN16" s="8"/>
      <c r="DO16" s="50">
        <v>1</v>
      </c>
      <c r="DP16" s="50">
        <v>1</v>
      </c>
      <c r="DQ16" s="50">
        <v>1</v>
      </c>
      <c r="DR16" s="50"/>
      <c r="DS16" s="50"/>
      <c r="DT16" s="50"/>
      <c r="DU16" s="50"/>
      <c r="DV16" s="50"/>
      <c r="DW16" s="50"/>
      <c r="DX16" s="50"/>
      <c r="DY16" s="50"/>
      <c r="DZ16" s="50"/>
      <c r="EA16" s="50"/>
      <c r="EB16" s="50"/>
      <c r="EC16" s="50"/>
      <c r="ED16" s="50"/>
      <c r="EE16" s="50"/>
      <c r="EF16" s="50"/>
      <c r="EG16" s="50"/>
      <c r="EH16" s="50"/>
      <c r="EI16" s="50"/>
      <c r="EJ16" s="50"/>
      <c r="EK16" s="50"/>
      <c r="EL16" s="50"/>
      <c r="EM16" s="50"/>
      <c r="EN16" s="50"/>
      <c r="EO16" s="50"/>
      <c r="EP16" s="50"/>
      <c r="EQ16" s="50"/>
      <c r="ER16" s="50"/>
      <c r="ET16" s="55">
        <f t="shared" si="2"/>
        <v>3</v>
      </c>
    </row>
    <row r="17" spans="1:150" s="5" customFormat="1" ht="16" customHeight="1" x14ac:dyDescent="0.2">
      <c r="A17" s="5">
        <v>8</v>
      </c>
      <c r="B17" s="8" t="s">
        <v>51</v>
      </c>
      <c r="C17" s="8" t="s">
        <v>52</v>
      </c>
      <c r="D17" s="5">
        <v>65</v>
      </c>
      <c r="E17" s="5" t="s">
        <v>53</v>
      </c>
      <c r="F17" s="21" t="s">
        <v>54</v>
      </c>
      <c r="G17" s="21">
        <v>16</v>
      </c>
      <c r="H17" s="5">
        <f t="shared" si="0"/>
        <v>8065</v>
      </c>
      <c r="I17" t="s">
        <v>1049</v>
      </c>
      <c r="J17">
        <v>218</v>
      </c>
      <c r="K17">
        <v>165</v>
      </c>
      <c r="L17">
        <v>32</v>
      </c>
      <c r="M17" s="6">
        <v>255</v>
      </c>
      <c r="N17" s="6" t="str">
        <f t="shared" si="1"/>
        <v>16: (218, 165, 32, 255, Compaction (increased traffic): 8065),</v>
      </c>
      <c r="O17" s="5" t="str">
        <f>VLOOKUP(Australia!B17,Impacts!$A$2:$B$80,2, FALSE)</f>
        <v>Process that brings about an increase in soil density or unit weight.</v>
      </c>
      <c r="P17" s="5" t="str">
        <f>VLOOKUP(E17,Pressures!$A$2:$B$145,2,FALSE)</f>
        <v>A greater number of vehicles moving along roads, or the amount of aircraft, trains, or ships moving along a route.</v>
      </c>
      <c r="AA17" s="32">
        <v>216216</v>
      </c>
      <c r="AW17" s="5">
        <v>0</v>
      </c>
      <c r="AX17" s="5">
        <v>0</v>
      </c>
      <c r="AZ17" s="5">
        <v>1</v>
      </c>
      <c r="BA17" s="5">
        <v>2</v>
      </c>
      <c r="BB17" s="5">
        <v>3</v>
      </c>
      <c r="BD17" s="7">
        <v>111111</v>
      </c>
      <c r="BF17" s="7">
        <v>123123</v>
      </c>
      <c r="DK17" s="8"/>
      <c r="DL17" s="8"/>
      <c r="DM17" s="8"/>
      <c r="DN17" s="8"/>
      <c r="DO17" s="50"/>
      <c r="DP17" s="50"/>
      <c r="DQ17" s="50"/>
      <c r="DR17" s="50"/>
      <c r="DS17" s="50"/>
      <c r="DT17" s="50"/>
      <c r="DU17" s="50"/>
      <c r="DV17" s="50"/>
      <c r="DW17" s="50"/>
      <c r="DX17" s="50"/>
      <c r="DY17" s="50"/>
      <c r="DZ17" s="50"/>
      <c r="EA17" s="50"/>
      <c r="EB17" s="50"/>
      <c r="EC17" s="50"/>
      <c r="ED17" s="50"/>
      <c r="EE17" s="50"/>
      <c r="EF17" s="50"/>
      <c r="EG17" s="50"/>
      <c r="EH17" s="50"/>
      <c r="EI17" s="50"/>
      <c r="EJ17" s="50"/>
      <c r="EK17" s="50"/>
      <c r="EL17" s="50"/>
      <c r="EM17" s="50"/>
      <c r="EN17" s="50"/>
      <c r="EO17" s="50"/>
      <c r="EP17" s="50"/>
      <c r="EQ17" s="50">
        <v>1</v>
      </c>
      <c r="ER17" s="50"/>
      <c r="ET17" s="55">
        <f t="shared" si="2"/>
        <v>1</v>
      </c>
    </row>
    <row r="18" spans="1:150" s="5" customFormat="1" ht="16" customHeight="1" x14ac:dyDescent="0.2">
      <c r="A18" s="5">
        <v>8</v>
      </c>
      <c r="B18" s="8" t="s">
        <v>51</v>
      </c>
      <c r="C18" s="8" t="s">
        <v>58</v>
      </c>
      <c r="D18" s="5">
        <v>86</v>
      </c>
      <c r="E18" s="5" t="s">
        <v>59</v>
      </c>
      <c r="F18" s="21" t="s">
        <v>60</v>
      </c>
      <c r="G18" s="21">
        <v>17</v>
      </c>
      <c r="H18" s="5">
        <f t="shared" si="0"/>
        <v>8086</v>
      </c>
      <c r="I18" t="s">
        <v>1050</v>
      </c>
      <c r="J18">
        <v>240</v>
      </c>
      <c r="K18">
        <v>230</v>
      </c>
      <c r="L18">
        <v>140</v>
      </c>
      <c r="M18" s="6">
        <v>255</v>
      </c>
      <c r="N18" s="6" t="str">
        <f t="shared" si="1"/>
        <v>17: (240, 230, 140, 255, Compaction (overgrazing (natural)): 8086),</v>
      </c>
      <c r="O18" s="5" t="str">
        <f>VLOOKUP(Australia!B18,Impacts!$A$2:$B$80,2, FALSE)</f>
        <v>Process that brings about an increase in soil density or unit weight.</v>
      </c>
      <c r="P18" s="5" t="str">
        <f>VLOOKUP(E18,Pressures!$A$2:$B$145,2,FALSE)</f>
        <v>Excessive grazing by natural animal populations without sufficient rest, resulting in declines in the biomass or health of vegetation.</v>
      </c>
      <c r="AA18" s="32">
        <v>216216</v>
      </c>
      <c r="AW18" s="5">
        <v>-1</v>
      </c>
      <c r="AX18" s="5">
        <v>0</v>
      </c>
      <c r="AZ18" s="5">
        <v>1</v>
      </c>
      <c r="BA18" s="5">
        <v>2</v>
      </c>
      <c r="BB18" s="5">
        <v>3</v>
      </c>
      <c r="BD18" s="7">
        <v>111111</v>
      </c>
      <c r="DK18" s="8"/>
      <c r="DL18" s="8"/>
      <c r="DM18" s="8"/>
      <c r="DN18" s="8"/>
      <c r="DO18" s="50"/>
      <c r="DP18" s="50"/>
      <c r="DQ18" s="50"/>
      <c r="DR18" s="50"/>
      <c r="DS18" s="50"/>
      <c r="DT18" s="50"/>
      <c r="DU18" s="50"/>
      <c r="DV18" s="50"/>
      <c r="DW18" s="50"/>
      <c r="DX18" s="50"/>
      <c r="DY18" s="50"/>
      <c r="DZ18" s="50"/>
      <c r="EA18" s="50"/>
      <c r="EB18" s="50"/>
      <c r="EC18" s="50"/>
      <c r="ED18" s="50"/>
      <c r="EE18" s="50"/>
      <c r="EF18" s="50"/>
      <c r="EG18" s="50"/>
      <c r="EH18" s="50"/>
      <c r="EI18" s="50">
        <v>1</v>
      </c>
      <c r="EJ18" s="50"/>
      <c r="EK18" s="50"/>
      <c r="EL18" s="50"/>
      <c r="EM18" s="50"/>
      <c r="EN18" s="50"/>
      <c r="EO18" s="50"/>
      <c r="EP18" s="50"/>
      <c r="EQ18" s="50"/>
      <c r="ER18" s="50"/>
      <c r="ET18" s="55">
        <f t="shared" si="2"/>
        <v>1</v>
      </c>
    </row>
    <row r="19" spans="1:150" s="5" customFormat="1" ht="16" customHeight="1" x14ac:dyDescent="0.2">
      <c r="A19" s="5">
        <v>8</v>
      </c>
      <c r="B19" s="8" t="s">
        <v>51</v>
      </c>
      <c r="C19" s="8" t="s">
        <v>55</v>
      </c>
      <c r="D19" s="5">
        <v>87</v>
      </c>
      <c r="E19" s="5" t="s">
        <v>56</v>
      </c>
      <c r="F19" s="21" t="s">
        <v>57</v>
      </c>
      <c r="G19" s="21">
        <v>18</v>
      </c>
      <c r="H19" s="5">
        <f t="shared" si="0"/>
        <v>8087</v>
      </c>
      <c r="I19" t="s">
        <v>1051</v>
      </c>
      <c r="J19">
        <v>222</v>
      </c>
      <c r="K19">
        <v>184</v>
      </c>
      <c r="L19">
        <v>135</v>
      </c>
      <c r="M19" s="6">
        <v>255</v>
      </c>
      <c r="N19" s="6" t="str">
        <f t="shared" si="1"/>
        <v>18: (222, 184, 135, 255, Compaction (overgrazing (stock)): 8087),</v>
      </c>
      <c r="O19" s="5" t="str">
        <f>VLOOKUP(Australia!B19,Impacts!$A$2:$B$80,2, FALSE)</f>
        <v>Process that brings about an increase in soil density or unit weight.</v>
      </c>
      <c r="P19" s="5" t="str">
        <f>VLOOKUP(E19,Pressures!$A$2:$B$145,2,FALSE)</f>
        <v>Excessive grazing by domesticated stock without sufficient rest, resulting in declines in the biomass or health of vegetation.</v>
      </c>
      <c r="V19" s="29">
        <v>111111</v>
      </c>
      <c r="W19" s="32">
        <v>112112</v>
      </c>
      <c r="Y19" s="32">
        <v>124124</v>
      </c>
      <c r="AW19" s="5">
        <v>-1</v>
      </c>
      <c r="AX19" s="5">
        <v>0</v>
      </c>
      <c r="AZ19" s="5">
        <v>1</v>
      </c>
      <c r="BA19" s="5">
        <v>2</v>
      </c>
      <c r="BB19" s="5">
        <v>3</v>
      </c>
      <c r="BD19" s="7">
        <v>111111</v>
      </c>
      <c r="CZ19" s="48">
        <v>11</v>
      </c>
      <c r="DA19" s="34">
        <v>11</v>
      </c>
      <c r="DK19" s="8"/>
      <c r="DL19" s="8"/>
      <c r="DM19" s="8"/>
      <c r="DN19" s="8"/>
      <c r="DO19" s="50"/>
      <c r="DP19" s="50"/>
      <c r="DQ19" s="50"/>
      <c r="DR19" s="50"/>
      <c r="DS19" s="50"/>
      <c r="DT19" s="50"/>
      <c r="DU19" s="50"/>
      <c r="DV19" s="50"/>
      <c r="DW19" s="50"/>
      <c r="DX19" s="50"/>
      <c r="DY19" s="50"/>
      <c r="DZ19" s="50"/>
      <c r="EA19" s="50"/>
      <c r="EB19" s="50"/>
      <c r="EC19" s="50"/>
      <c r="ED19" s="50"/>
      <c r="EE19" s="50"/>
      <c r="EF19" s="50"/>
      <c r="EG19" s="50"/>
      <c r="EH19" s="50"/>
      <c r="EI19" s="50"/>
      <c r="EJ19" s="50">
        <v>1</v>
      </c>
      <c r="EK19" s="50"/>
      <c r="EL19" s="50"/>
      <c r="EM19" s="50"/>
      <c r="EN19" s="50"/>
      <c r="EO19" s="50"/>
      <c r="EP19" s="50"/>
      <c r="EQ19" s="50"/>
      <c r="ER19" s="50"/>
      <c r="ET19" s="55">
        <f t="shared" si="2"/>
        <v>1</v>
      </c>
    </row>
    <row r="20" spans="1:150" s="5" customFormat="1" ht="16" customHeight="1" x14ac:dyDescent="0.2">
      <c r="A20" s="5">
        <v>9</v>
      </c>
      <c r="B20" s="8" t="s">
        <v>61</v>
      </c>
      <c r="C20" s="8" t="s">
        <v>62</v>
      </c>
      <c r="D20" s="5">
        <v>59</v>
      </c>
      <c r="E20" s="5" t="s">
        <v>63</v>
      </c>
      <c r="F20" s="21" t="s">
        <v>64</v>
      </c>
      <c r="G20" s="21">
        <v>19</v>
      </c>
      <c r="H20" s="5">
        <f t="shared" si="0"/>
        <v>9059</v>
      </c>
      <c r="I20" t="s">
        <v>1052</v>
      </c>
      <c r="J20">
        <v>250</v>
      </c>
      <c r="K20">
        <v>250</v>
      </c>
      <c r="L20">
        <v>210</v>
      </c>
      <c r="M20" s="6">
        <v>255</v>
      </c>
      <c r="N20" s="6" t="str">
        <f t="shared" si="1"/>
        <v>19: (250, 250, 210, 255, Coral bleaching (increased acidity): 9059),</v>
      </c>
      <c r="O20" s="5" t="str">
        <f>VLOOKUP(Australia!B20,Impacts!$A$2:$B$80,2, FALSE)</f>
        <v>When the coral host expels its zooxanthellae.</v>
      </c>
      <c r="P20" s="5" t="str">
        <f>VLOOKUP(E20,Pressures!$A$2:$B$145,2,FALSE)</f>
        <v xml:space="preserve">A decrease in the pH of water or soils across the range of alkaline (7-14), neutral (7) to acidic (0 to 7). </v>
      </c>
      <c r="AC20" s="29">
        <v>228228</v>
      </c>
      <c r="AD20" s="29">
        <v>220220</v>
      </c>
      <c r="AW20" s="5">
        <v>-1</v>
      </c>
      <c r="AX20" s="5">
        <v>0</v>
      </c>
      <c r="AZ20" s="5">
        <v>1</v>
      </c>
      <c r="BA20" s="5">
        <v>2</v>
      </c>
      <c r="BB20" s="5">
        <v>3</v>
      </c>
      <c r="BD20" s="7">
        <v>111111</v>
      </c>
      <c r="CZ20" s="48">
        <v>11</v>
      </c>
      <c r="DA20" s="34">
        <v>11</v>
      </c>
      <c r="DK20" s="8"/>
      <c r="DL20" s="8"/>
      <c r="DM20" s="8"/>
      <c r="DN20" s="8"/>
      <c r="DO20" s="50"/>
      <c r="DP20" s="50"/>
      <c r="DQ20" s="50"/>
      <c r="DR20" s="50"/>
      <c r="DS20" s="50"/>
      <c r="DT20" s="50"/>
      <c r="DU20" s="50"/>
      <c r="DV20" s="50"/>
      <c r="DW20" s="50">
        <v>1</v>
      </c>
      <c r="DX20" s="50"/>
      <c r="DY20" s="50"/>
      <c r="DZ20" s="50"/>
      <c r="EA20" s="50"/>
      <c r="EB20" s="50"/>
      <c r="EC20" s="50"/>
      <c r="ED20" s="50"/>
      <c r="EE20" s="50"/>
      <c r="EF20" s="50"/>
      <c r="EG20" s="50"/>
      <c r="EH20" s="50"/>
      <c r="EI20" s="50"/>
      <c r="EJ20" s="50"/>
      <c r="EK20" s="50"/>
      <c r="EL20" s="50"/>
      <c r="EM20" s="50"/>
      <c r="EN20" s="50"/>
      <c r="EO20" s="50"/>
      <c r="EP20" s="50"/>
      <c r="EQ20" s="50"/>
      <c r="ER20" s="50">
        <v>1</v>
      </c>
      <c r="ET20" s="55">
        <f t="shared" si="2"/>
        <v>2</v>
      </c>
    </row>
    <row r="21" spans="1:150" s="5" customFormat="1" ht="16" customHeight="1" x14ac:dyDescent="0.2">
      <c r="A21" s="5">
        <v>9</v>
      </c>
      <c r="B21" s="8" t="s">
        <v>61</v>
      </c>
      <c r="C21" s="8" t="s">
        <v>69</v>
      </c>
      <c r="D21" s="5">
        <v>97</v>
      </c>
      <c r="E21" s="5" t="s">
        <v>70</v>
      </c>
      <c r="F21" s="21" t="s">
        <v>71</v>
      </c>
      <c r="G21" s="21">
        <v>20</v>
      </c>
      <c r="H21" s="5">
        <f t="shared" si="0"/>
        <v>9097</v>
      </c>
      <c r="I21" t="s">
        <v>1053</v>
      </c>
      <c r="J21">
        <v>250</v>
      </c>
      <c r="K21">
        <v>240</v>
      </c>
      <c r="L21">
        <v>230</v>
      </c>
      <c r="M21" s="6">
        <v>255</v>
      </c>
      <c r="N21" s="6" t="str">
        <f t="shared" si="1"/>
        <v>20: (250, 240, 230, 255, Coral bleaching (prolonged temperature increase): 9097),</v>
      </c>
      <c r="O21" s="5" t="str">
        <f>VLOOKUP(Australia!B21,Impacts!$A$2:$B$80,2, FALSE)</f>
        <v>When the coral host expels its zooxanthellae.</v>
      </c>
      <c r="P21" s="5" t="str">
        <f>VLOOKUP(E21,Pressures!$A$2:$B$145,2,FALSE)</f>
        <v>Seasonal to multi-annual increases in temperature compared with past averages.</v>
      </c>
      <c r="AC21" s="29">
        <v>228228</v>
      </c>
      <c r="AD21" s="29">
        <v>220220</v>
      </c>
      <c r="AW21" s="5">
        <v>-1</v>
      </c>
      <c r="AX21" s="5">
        <v>0</v>
      </c>
      <c r="AZ21" s="5">
        <v>1</v>
      </c>
      <c r="BA21" s="5">
        <v>2</v>
      </c>
      <c r="BB21" s="5">
        <v>3</v>
      </c>
      <c r="BD21" s="7">
        <v>111111</v>
      </c>
      <c r="CZ21" s="48">
        <v>11</v>
      </c>
      <c r="DA21" s="34">
        <v>11</v>
      </c>
      <c r="DK21" s="8"/>
      <c r="DL21" s="8"/>
      <c r="DM21" s="8"/>
      <c r="DN21" s="8"/>
      <c r="DO21" s="50"/>
      <c r="DP21" s="50"/>
      <c r="DQ21" s="50"/>
      <c r="DR21" s="50"/>
      <c r="DS21" s="50"/>
      <c r="DT21" s="50"/>
      <c r="DU21" s="50"/>
      <c r="DV21" s="50"/>
      <c r="DW21" s="50"/>
      <c r="DX21" s="50">
        <v>1</v>
      </c>
      <c r="DY21" s="50"/>
      <c r="DZ21" s="50"/>
      <c r="EA21" s="50"/>
      <c r="EB21" s="50"/>
      <c r="EC21" s="50"/>
      <c r="ED21" s="50"/>
      <c r="EE21" s="50"/>
      <c r="EF21" s="50"/>
      <c r="EG21" s="50"/>
      <c r="EH21" s="50"/>
      <c r="EI21" s="50"/>
      <c r="EJ21" s="50"/>
      <c r="EK21" s="50"/>
      <c r="EL21" s="50"/>
      <c r="EM21" s="50"/>
      <c r="EN21" s="50"/>
      <c r="EO21" s="50"/>
      <c r="EP21" s="50"/>
      <c r="EQ21" s="50"/>
      <c r="ER21" s="50"/>
      <c r="ET21" s="55">
        <f t="shared" si="2"/>
        <v>1</v>
      </c>
    </row>
    <row r="22" spans="1:150" s="5" customFormat="1" ht="16" customHeight="1" x14ac:dyDescent="0.2">
      <c r="A22" s="5">
        <v>10</v>
      </c>
      <c r="B22" s="8" t="s">
        <v>65</v>
      </c>
      <c r="C22" s="8" t="s">
        <v>75</v>
      </c>
      <c r="D22" s="5">
        <v>70</v>
      </c>
      <c r="E22" s="5" t="s">
        <v>505</v>
      </c>
      <c r="F22" s="21" t="s">
        <v>76</v>
      </c>
      <c r="G22" s="21">
        <v>21</v>
      </c>
      <c r="H22" s="5">
        <f t="shared" si="0"/>
        <v>10070</v>
      </c>
      <c r="I22" t="s">
        <v>1054</v>
      </c>
      <c r="J22">
        <v>199</v>
      </c>
      <c r="K22">
        <v>21</v>
      </c>
      <c r="L22">
        <v>133</v>
      </c>
      <c r="M22" s="6">
        <v>255</v>
      </c>
      <c r="N22" s="6" t="str">
        <f t="shared" si="1"/>
        <v>21: (199, 21, 133, 255, Coral damage (invasive or exotic species): 10070),</v>
      </c>
      <c r="O22" s="5" t="str">
        <f>VLOOKUP(Australia!B22,Impacts!$A$2:$B$80,2, FALSE)</f>
        <v>Physical damage or loss of a coral reef not caused b y changes in water temperature</v>
      </c>
      <c r="P22" s="5" t="str">
        <f>VLOOKUP(E22,Pressures!$A$2:$B$145,2,FALSE)</f>
        <v>A plant or animal that has been introduced into a region (terrestrial or aquatic) in which it does not naturally occur.</v>
      </c>
      <c r="AC22" s="29">
        <v>228228</v>
      </c>
      <c r="AD22" s="29">
        <v>220220</v>
      </c>
      <c r="AW22" s="5">
        <v>-1</v>
      </c>
      <c r="AX22" s="5">
        <v>0</v>
      </c>
      <c r="AZ22" s="5">
        <v>1</v>
      </c>
      <c r="BA22" s="5">
        <v>2</v>
      </c>
      <c r="BB22" s="5">
        <v>3</v>
      </c>
      <c r="BD22" s="7">
        <v>111111</v>
      </c>
      <c r="CZ22" s="48">
        <v>11</v>
      </c>
      <c r="DA22" s="34">
        <v>11</v>
      </c>
      <c r="DK22" s="8"/>
      <c r="DL22" s="8"/>
      <c r="DM22" s="8"/>
      <c r="DN22" s="8"/>
      <c r="DO22" s="50"/>
      <c r="DP22" s="50"/>
      <c r="DQ22" s="50"/>
      <c r="DR22" s="50"/>
      <c r="DS22" s="50"/>
      <c r="DT22" s="50"/>
      <c r="DU22" s="50"/>
      <c r="DV22" s="50"/>
      <c r="DW22" s="50"/>
      <c r="DX22" s="50"/>
      <c r="DY22" s="50"/>
      <c r="DZ22" s="50"/>
      <c r="EA22" s="50"/>
      <c r="EB22" s="50"/>
      <c r="EC22" s="50"/>
      <c r="ED22" s="50"/>
      <c r="EE22" s="50"/>
      <c r="EF22" s="50"/>
      <c r="EG22" s="50"/>
      <c r="EH22" s="50"/>
      <c r="EI22" s="50">
        <v>1</v>
      </c>
      <c r="EJ22" s="50"/>
      <c r="EK22" s="50"/>
      <c r="EL22" s="50"/>
      <c r="EM22" s="50"/>
      <c r="EN22" s="50"/>
      <c r="EO22" s="50">
        <v>1</v>
      </c>
      <c r="EP22" s="50"/>
      <c r="EQ22" s="50"/>
      <c r="ER22" s="50"/>
      <c r="ET22" s="55">
        <f t="shared" si="2"/>
        <v>2</v>
      </c>
    </row>
    <row r="23" spans="1:150" s="5" customFormat="1" ht="16" customHeight="1" x14ac:dyDescent="0.2">
      <c r="A23" s="5">
        <v>10</v>
      </c>
      <c r="B23" s="8" t="s">
        <v>65</v>
      </c>
      <c r="C23" s="8" t="s">
        <v>66</v>
      </c>
      <c r="D23" s="5">
        <v>88</v>
      </c>
      <c r="E23" s="5" t="s">
        <v>67</v>
      </c>
      <c r="F23" s="21" t="s">
        <v>68</v>
      </c>
      <c r="G23" s="21">
        <v>22</v>
      </c>
      <c r="H23" s="5">
        <f t="shared" si="0"/>
        <v>10088</v>
      </c>
      <c r="I23" t="s">
        <v>1055</v>
      </c>
      <c r="J23">
        <v>255</v>
      </c>
      <c r="K23">
        <v>228</v>
      </c>
      <c r="L23">
        <v>225</v>
      </c>
      <c r="M23" s="6">
        <v>255</v>
      </c>
      <c r="N23" s="6" t="str">
        <f t="shared" si="1"/>
        <v>22: (255, 228, 225, 255, Coral damage (pathogens): 10088),</v>
      </c>
      <c r="O23" s="5" t="str">
        <f>VLOOKUP(Australia!B23,Impacts!$A$2:$B$80,2, FALSE)</f>
        <v>Physical damage or loss of a coral reef not caused b y changes in water temperature</v>
      </c>
      <c r="P23" s="5" t="str">
        <f>VLOOKUP(E23,Pressures!$A$2:$B$145,2,FALSE)</f>
        <v>Any small organism, such as a virus or a bacterium that can cause disease.</v>
      </c>
      <c r="AC23" s="29">
        <v>228228</v>
      </c>
      <c r="AD23" s="29">
        <v>220220</v>
      </c>
      <c r="AW23" s="5">
        <v>-1</v>
      </c>
      <c r="AX23" s="5">
        <v>0</v>
      </c>
      <c r="AZ23" s="5">
        <v>1</v>
      </c>
      <c r="BA23" s="5">
        <v>2</v>
      </c>
      <c r="BB23" s="5">
        <v>3</v>
      </c>
      <c r="BD23" s="7">
        <v>111111</v>
      </c>
      <c r="CZ23" s="48">
        <v>11</v>
      </c>
      <c r="DA23" s="34">
        <v>11</v>
      </c>
      <c r="DK23" s="8"/>
      <c r="DL23" s="8"/>
      <c r="DM23" s="8"/>
      <c r="DN23" s="8"/>
      <c r="DO23" s="50"/>
      <c r="DP23" s="50"/>
      <c r="DQ23" s="50"/>
      <c r="DR23" s="50"/>
      <c r="DS23" s="50"/>
      <c r="DT23" s="50"/>
      <c r="DU23" s="50"/>
      <c r="DV23" s="50"/>
      <c r="DW23" s="50"/>
      <c r="DX23" s="50"/>
      <c r="DY23" s="50"/>
      <c r="DZ23" s="50"/>
      <c r="EA23" s="50"/>
      <c r="EB23" s="50"/>
      <c r="EC23" s="50"/>
      <c r="ED23" s="50"/>
      <c r="EE23" s="50"/>
      <c r="EF23" s="50"/>
      <c r="EG23" s="50"/>
      <c r="EH23" s="50"/>
      <c r="EI23" s="50"/>
      <c r="EJ23" s="50"/>
      <c r="EK23" s="50"/>
      <c r="EL23" s="50"/>
      <c r="EM23" s="50"/>
      <c r="EN23" s="50"/>
      <c r="EO23" s="50">
        <v>1</v>
      </c>
      <c r="EP23" s="50"/>
      <c r="EQ23" s="50"/>
      <c r="ER23" s="50"/>
      <c r="ET23" s="55">
        <f t="shared" si="2"/>
        <v>1</v>
      </c>
    </row>
    <row r="24" spans="1:150" s="5" customFormat="1" ht="16" customHeight="1" x14ac:dyDescent="0.2">
      <c r="A24" s="5">
        <v>10</v>
      </c>
      <c r="B24" s="8" t="s">
        <v>65</v>
      </c>
      <c r="C24" s="8" t="s">
        <v>72</v>
      </c>
      <c r="D24" s="5">
        <v>112</v>
      </c>
      <c r="E24" s="5" t="s">
        <v>73</v>
      </c>
      <c r="F24" s="21" t="s">
        <v>74</v>
      </c>
      <c r="G24" s="21">
        <v>23</v>
      </c>
      <c r="H24" s="5">
        <f t="shared" si="0"/>
        <v>10112</v>
      </c>
      <c r="I24" t="s">
        <v>1056</v>
      </c>
      <c r="J24">
        <v>255</v>
      </c>
      <c r="K24">
        <v>222</v>
      </c>
      <c r="L24">
        <v>173</v>
      </c>
      <c r="M24" s="6">
        <v>255</v>
      </c>
      <c r="N24" s="6" t="str">
        <f t="shared" si="1"/>
        <v>23: (255, 222, 173, 255, Coral damage (sedimentation): 10112),</v>
      </c>
      <c r="O24" s="5" t="str">
        <f>VLOOKUP(Australia!B24,Impacts!$A$2:$B$80,2, FALSE)</f>
        <v>Physical damage or loss of a coral reef not caused b y changes in water temperature</v>
      </c>
      <c r="P24" s="5" t="str">
        <f>VLOOKUP(E24,Pressures!$A$2:$B$145,2,FALSE)</f>
        <v>Deposition of sediment from flowing water (in channels or floodplains) or standing water (in wetlands, lakes, or oceans).</v>
      </c>
      <c r="AC24" s="29">
        <v>228228</v>
      </c>
      <c r="AD24" s="29">
        <v>220220</v>
      </c>
      <c r="AW24" s="5">
        <v>-1</v>
      </c>
      <c r="AX24" s="5">
        <v>0</v>
      </c>
      <c r="AZ24" s="5">
        <v>1</v>
      </c>
      <c r="BA24" s="5">
        <v>2</v>
      </c>
      <c r="BB24" s="5">
        <v>3</v>
      </c>
      <c r="BD24" s="7">
        <v>111111</v>
      </c>
      <c r="CZ24" s="48">
        <v>11</v>
      </c>
      <c r="DA24" s="34">
        <v>11</v>
      </c>
      <c r="DK24" s="8"/>
      <c r="DL24" s="8"/>
      <c r="DM24" s="8"/>
      <c r="DN24" s="8"/>
      <c r="DO24" s="50"/>
      <c r="DP24" s="50"/>
      <c r="DQ24" s="50"/>
      <c r="DR24" s="50"/>
      <c r="DS24" s="50"/>
      <c r="DT24" s="50"/>
      <c r="DU24" s="50"/>
      <c r="DV24" s="50">
        <v>1</v>
      </c>
      <c r="DW24" s="50"/>
      <c r="DX24" s="50"/>
      <c r="DY24" s="50"/>
      <c r="DZ24" s="50"/>
      <c r="EA24" s="50"/>
      <c r="EB24" s="50"/>
      <c r="EC24" s="50"/>
      <c r="ED24" s="50"/>
      <c r="EE24" s="50"/>
      <c r="EF24" s="50"/>
      <c r="EG24" s="50"/>
      <c r="EH24" s="50"/>
      <c r="EI24" s="50"/>
      <c r="EJ24" s="50"/>
      <c r="EK24" s="50"/>
      <c r="EL24" s="50"/>
      <c r="EM24" s="50"/>
      <c r="EN24" s="50"/>
      <c r="EO24" s="50"/>
      <c r="EP24" s="50"/>
      <c r="EQ24" s="50"/>
      <c r="ER24" s="50"/>
      <c r="ET24" s="55">
        <f t="shared" si="2"/>
        <v>1</v>
      </c>
    </row>
    <row r="25" spans="1:150" s="5" customFormat="1" ht="16" customHeight="1" x14ac:dyDescent="0.2">
      <c r="A25" s="5">
        <v>11</v>
      </c>
      <c r="B25" s="8" t="s">
        <v>77</v>
      </c>
      <c r="C25" s="8" t="s">
        <v>78</v>
      </c>
      <c r="D25" s="5">
        <v>22</v>
      </c>
      <c r="E25" s="5" t="s">
        <v>79</v>
      </c>
      <c r="F25" s="21" t="s">
        <v>80</v>
      </c>
      <c r="G25" s="21">
        <v>24</v>
      </c>
      <c r="H25" s="5">
        <f t="shared" si="0"/>
        <v>11022</v>
      </c>
      <c r="I25" t="s">
        <v>1057</v>
      </c>
      <c r="J25">
        <v>248</v>
      </c>
      <c r="K25">
        <v>131</v>
      </c>
      <c r="L25">
        <v>121</v>
      </c>
      <c r="M25" s="6">
        <v>255</v>
      </c>
      <c r="N25" s="6" t="str">
        <f t="shared" si="1"/>
        <v>24: (248, 131, 121, 255, Coral recovery (decreased acidity): 11022),</v>
      </c>
      <c r="O25" s="5" t="str">
        <f>VLOOKUP(Australia!B25,Impacts!$A$2:$B$80,2, FALSE)</f>
        <v>Re-instatement of the previous extent or health of reef-building corals.</v>
      </c>
      <c r="P25" s="5" t="str">
        <f>VLOOKUP(E25,Pressures!$A$2:$B$145,2,FALSE)</f>
        <v>A increase in the pH of water or soils across the range of alkaline (7-14), neutral (7) to acidic (0 to 7).</v>
      </c>
      <c r="AC25" s="29">
        <v>228228</v>
      </c>
      <c r="AD25" s="29">
        <v>220220</v>
      </c>
      <c r="AW25" s="5">
        <v>-1</v>
      </c>
      <c r="AX25" s="5">
        <v>0</v>
      </c>
      <c r="AZ25" s="5">
        <v>1</v>
      </c>
      <c r="BA25" s="5">
        <v>2</v>
      </c>
      <c r="BB25" s="5">
        <v>3</v>
      </c>
      <c r="BD25" s="7">
        <v>111111</v>
      </c>
      <c r="CZ25" s="48">
        <v>11</v>
      </c>
      <c r="DA25" s="34">
        <v>11</v>
      </c>
      <c r="DK25" s="8"/>
      <c r="DL25" s="8"/>
      <c r="DM25" s="8"/>
      <c r="DN25" s="8"/>
      <c r="DO25" s="50"/>
      <c r="DP25" s="50"/>
      <c r="DQ25" s="50"/>
      <c r="DR25" s="50"/>
      <c r="DS25" s="50"/>
      <c r="DT25" s="50"/>
      <c r="DU25" s="50"/>
      <c r="DV25" s="50"/>
      <c r="DW25" s="50"/>
      <c r="DX25" s="50"/>
      <c r="DY25" s="50"/>
      <c r="DZ25" s="50"/>
      <c r="EA25" s="50"/>
      <c r="EB25" s="50"/>
      <c r="EC25" s="50"/>
      <c r="ED25" s="50"/>
      <c r="EE25" s="50"/>
      <c r="EF25" s="50"/>
      <c r="EG25" s="50"/>
      <c r="EH25" s="50"/>
      <c r="EI25" s="50"/>
      <c r="EJ25" s="50"/>
      <c r="EK25" s="50"/>
      <c r="EL25" s="50"/>
      <c r="EM25" s="50"/>
      <c r="EN25" s="50"/>
      <c r="EO25" s="50"/>
      <c r="EP25" s="50"/>
      <c r="EQ25" s="50"/>
      <c r="ER25" s="50">
        <v>1</v>
      </c>
      <c r="ET25" s="55">
        <f t="shared" si="2"/>
        <v>1</v>
      </c>
    </row>
    <row r="26" spans="1:150" s="5" customFormat="1" ht="16" customHeight="1" x14ac:dyDescent="0.2">
      <c r="A26" s="5">
        <v>11</v>
      </c>
      <c r="B26" s="8" t="s">
        <v>77</v>
      </c>
      <c r="C26" s="8" t="s">
        <v>81</v>
      </c>
      <c r="D26" s="5">
        <v>96</v>
      </c>
      <c r="E26" s="5" t="s">
        <v>82</v>
      </c>
      <c r="F26" s="21" t="s">
        <v>83</v>
      </c>
      <c r="G26" s="21">
        <v>25</v>
      </c>
      <c r="H26" s="5">
        <f t="shared" si="0"/>
        <v>11096</v>
      </c>
      <c r="I26" t="s">
        <v>1058</v>
      </c>
      <c r="J26">
        <v>255</v>
      </c>
      <c r="K26">
        <v>127</v>
      </c>
      <c r="L26">
        <v>80</v>
      </c>
      <c r="M26" s="6">
        <v>255</v>
      </c>
      <c r="N26" s="6" t="str">
        <f t="shared" si="1"/>
        <v>25: (255, 127, 80, 255, Coral recovery (prolonged temperature decrease): 11096),</v>
      </c>
      <c r="O26" s="5" t="str">
        <f>VLOOKUP(Australia!B26,Impacts!$A$2:$B$80,2, FALSE)</f>
        <v>Re-instatement of the previous extent or health of reef-building corals.</v>
      </c>
      <c r="P26" s="5" t="str">
        <f>VLOOKUP(E26,Pressures!$A$2:$B$145,2,FALSE)</f>
        <v>Seasonal to multi-annual decreases in temperature compared with past averages.</v>
      </c>
      <c r="AC26" s="29">
        <v>228228</v>
      </c>
      <c r="AD26" s="29">
        <v>220220</v>
      </c>
      <c r="AW26" s="5">
        <v>-1</v>
      </c>
      <c r="AX26" s="5">
        <v>0</v>
      </c>
      <c r="AZ26" s="5">
        <v>1</v>
      </c>
      <c r="BA26" s="5">
        <v>2</v>
      </c>
      <c r="BB26" s="5">
        <v>3</v>
      </c>
      <c r="BD26" s="7">
        <v>111111</v>
      </c>
      <c r="CZ26" s="48">
        <v>11</v>
      </c>
      <c r="DA26" s="34">
        <v>11</v>
      </c>
      <c r="DK26" s="8"/>
      <c r="DL26" s="8"/>
      <c r="DM26" s="8"/>
      <c r="DN26" s="8"/>
      <c r="DO26" s="50"/>
      <c r="DP26" s="50"/>
      <c r="DQ26" s="50"/>
      <c r="DR26" s="50"/>
      <c r="DS26" s="50"/>
      <c r="DT26" s="50"/>
      <c r="DU26" s="50"/>
      <c r="DV26" s="50"/>
      <c r="DW26" s="50"/>
      <c r="DX26" s="50">
        <v>1</v>
      </c>
      <c r="DY26" s="50"/>
      <c r="DZ26" s="50"/>
      <c r="EA26" s="50"/>
      <c r="EB26" s="50"/>
      <c r="EC26" s="50"/>
      <c r="ED26" s="50"/>
      <c r="EE26" s="50"/>
      <c r="EF26" s="50"/>
      <c r="EG26" s="50"/>
      <c r="EH26" s="50"/>
      <c r="EI26" s="50"/>
      <c r="EJ26" s="50"/>
      <c r="EK26" s="50"/>
      <c r="EL26" s="50"/>
      <c r="EM26" s="50"/>
      <c r="EN26" s="50"/>
      <c r="EO26" s="50"/>
      <c r="EP26" s="50"/>
      <c r="EQ26" s="50"/>
      <c r="ER26" s="50"/>
      <c r="ET26" s="55">
        <f t="shared" si="2"/>
        <v>1</v>
      </c>
    </row>
    <row r="27" spans="1:150" s="5" customFormat="1" ht="16" customHeight="1" x14ac:dyDescent="0.2">
      <c r="A27" s="5">
        <v>12</v>
      </c>
      <c r="B27" s="8" t="s">
        <v>84</v>
      </c>
      <c r="C27" s="8" t="s">
        <v>85</v>
      </c>
      <c r="D27" s="5">
        <v>19</v>
      </c>
      <c r="E27" s="5" t="s">
        <v>86</v>
      </c>
      <c r="F27" s="21" t="s">
        <v>87</v>
      </c>
      <c r="G27" s="21">
        <v>26</v>
      </c>
      <c r="H27" s="5">
        <f t="shared" si="0"/>
        <v>12019</v>
      </c>
      <c r="I27" t="s">
        <v>1059</v>
      </c>
      <c r="J27">
        <v>255</v>
      </c>
      <c r="K27">
        <v>182</v>
      </c>
      <c r="L27">
        <v>30</v>
      </c>
      <c r="M27" s="6">
        <v>255</v>
      </c>
      <c r="N27" s="6" t="str">
        <f t="shared" si="1"/>
        <v>26: (255, 182, 30, 255, Crop change in cultivated lands (crop rotation): 12019),</v>
      </c>
      <c r="O27" s="5" t="str">
        <f>VLOOKUP(Australia!B27,Impacts!$A$2:$B$80,2, FALSE)</f>
        <v>Replacement of one crop type by another.</v>
      </c>
      <c r="P27" s="5" t="str">
        <f>VLOOKUP(E27,Pressures!$A$2:$B$145,2,FALSE)</f>
        <v>Alternating between types of crops on a seasonal basis in the same area to limit soil degradation and to help control weeds, diseases and pests.</v>
      </c>
      <c r="AU27" s="31">
        <v>11</v>
      </c>
      <c r="AV27" s="31">
        <v>22</v>
      </c>
      <c r="AW27" s="31">
        <v>1</v>
      </c>
      <c r="AX27" s="31">
        <v>0</v>
      </c>
      <c r="AY27" s="31"/>
      <c r="AZ27" s="31">
        <v>1</v>
      </c>
      <c r="BA27" s="31">
        <v>2</v>
      </c>
      <c r="BB27" s="31">
        <v>3</v>
      </c>
      <c r="BC27" s="31"/>
      <c r="BD27" s="31"/>
      <c r="BE27" s="31"/>
      <c r="BF27" s="31"/>
      <c r="BG27" s="31"/>
      <c r="BH27" s="31"/>
      <c r="BI27" s="31"/>
      <c r="BJ27" s="38">
        <v>216111</v>
      </c>
      <c r="BK27" s="31"/>
      <c r="BL27" s="31"/>
      <c r="BM27" s="31"/>
      <c r="BN27" s="31"/>
      <c r="BO27" s="31"/>
      <c r="BP27" s="31"/>
      <c r="BQ27" s="31"/>
      <c r="BR27" s="31"/>
      <c r="BS27" s="31"/>
      <c r="BT27" s="31"/>
      <c r="BU27" s="31"/>
      <c r="BV27" s="31"/>
      <c r="BW27" s="31"/>
      <c r="BX27" s="31"/>
      <c r="BY27" s="31"/>
      <c r="BZ27" s="31">
        <v>12</v>
      </c>
      <c r="CA27" s="31">
        <v>21</v>
      </c>
      <c r="CB27" s="45">
        <v>1010</v>
      </c>
      <c r="CC27" s="45">
        <v>1212</v>
      </c>
      <c r="CD27" s="45">
        <v>1313</v>
      </c>
      <c r="CE27" s="45">
        <v>1515</v>
      </c>
      <c r="CF27" s="45">
        <v>1616</v>
      </c>
      <c r="DK27" s="8"/>
      <c r="DL27" s="8"/>
      <c r="DM27" s="8"/>
      <c r="DN27" s="8"/>
      <c r="DO27" s="50"/>
      <c r="DP27" s="50"/>
      <c r="DQ27" s="50"/>
      <c r="DR27" s="50"/>
      <c r="DS27" s="50"/>
      <c r="DT27" s="50"/>
      <c r="DU27" s="50"/>
      <c r="DV27" s="50"/>
      <c r="DW27" s="50"/>
      <c r="DX27" s="50"/>
      <c r="DY27" s="50"/>
      <c r="DZ27" s="50"/>
      <c r="EA27" s="50"/>
      <c r="EB27" s="50"/>
      <c r="EC27" s="50"/>
      <c r="ED27" s="50"/>
      <c r="EE27" s="50"/>
      <c r="EF27" s="50"/>
      <c r="EG27" s="50"/>
      <c r="EH27" s="50"/>
      <c r="EI27" s="50"/>
      <c r="EJ27" s="50"/>
      <c r="EK27" s="50"/>
      <c r="EL27" s="50"/>
      <c r="EM27" s="50">
        <v>1</v>
      </c>
      <c r="EN27" s="50"/>
      <c r="EO27" s="50"/>
      <c r="EP27" s="50"/>
      <c r="EQ27" s="50"/>
      <c r="ER27" s="50"/>
      <c r="ET27" s="55">
        <f t="shared" si="2"/>
        <v>1</v>
      </c>
    </row>
    <row r="28" spans="1:150" s="5" customFormat="1" ht="16" customHeight="1" x14ac:dyDescent="0.2">
      <c r="A28" s="5">
        <v>13</v>
      </c>
      <c r="B28" s="8" t="s">
        <v>88</v>
      </c>
      <c r="C28" s="8" t="s">
        <v>89</v>
      </c>
      <c r="D28" s="5">
        <v>30</v>
      </c>
      <c r="E28" s="5" t="s">
        <v>90</v>
      </c>
      <c r="F28" s="21" t="s">
        <v>91</v>
      </c>
      <c r="G28" s="21">
        <v>27</v>
      </c>
      <c r="H28" s="5">
        <f t="shared" si="0"/>
        <v>13030</v>
      </c>
      <c r="I28" t="s">
        <v>1060</v>
      </c>
      <c r="J28">
        <v>184</v>
      </c>
      <c r="K28">
        <v>115</v>
      </c>
      <c r="L28">
        <v>51</v>
      </c>
      <c r="M28" s="6">
        <v>255</v>
      </c>
      <c r="N28" s="6" t="str">
        <f t="shared" si="1"/>
        <v>27: (184, 115, 51, 255, Crop damage (drought): 13030),</v>
      </c>
      <c r="O28" s="5" t="str">
        <f>VLOOKUP(Australia!B28,Impacts!$A$2:$B$80,2, FALSE)</f>
        <v>Loss of or harm to crops during or following a disturbance.</v>
      </c>
      <c r="P28" s="5" t="str">
        <f>VLOOKUP(E28,Pressures!$A$2:$B$145,2,FALSE)</f>
        <v>Areas considered to be suffering from a serious or severe rainfall deficiency.</v>
      </c>
      <c r="V28" s="29">
        <v>111111</v>
      </c>
      <c r="X28" s="29">
        <v>123123</v>
      </c>
      <c r="AU28" s="31">
        <v>11</v>
      </c>
      <c r="AV28" s="31">
        <v>22</v>
      </c>
      <c r="AW28" s="5">
        <v>1</v>
      </c>
      <c r="AX28" s="5">
        <v>0</v>
      </c>
      <c r="AZ28" s="5">
        <v>1</v>
      </c>
      <c r="BA28" s="5">
        <v>2</v>
      </c>
      <c r="BB28" s="5">
        <v>3</v>
      </c>
      <c r="BE28" s="7">
        <v>112111</v>
      </c>
      <c r="BG28" s="7">
        <v>124123</v>
      </c>
      <c r="CB28" s="45">
        <v>1012</v>
      </c>
      <c r="CC28" s="45">
        <v>1013</v>
      </c>
      <c r="CD28" s="45">
        <v>1015</v>
      </c>
      <c r="CE28" s="45">
        <v>1016</v>
      </c>
      <c r="CF28" s="45">
        <v>1213</v>
      </c>
      <c r="CG28" s="45">
        <v>1215</v>
      </c>
      <c r="CH28" s="46">
        <v>1216</v>
      </c>
      <c r="CI28" s="46">
        <v>1315</v>
      </c>
      <c r="CJ28" s="46">
        <v>1316</v>
      </c>
      <c r="CK28" s="46">
        <v>1516</v>
      </c>
      <c r="DK28" s="8"/>
      <c r="DL28" s="8"/>
      <c r="DM28" s="8"/>
      <c r="DN28" s="8"/>
      <c r="DO28" s="50"/>
      <c r="DP28" s="50"/>
      <c r="DQ28" s="50"/>
      <c r="DR28" s="50"/>
      <c r="DS28" s="50"/>
      <c r="DT28" s="50"/>
      <c r="DU28" s="50"/>
      <c r="DV28" s="50"/>
      <c r="DW28" s="50"/>
      <c r="DX28" s="50"/>
      <c r="DY28" s="50"/>
      <c r="DZ28" s="50"/>
      <c r="EA28" s="50"/>
      <c r="EB28" s="50">
        <v>1</v>
      </c>
      <c r="EC28" s="50"/>
      <c r="ED28" s="50"/>
      <c r="EE28" s="50"/>
      <c r="EF28" s="50"/>
      <c r="EG28" s="50"/>
      <c r="EH28" s="50"/>
      <c r="EI28" s="50"/>
      <c r="EJ28" s="50"/>
      <c r="EK28" s="50"/>
      <c r="EL28" s="50"/>
      <c r="EM28" s="50"/>
      <c r="EN28" s="50"/>
      <c r="EO28" s="50"/>
      <c r="EP28" s="50"/>
      <c r="EQ28" s="50"/>
      <c r="ER28" s="50"/>
      <c r="ET28" s="55">
        <f t="shared" si="2"/>
        <v>1</v>
      </c>
    </row>
    <row r="29" spans="1:150" s="5" customFormat="1" ht="16" customHeight="1" x14ac:dyDescent="0.2">
      <c r="A29" s="5">
        <v>13</v>
      </c>
      <c r="B29" s="8" t="s">
        <v>88</v>
      </c>
      <c r="C29" s="8" t="s">
        <v>92</v>
      </c>
      <c r="D29" s="5">
        <v>38</v>
      </c>
      <c r="E29" s="5" t="s">
        <v>93</v>
      </c>
      <c r="F29" s="21" t="s">
        <v>94</v>
      </c>
      <c r="G29" s="21">
        <v>28</v>
      </c>
      <c r="H29" s="5">
        <f t="shared" si="0"/>
        <v>13038</v>
      </c>
      <c r="I29" t="s">
        <v>1061</v>
      </c>
      <c r="J29">
        <v>205</v>
      </c>
      <c r="K29">
        <v>149</v>
      </c>
      <c r="L29">
        <v>117</v>
      </c>
      <c r="M29" s="6">
        <v>255</v>
      </c>
      <c r="N29" s="6" t="str">
        <f t="shared" si="1"/>
        <v>28: (205, 149, 117, 255, Crop damage (excess precipitation): 13038),</v>
      </c>
      <c r="O29" s="5" t="str">
        <f>VLOOKUP(Australia!B29,Impacts!$A$2:$B$80,2, FALSE)</f>
        <v>Loss of or harm to crops during or following a disturbance.</v>
      </c>
      <c r="P29" s="5" t="str">
        <f>VLOOKUP(E29,Pressures!$A$2:$B$145,2,FALSE)</f>
        <v>Above-normal increase in the amount of rain or snowfall.</v>
      </c>
      <c r="V29" s="29">
        <v>111111</v>
      </c>
      <c r="X29" s="29">
        <v>123123</v>
      </c>
      <c r="AU29" s="31">
        <v>11</v>
      </c>
      <c r="AV29" s="31">
        <v>22</v>
      </c>
      <c r="AW29" s="5">
        <v>1</v>
      </c>
      <c r="AX29" s="5">
        <v>0</v>
      </c>
      <c r="AZ29" s="5">
        <v>1</v>
      </c>
      <c r="BA29" s="5">
        <v>2</v>
      </c>
      <c r="BB29" s="5">
        <v>3</v>
      </c>
      <c r="BE29" s="7">
        <v>112111</v>
      </c>
      <c r="BG29" s="7">
        <v>124123</v>
      </c>
      <c r="CB29" s="45">
        <v>1012</v>
      </c>
      <c r="CC29" s="45">
        <v>1013</v>
      </c>
      <c r="CD29" s="45">
        <v>1015</v>
      </c>
      <c r="CE29" s="45">
        <v>1016</v>
      </c>
      <c r="CF29" s="45">
        <v>1213</v>
      </c>
      <c r="CG29" s="45">
        <v>1215</v>
      </c>
      <c r="CH29" s="46">
        <v>1216</v>
      </c>
      <c r="CI29" s="46">
        <v>1315</v>
      </c>
      <c r="CJ29" s="46">
        <v>1316</v>
      </c>
      <c r="CK29" s="46">
        <v>1516</v>
      </c>
      <c r="DK29" s="8"/>
      <c r="DL29" s="8"/>
      <c r="DM29" s="8"/>
      <c r="DN29" s="8"/>
      <c r="DO29" s="50"/>
      <c r="DP29" s="50"/>
      <c r="DQ29" s="50"/>
      <c r="DR29" s="50"/>
      <c r="DS29" s="50"/>
      <c r="DT29" s="50"/>
      <c r="DU29" s="50"/>
      <c r="DV29" s="50"/>
      <c r="DW29" s="50"/>
      <c r="DX29" s="50"/>
      <c r="DY29" s="50"/>
      <c r="DZ29" s="50"/>
      <c r="EA29" s="50"/>
      <c r="EB29" s="50">
        <v>1</v>
      </c>
      <c r="EC29" s="50"/>
      <c r="ED29" s="50"/>
      <c r="EE29" s="50"/>
      <c r="EF29" s="50"/>
      <c r="EG29" s="50"/>
      <c r="EH29" s="50"/>
      <c r="EI29" s="50"/>
      <c r="EJ29" s="50"/>
      <c r="EK29" s="50"/>
      <c r="EL29" s="50"/>
      <c r="EM29" s="50"/>
      <c r="EN29" s="50"/>
      <c r="EO29" s="50"/>
      <c r="EP29" s="50"/>
      <c r="EQ29" s="50"/>
      <c r="ER29" s="50"/>
      <c r="ET29" s="55">
        <f t="shared" si="2"/>
        <v>1</v>
      </c>
    </row>
    <row r="30" spans="1:150" s="5" customFormat="1" ht="16" customHeight="1" x14ac:dyDescent="0.2">
      <c r="A30" s="5">
        <v>13</v>
      </c>
      <c r="B30" s="8" t="s">
        <v>88</v>
      </c>
      <c r="C30" s="8" t="s">
        <v>95</v>
      </c>
      <c r="D30" s="5">
        <v>39</v>
      </c>
      <c r="E30" s="5" t="s">
        <v>96</v>
      </c>
      <c r="F30" s="21" t="s">
        <v>97</v>
      </c>
      <c r="G30" s="21">
        <v>29</v>
      </c>
      <c r="H30" s="5">
        <f t="shared" si="0"/>
        <v>13039</v>
      </c>
      <c r="I30" t="s">
        <v>1062</v>
      </c>
      <c r="J30">
        <v>145</v>
      </c>
      <c r="K30">
        <v>95</v>
      </c>
      <c r="L30">
        <v>109</v>
      </c>
      <c r="M30" s="6">
        <v>255</v>
      </c>
      <c r="N30" s="6" t="str">
        <f t="shared" si="1"/>
        <v>29: (145, 95, 109, 255, Crop damage (excess rain): 13039),</v>
      </c>
      <c r="O30" s="5" t="str">
        <f>VLOOKUP(Australia!B30,Impacts!$A$2:$B$80,2, FALSE)</f>
        <v>Loss of or harm to crops during or following a disturbance.</v>
      </c>
      <c r="P30" s="5" t="str">
        <f>VLOOKUP(E30,Pressures!$A$2:$B$145,2,FALSE)</f>
        <v>Heavy rainfall associated with the passage of a storm or tropical cyclone than can produce extensive flooding.</v>
      </c>
      <c r="V30" s="29">
        <v>111111</v>
      </c>
      <c r="X30" s="29">
        <v>123123</v>
      </c>
      <c r="AU30" s="31">
        <v>11</v>
      </c>
      <c r="AV30" s="31">
        <v>22</v>
      </c>
      <c r="AW30" s="5">
        <v>-1</v>
      </c>
      <c r="AX30" s="5">
        <v>0</v>
      </c>
      <c r="AZ30" s="5">
        <v>1</v>
      </c>
      <c r="BA30" s="5">
        <v>2</v>
      </c>
      <c r="BB30" s="5">
        <v>3</v>
      </c>
      <c r="BD30" s="7">
        <v>111112</v>
      </c>
      <c r="BF30" s="7">
        <v>123124</v>
      </c>
      <c r="CB30" s="45">
        <v>1012</v>
      </c>
      <c r="CC30" s="45">
        <v>1013</v>
      </c>
      <c r="CD30" s="45">
        <v>1015</v>
      </c>
      <c r="CE30" s="45">
        <v>1016</v>
      </c>
      <c r="CF30" s="45">
        <v>1213</v>
      </c>
      <c r="CG30" s="45">
        <v>1215</v>
      </c>
      <c r="CH30" s="46">
        <v>1216</v>
      </c>
      <c r="CI30" s="46">
        <v>1315</v>
      </c>
      <c r="CJ30" s="46">
        <v>1316</v>
      </c>
      <c r="CK30" s="46">
        <v>1516</v>
      </c>
      <c r="DK30" s="8"/>
      <c r="DL30" s="8"/>
      <c r="DM30" s="8"/>
      <c r="DN30" s="8"/>
      <c r="DO30" s="50"/>
      <c r="DP30" s="50"/>
      <c r="DQ30" s="50"/>
      <c r="DR30" s="50"/>
      <c r="DS30" s="50"/>
      <c r="DT30" s="50"/>
      <c r="DU30" s="50"/>
      <c r="DV30" s="50"/>
      <c r="DW30" s="50"/>
      <c r="DX30" s="50"/>
      <c r="DY30" s="50"/>
      <c r="DZ30" s="50"/>
      <c r="EA30" s="50"/>
      <c r="EB30" s="50">
        <v>1</v>
      </c>
      <c r="EC30" s="50"/>
      <c r="ED30" s="50"/>
      <c r="EE30" s="50"/>
      <c r="EF30" s="50"/>
      <c r="EG30" s="50"/>
      <c r="EH30" s="50"/>
      <c r="EI30" s="50"/>
      <c r="EJ30" s="50"/>
      <c r="EK30" s="50"/>
      <c r="EL30" s="50"/>
      <c r="EM30" s="50"/>
      <c r="EN30" s="50"/>
      <c r="EO30" s="50"/>
      <c r="EP30" s="50"/>
      <c r="EQ30" s="50"/>
      <c r="ER30" s="50"/>
      <c r="ET30" s="55">
        <f t="shared" si="2"/>
        <v>1</v>
      </c>
    </row>
    <row r="31" spans="1:150" s="5" customFormat="1" ht="16" customHeight="1" x14ac:dyDescent="0.2">
      <c r="A31" s="5">
        <v>13</v>
      </c>
      <c r="B31" s="8" t="s">
        <v>88</v>
      </c>
      <c r="C31" s="8" t="s">
        <v>42</v>
      </c>
      <c r="D31" s="5">
        <v>44</v>
      </c>
      <c r="E31" s="5" t="s">
        <v>43</v>
      </c>
      <c r="F31" s="21" t="s">
        <v>98</v>
      </c>
      <c r="G31" s="21">
        <v>30</v>
      </c>
      <c r="H31" s="5">
        <f t="shared" si="0"/>
        <v>13044</v>
      </c>
      <c r="I31" t="s">
        <v>1063</v>
      </c>
      <c r="J31">
        <v>18</v>
      </c>
      <c r="K31">
        <v>97</v>
      </c>
      <c r="L31">
        <v>128</v>
      </c>
      <c r="M31" s="6">
        <v>255</v>
      </c>
      <c r="N31" s="6" t="str">
        <f t="shared" si="1"/>
        <v>30: (18, 97, 128, 255, Crop damage (flooding): 13044),</v>
      </c>
      <c r="O31" s="5" t="str">
        <f>VLOOKUP(Australia!B31,Impacts!$A$2:$B$80,2, FALSE)</f>
        <v>Loss of or harm to crops during or following a disturbance.</v>
      </c>
      <c r="P31" s="5" t="str">
        <f>VLOOKUP(E31,Pressures!$A$2:$B$145,2,FALSE)</f>
        <v>The inundation of water over land that is generally dry.</v>
      </c>
      <c r="V31" s="29">
        <v>111111</v>
      </c>
      <c r="X31" s="29">
        <v>123123</v>
      </c>
      <c r="AU31" s="31">
        <v>11</v>
      </c>
      <c r="AV31" s="31">
        <v>22</v>
      </c>
      <c r="AW31" s="5">
        <v>-1</v>
      </c>
      <c r="AX31" s="5">
        <v>0</v>
      </c>
      <c r="AZ31" s="5">
        <v>1</v>
      </c>
      <c r="BA31" s="5">
        <v>2</v>
      </c>
      <c r="BB31" s="5">
        <v>3</v>
      </c>
      <c r="BD31" s="7">
        <v>111111</v>
      </c>
      <c r="CB31" s="45">
        <v>1012</v>
      </c>
      <c r="CC31" s="45">
        <v>1013</v>
      </c>
      <c r="CD31" s="45">
        <v>1015</v>
      </c>
      <c r="CE31" s="45">
        <v>1016</v>
      </c>
      <c r="CF31" s="45">
        <v>1213</v>
      </c>
      <c r="CG31" s="45">
        <v>1215</v>
      </c>
      <c r="CH31" s="46">
        <v>1216</v>
      </c>
      <c r="CI31" s="46">
        <v>1315</v>
      </c>
      <c r="CJ31" s="46">
        <v>1316</v>
      </c>
      <c r="CK31" s="46">
        <v>1516</v>
      </c>
      <c r="DK31" s="8"/>
      <c r="DL31" s="8"/>
      <c r="DM31" s="8"/>
      <c r="DN31" s="8"/>
      <c r="DO31" s="50"/>
      <c r="DP31" s="50"/>
      <c r="DQ31" s="50"/>
      <c r="DR31" s="50"/>
      <c r="DS31" s="50">
        <v>1</v>
      </c>
      <c r="DT31" s="50"/>
      <c r="DU31" s="50"/>
      <c r="DV31" s="50"/>
      <c r="DW31" s="50"/>
      <c r="DX31" s="50"/>
      <c r="DY31" s="50"/>
      <c r="DZ31" s="50"/>
      <c r="EA31" s="50"/>
      <c r="EB31" s="50"/>
      <c r="EC31" s="50"/>
      <c r="ED31" s="50"/>
      <c r="EE31" s="50"/>
      <c r="EF31" s="50"/>
      <c r="EG31" s="50"/>
      <c r="EH31" s="50"/>
      <c r="EI31" s="50"/>
      <c r="EJ31" s="50"/>
      <c r="EK31" s="50"/>
      <c r="EL31" s="50"/>
      <c r="EM31" s="50"/>
      <c r="EN31" s="50"/>
      <c r="EO31" s="50"/>
      <c r="EP31" s="50"/>
      <c r="EQ31" s="50"/>
      <c r="ER31" s="50"/>
      <c r="ET31" s="55">
        <f t="shared" si="2"/>
        <v>1</v>
      </c>
    </row>
    <row r="32" spans="1:150" s="5" customFormat="1" ht="16" customHeight="1" x14ac:dyDescent="0.2">
      <c r="A32" s="5">
        <v>13</v>
      </c>
      <c r="B32" s="8" t="s">
        <v>88</v>
      </c>
      <c r="C32" s="8" t="s">
        <v>99</v>
      </c>
      <c r="D32" s="5">
        <v>48</v>
      </c>
      <c r="E32" s="5" t="s">
        <v>100</v>
      </c>
      <c r="F32" s="21" t="s">
        <v>101</v>
      </c>
      <c r="G32" s="21">
        <v>31</v>
      </c>
      <c r="H32" s="5">
        <f t="shared" si="0"/>
        <v>13048</v>
      </c>
      <c r="I32" t="s">
        <v>1064</v>
      </c>
      <c r="J32">
        <v>244</v>
      </c>
      <c r="K32">
        <v>164</v>
      </c>
      <c r="L32">
        <v>96</v>
      </c>
      <c r="M32" s="6">
        <v>255</v>
      </c>
      <c r="N32" s="6" t="str">
        <f t="shared" si="1"/>
        <v>31: (244, 164, 96, 255, Crop damage (grazing (natural)): 13048),</v>
      </c>
      <c r="O32" s="5" t="str">
        <f>VLOOKUP(Australia!B32,Impacts!$A$2:$B$80,2, FALSE)</f>
        <v>Loss of or harm to crops during or following a disturbance.</v>
      </c>
      <c r="P32" s="5" t="str">
        <f>VLOOKUP(E32,Pressures!$A$2:$B$145,2,FALSE)</f>
        <v>Repetitive consumption of herbaceous or woody vegetation by herbivores/omnivores.</v>
      </c>
      <c r="V32" s="29">
        <v>111111</v>
      </c>
      <c r="X32" s="29">
        <v>123123</v>
      </c>
      <c r="AU32" s="31">
        <v>11</v>
      </c>
      <c r="AV32" s="31">
        <v>22</v>
      </c>
      <c r="AW32" s="5">
        <v>-1</v>
      </c>
      <c r="AX32" s="5">
        <v>0</v>
      </c>
      <c r="AZ32" s="5">
        <v>1</v>
      </c>
      <c r="BA32" s="5">
        <v>2</v>
      </c>
      <c r="BB32" s="5">
        <v>3</v>
      </c>
      <c r="BD32" s="7">
        <v>111111</v>
      </c>
      <c r="CB32" s="45">
        <v>1012</v>
      </c>
      <c r="CC32" s="45">
        <v>1013</v>
      </c>
      <c r="CD32" s="45">
        <v>1015</v>
      </c>
      <c r="CE32" s="45">
        <v>1016</v>
      </c>
      <c r="CF32" s="45">
        <v>1213</v>
      </c>
      <c r="CG32" s="45">
        <v>1215</v>
      </c>
      <c r="CH32" s="46">
        <v>1216</v>
      </c>
      <c r="CI32" s="46">
        <v>1315</v>
      </c>
      <c r="CJ32" s="46">
        <v>1316</v>
      </c>
      <c r="CK32" s="46">
        <v>1516</v>
      </c>
      <c r="DK32" s="8"/>
      <c r="DL32" s="8"/>
      <c r="DM32" s="8"/>
      <c r="DN32" s="8"/>
      <c r="DO32" s="50"/>
      <c r="DP32" s="50"/>
      <c r="DQ32" s="50"/>
      <c r="DR32" s="50"/>
      <c r="DS32" s="50"/>
      <c r="DT32" s="50"/>
      <c r="DU32" s="50"/>
      <c r="DV32" s="50"/>
      <c r="DW32" s="50"/>
      <c r="DX32" s="50"/>
      <c r="DY32" s="50"/>
      <c r="DZ32" s="50"/>
      <c r="EA32" s="50"/>
      <c r="EB32" s="50"/>
      <c r="EC32" s="50"/>
      <c r="ED32" s="50"/>
      <c r="EE32" s="50"/>
      <c r="EF32" s="50"/>
      <c r="EG32" s="50"/>
      <c r="EH32" s="50"/>
      <c r="EI32" s="50">
        <v>1</v>
      </c>
      <c r="EJ32" s="50"/>
      <c r="EK32" s="50"/>
      <c r="EL32" s="50"/>
      <c r="EM32" s="50"/>
      <c r="EN32" s="50"/>
      <c r="EO32" s="50"/>
      <c r="EP32" s="50"/>
      <c r="EQ32" s="50"/>
      <c r="ER32" s="50"/>
      <c r="ET32" s="55">
        <f t="shared" si="2"/>
        <v>1</v>
      </c>
    </row>
    <row r="33" spans="1:150" s="5" customFormat="1" ht="16" customHeight="1" x14ac:dyDescent="0.2">
      <c r="A33" s="5">
        <v>13</v>
      </c>
      <c r="B33" s="8" t="s">
        <v>88</v>
      </c>
      <c r="C33" s="8" t="s">
        <v>102</v>
      </c>
      <c r="D33" s="5">
        <v>49</v>
      </c>
      <c r="E33" s="5" t="s">
        <v>103</v>
      </c>
      <c r="F33" s="21" t="s">
        <v>104</v>
      </c>
      <c r="G33" s="21">
        <v>32</v>
      </c>
      <c r="H33" s="5">
        <f t="shared" si="0"/>
        <v>13049</v>
      </c>
      <c r="I33" t="s">
        <v>1065</v>
      </c>
      <c r="J33">
        <v>160</v>
      </c>
      <c r="K33">
        <v>82</v>
      </c>
      <c r="L33">
        <v>45</v>
      </c>
      <c r="M33" s="6">
        <v>255</v>
      </c>
      <c r="N33" s="6" t="str">
        <f t="shared" si="1"/>
        <v>32: (160, 82, 45, 255, Crop damage (grazing (stock)): 13049),</v>
      </c>
      <c r="O33" s="5" t="str">
        <f>VLOOKUP(Australia!B33,Impacts!$A$2:$B$80,2, FALSE)</f>
        <v>Loss of or harm to crops during or following a disturbance.</v>
      </c>
      <c r="P33" s="5" t="str">
        <f>VLOOKUP(E33,Pressures!$A$2:$B$145,2,FALSE)</f>
        <v>Repetitive consumption of herbaceous or woody vegetation by domesticated herbivores/omnivores.</v>
      </c>
      <c r="V33" s="29">
        <v>111111</v>
      </c>
      <c r="X33" s="29">
        <v>123123</v>
      </c>
      <c r="AU33" s="31">
        <v>11</v>
      </c>
      <c r="AV33" s="31">
        <v>22</v>
      </c>
      <c r="AW33" s="5">
        <v>-1</v>
      </c>
      <c r="AX33" s="5">
        <v>0</v>
      </c>
      <c r="AZ33" s="5">
        <v>1</v>
      </c>
      <c r="BA33" s="5">
        <v>2</v>
      </c>
      <c r="BB33" s="5">
        <v>3</v>
      </c>
      <c r="BE33" s="7">
        <v>111112</v>
      </c>
      <c r="CB33" s="45">
        <v>1012</v>
      </c>
      <c r="CC33" s="45">
        <v>1013</v>
      </c>
      <c r="CD33" s="45">
        <v>1015</v>
      </c>
      <c r="CE33" s="45">
        <v>1016</v>
      </c>
      <c r="CF33" s="45">
        <v>1213</v>
      </c>
      <c r="CG33" s="45">
        <v>1215</v>
      </c>
      <c r="CH33" s="46">
        <v>1216</v>
      </c>
      <c r="CI33" s="46">
        <v>1315</v>
      </c>
      <c r="CJ33" s="46">
        <v>1316</v>
      </c>
      <c r="CK33" s="46">
        <v>1516</v>
      </c>
      <c r="DK33" s="8"/>
      <c r="DL33" s="8"/>
      <c r="DM33" s="8"/>
      <c r="DN33" s="8"/>
      <c r="DO33" s="50"/>
      <c r="DP33" s="50"/>
      <c r="DQ33" s="50"/>
      <c r="DR33" s="50"/>
      <c r="DS33" s="50"/>
      <c r="DT33" s="50"/>
      <c r="DU33" s="50"/>
      <c r="DV33" s="50"/>
      <c r="DW33" s="50"/>
      <c r="DX33" s="50"/>
      <c r="DY33" s="50"/>
      <c r="DZ33" s="50"/>
      <c r="EA33" s="50"/>
      <c r="EB33" s="50"/>
      <c r="EC33" s="50"/>
      <c r="ED33" s="50"/>
      <c r="EE33" s="50"/>
      <c r="EF33" s="50"/>
      <c r="EG33" s="50"/>
      <c r="EH33" s="50"/>
      <c r="EI33" s="50"/>
      <c r="EJ33" s="50">
        <v>1</v>
      </c>
      <c r="EK33" s="50"/>
      <c r="EL33" s="50"/>
      <c r="EM33" s="50"/>
      <c r="EN33" s="50"/>
      <c r="EO33" s="50"/>
      <c r="EP33" s="50"/>
      <c r="EQ33" s="50"/>
      <c r="ER33" s="50"/>
      <c r="ET33" s="55">
        <f t="shared" si="2"/>
        <v>1</v>
      </c>
    </row>
    <row r="34" spans="1:150" s="5" customFormat="1" ht="16" customHeight="1" x14ac:dyDescent="0.2">
      <c r="A34" s="5">
        <v>13</v>
      </c>
      <c r="B34" s="8" t="s">
        <v>88</v>
      </c>
      <c r="C34" s="8" t="s">
        <v>45</v>
      </c>
      <c r="D34" s="5">
        <v>66</v>
      </c>
      <c r="E34" s="5" t="s">
        <v>46</v>
      </c>
      <c r="F34" s="21" t="s">
        <v>105</v>
      </c>
      <c r="G34" s="21">
        <v>33</v>
      </c>
      <c r="H34" s="5">
        <f t="shared" si="0"/>
        <v>13066</v>
      </c>
      <c r="I34" t="s">
        <v>1066</v>
      </c>
      <c r="J34">
        <v>184</v>
      </c>
      <c r="K34">
        <v>125</v>
      </c>
      <c r="L34">
        <v>73</v>
      </c>
      <c r="M34" s="6">
        <v>255</v>
      </c>
      <c r="N34" s="6" t="str">
        <f t="shared" si="1"/>
        <v>33: (184, 125, 73, 255, Crop damage (increased wind): 13066),</v>
      </c>
      <c r="O34" s="5" t="str">
        <f>VLOOKUP(Australia!B34,Impacts!$A$2:$B$80,2, FALSE)</f>
        <v>Loss of or harm to crops during or following a disturbance.</v>
      </c>
      <c r="P34" s="5" t="str">
        <f>VLOOKUP(E34,Pressures!$A$2:$B$145,2,FALSE)</f>
        <v>A higher velocity of air movement into an area associated with, for example, cyclones, hurricans, typhoons, tornados, thunderstorms, storms or ice storms.</v>
      </c>
      <c r="V34" s="29">
        <v>111111</v>
      </c>
      <c r="X34" s="29">
        <v>123123</v>
      </c>
      <c r="AU34" s="31">
        <v>11</v>
      </c>
      <c r="AV34" s="31">
        <v>22</v>
      </c>
      <c r="AW34" s="5">
        <v>-1</v>
      </c>
      <c r="AX34" s="5">
        <v>0</v>
      </c>
      <c r="AZ34" s="5">
        <v>1</v>
      </c>
      <c r="BA34" s="5">
        <v>2</v>
      </c>
      <c r="BB34" s="5">
        <v>3</v>
      </c>
      <c r="BD34" s="7">
        <v>111111</v>
      </c>
      <c r="CB34" s="45">
        <v>1012</v>
      </c>
      <c r="CC34" s="45">
        <v>1013</v>
      </c>
      <c r="CD34" s="45">
        <v>1015</v>
      </c>
      <c r="CE34" s="45">
        <v>1016</v>
      </c>
      <c r="CF34" s="45">
        <v>1213</v>
      </c>
      <c r="CG34" s="45">
        <v>1215</v>
      </c>
      <c r="CH34" s="46">
        <v>1216</v>
      </c>
      <c r="CI34" s="46">
        <v>1315</v>
      </c>
      <c r="CJ34" s="46">
        <v>1316</v>
      </c>
      <c r="CK34" s="46">
        <v>1516</v>
      </c>
      <c r="DK34" s="8"/>
      <c r="DL34" s="8"/>
      <c r="DM34" s="8"/>
      <c r="DN34" s="8"/>
      <c r="DO34" s="50"/>
      <c r="DP34" s="50"/>
      <c r="DQ34" s="50"/>
      <c r="DR34" s="50"/>
      <c r="DS34" s="50"/>
      <c r="DT34" s="50"/>
      <c r="DU34" s="50"/>
      <c r="DV34" s="50"/>
      <c r="DW34" s="50"/>
      <c r="DX34" s="50"/>
      <c r="DY34" s="50"/>
      <c r="DZ34" s="50"/>
      <c r="EA34" s="50"/>
      <c r="EB34" s="50"/>
      <c r="EC34" s="50">
        <v>1</v>
      </c>
      <c r="ED34" s="50"/>
      <c r="EE34" s="50"/>
      <c r="EF34" s="50"/>
      <c r="EG34" s="50"/>
      <c r="EH34" s="50"/>
      <c r="EI34" s="50"/>
      <c r="EJ34" s="50"/>
      <c r="EK34" s="50"/>
      <c r="EL34" s="50"/>
      <c r="EM34" s="50"/>
      <c r="EN34" s="50"/>
      <c r="EO34" s="50"/>
      <c r="EP34" s="50"/>
      <c r="EQ34" s="50"/>
      <c r="ER34" s="50"/>
      <c r="ET34" s="55">
        <f t="shared" si="2"/>
        <v>1</v>
      </c>
    </row>
    <row r="35" spans="1:150" s="5" customFormat="1" ht="16" customHeight="1" x14ac:dyDescent="0.2">
      <c r="A35" s="5">
        <v>13</v>
      </c>
      <c r="B35" s="8" t="s">
        <v>88</v>
      </c>
      <c r="C35" s="8" t="s">
        <v>106</v>
      </c>
      <c r="D35" s="5">
        <v>67</v>
      </c>
      <c r="E35" s="5" t="s">
        <v>107</v>
      </c>
      <c r="F35" s="21" t="s">
        <v>108</v>
      </c>
      <c r="G35" s="21">
        <v>34</v>
      </c>
      <c r="H35" s="5">
        <f t="shared" si="0"/>
        <v>13067</v>
      </c>
      <c r="I35" t="s">
        <v>1067</v>
      </c>
      <c r="J35">
        <v>255</v>
      </c>
      <c r="K35">
        <v>218</v>
      </c>
      <c r="L35">
        <v>185</v>
      </c>
      <c r="M35" s="6">
        <v>255</v>
      </c>
      <c r="N35" s="6" t="str">
        <f t="shared" si="1"/>
        <v>34: (255, 218, 185, 255, Crop damage (insect herbivory): 13067),</v>
      </c>
      <c r="O35" s="5" t="str">
        <f>VLOOKUP(Australia!B35,Impacts!$A$2:$B$80,2, FALSE)</f>
        <v>Loss of or harm to crops during or following a disturbance.</v>
      </c>
      <c r="P35" s="5" t="str">
        <f>VLOOKUP(E35,Pressures!$A$2:$B$145,2,FALSE)</f>
        <v>Increased presence of plant-consuming insects in an area.</v>
      </c>
      <c r="V35" s="29">
        <v>111111</v>
      </c>
      <c r="X35" s="29">
        <v>123123</v>
      </c>
      <c r="AU35" s="31">
        <v>11</v>
      </c>
      <c r="AV35" s="31">
        <v>22</v>
      </c>
      <c r="AW35" s="5">
        <v>1</v>
      </c>
      <c r="AX35" s="5">
        <v>0</v>
      </c>
      <c r="AZ35" s="5">
        <v>1</v>
      </c>
      <c r="BA35" s="5">
        <v>2</v>
      </c>
      <c r="BB35" s="5">
        <v>3</v>
      </c>
      <c r="BL35" s="7">
        <v>210216</v>
      </c>
      <c r="CB35" s="45">
        <v>1012</v>
      </c>
      <c r="CC35" s="45">
        <v>1013</v>
      </c>
      <c r="CD35" s="45">
        <v>1015</v>
      </c>
      <c r="CE35" s="45">
        <v>1016</v>
      </c>
      <c r="CF35" s="45">
        <v>1213</v>
      </c>
      <c r="CG35" s="45">
        <v>1215</v>
      </c>
      <c r="CH35" s="46">
        <v>1216</v>
      </c>
      <c r="CI35" s="46">
        <v>1315</v>
      </c>
      <c r="CJ35" s="46">
        <v>1316</v>
      </c>
      <c r="CK35" s="46">
        <v>1516</v>
      </c>
      <c r="DK35" s="8"/>
      <c r="DL35" s="8"/>
      <c r="DM35" s="8"/>
      <c r="DN35" s="8"/>
      <c r="DO35" s="50"/>
      <c r="DP35" s="50"/>
      <c r="DQ35" s="50"/>
      <c r="DR35" s="50"/>
      <c r="DS35" s="50"/>
      <c r="DT35" s="50"/>
      <c r="DU35" s="50"/>
      <c r="DV35" s="50"/>
      <c r="DW35" s="50"/>
      <c r="DX35" s="50"/>
      <c r="DY35" s="50"/>
      <c r="DZ35" s="50"/>
      <c r="EA35" s="50"/>
      <c r="EB35" s="50"/>
      <c r="EC35" s="50"/>
      <c r="ED35" s="50"/>
      <c r="EE35" s="50"/>
      <c r="EF35" s="50"/>
      <c r="EG35" s="50"/>
      <c r="EH35" s="50"/>
      <c r="EI35" s="50">
        <v>1</v>
      </c>
      <c r="EJ35" s="50"/>
      <c r="EK35" s="50"/>
      <c r="EL35" s="50"/>
      <c r="EM35" s="50"/>
      <c r="EN35" s="50"/>
      <c r="EO35" s="50">
        <v>1</v>
      </c>
      <c r="EP35" s="50"/>
      <c r="EQ35" s="50"/>
      <c r="ER35" s="50"/>
      <c r="ET35" s="55">
        <f t="shared" si="2"/>
        <v>2</v>
      </c>
    </row>
    <row r="36" spans="1:150" s="5" customFormat="1" ht="16" customHeight="1" x14ac:dyDescent="0.2">
      <c r="A36" s="5">
        <v>13</v>
      </c>
      <c r="B36" s="8" t="s">
        <v>88</v>
      </c>
      <c r="C36" s="8" t="s">
        <v>109</v>
      </c>
      <c r="D36" s="5">
        <v>120</v>
      </c>
      <c r="E36" s="5" t="s">
        <v>110</v>
      </c>
      <c r="F36" s="21" t="s">
        <v>111</v>
      </c>
      <c r="G36" s="21">
        <v>35</v>
      </c>
      <c r="H36" s="5">
        <f t="shared" si="0"/>
        <v>13120</v>
      </c>
      <c r="I36" t="s">
        <v>1068</v>
      </c>
      <c r="J36">
        <v>184</v>
      </c>
      <c r="K36">
        <v>115</v>
      </c>
      <c r="L36">
        <v>51</v>
      </c>
      <c r="M36" s="6">
        <v>255</v>
      </c>
      <c r="N36" s="6" t="str">
        <f t="shared" si="1"/>
        <v>35: (184, 115, 51, 255, Crop damage (strong winds): 13120),</v>
      </c>
      <c r="O36" s="5" t="str">
        <f>VLOOKUP(Australia!B36,Impacts!$A$2:$B$80,2, FALSE)</f>
        <v>Loss of or harm to crops during or following a disturbance.</v>
      </c>
      <c r="P36" s="5" t="str">
        <f>VLOOKUP(E36,Pressures!$A$2:$B$145,2,FALSE)</f>
        <v>A prolonged period of average wind speeds exceeding 40km/h during the day.</v>
      </c>
      <c r="V36" s="29">
        <v>111111</v>
      </c>
      <c r="X36" s="29">
        <v>123123</v>
      </c>
      <c r="AU36" s="31">
        <v>11</v>
      </c>
      <c r="AV36" s="31">
        <v>22</v>
      </c>
      <c r="AW36" s="5">
        <v>0</v>
      </c>
      <c r="AX36" s="5">
        <v>0</v>
      </c>
      <c r="AZ36" s="5">
        <v>1</v>
      </c>
      <c r="BA36" s="5">
        <v>2</v>
      </c>
      <c r="BB36" s="5">
        <v>3</v>
      </c>
      <c r="BD36" s="7">
        <v>111111</v>
      </c>
      <c r="CB36" s="45">
        <v>1012</v>
      </c>
      <c r="CC36" s="45">
        <v>1013</v>
      </c>
      <c r="CD36" s="45">
        <v>1015</v>
      </c>
      <c r="CE36" s="45">
        <v>1016</v>
      </c>
      <c r="CF36" s="45">
        <v>1213</v>
      </c>
      <c r="CG36" s="45">
        <v>1215</v>
      </c>
      <c r="CH36" s="46">
        <v>1216</v>
      </c>
      <c r="CI36" s="46">
        <v>1315</v>
      </c>
      <c r="CJ36" s="46">
        <v>1316</v>
      </c>
      <c r="CK36" s="46">
        <v>1516</v>
      </c>
      <c r="DK36" s="8"/>
      <c r="DL36" s="8"/>
      <c r="DM36" s="8"/>
      <c r="DN36" s="8"/>
      <c r="DO36" s="50"/>
      <c r="DP36" s="50"/>
      <c r="DQ36" s="50"/>
      <c r="DR36" s="50"/>
      <c r="DS36" s="50"/>
      <c r="DT36" s="50"/>
      <c r="DU36" s="50"/>
      <c r="DV36" s="50"/>
      <c r="DW36" s="50"/>
      <c r="DX36" s="50"/>
      <c r="DY36" s="50"/>
      <c r="DZ36" s="50"/>
      <c r="EA36" s="50"/>
      <c r="EB36" s="50"/>
      <c r="EC36" s="50">
        <v>1</v>
      </c>
      <c r="ED36" s="50">
        <v>1</v>
      </c>
      <c r="EE36" s="50"/>
      <c r="EF36" s="50"/>
      <c r="EG36" s="50"/>
      <c r="EH36" s="50"/>
      <c r="EI36" s="50"/>
      <c r="EJ36" s="50"/>
      <c r="EK36" s="50"/>
      <c r="EL36" s="50"/>
      <c r="EM36" s="50"/>
      <c r="EN36" s="50"/>
      <c r="EO36" s="50"/>
      <c r="EP36" s="50"/>
      <c r="EQ36" s="50"/>
      <c r="ER36" s="50"/>
      <c r="ET36" s="55">
        <f t="shared" si="2"/>
        <v>2</v>
      </c>
    </row>
    <row r="37" spans="1:150" s="5" customFormat="1" ht="16" customHeight="1" x14ac:dyDescent="0.2">
      <c r="A37" s="5">
        <v>14</v>
      </c>
      <c r="B37" s="8" t="s">
        <v>112</v>
      </c>
      <c r="C37" s="8" t="s">
        <v>113</v>
      </c>
      <c r="D37" s="5">
        <v>90</v>
      </c>
      <c r="E37" s="5" t="s">
        <v>114</v>
      </c>
      <c r="F37" s="21" t="s">
        <v>115</v>
      </c>
      <c r="G37" s="21">
        <v>36</v>
      </c>
      <c r="H37" s="5">
        <f t="shared" si="0"/>
        <v>14090</v>
      </c>
      <c r="I37" t="s">
        <v>1069</v>
      </c>
      <c r="J37">
        <v>167</v>
      </c>
      <c r="K37">
        <v>252</v>
      </c>
      <c r="L37">
        <v>0</v>
      </c>
      <c r="M37" s="6">
        <v>255</v>
      </c>
      <c r="N37" s="6" t="str">
        <f t="shared" si="1"/>
        <v>36: (167, 252, 0, 255, Crop establishment (planting): 14090),</v>
      </c>
      <c r="O37" s="5" t="str">
        <f>VLOOKUP(Australia!B37,Impacts!$A$2:$B$80,2, FALSE)</f>
        <v>Planting of crops in an area on ploughed land.</v>
      </c>
      <c r="P37" s="5" t="str">
        <f>VLOOKUP(E37,Pressures!$A$2:$B$145,2,FALSE)</f>
        <v>Placement of seeds, seedlings or saplings into the ground so they can grow, leading to an increase in vegetation amount or a change in plant species composition.</v>
      </c>
      <c r="V37" s="29">
        <v>111111</v>
      </c>
      <c r="X37" s="29">
        <v>123123</v>
      </c>
      <c r="AU37" s="31">
        <v>1</v>
      </c>
      <c r="AV37" s="31">
        <v>2</v>
      </c>
      <c r="AW37" s="5">
        <v>0</v>
      </c>
      <c r="AX37" s="5">
        <v>0</v>
      </c>
      <c r="AZ37" s="5">
        <v>1</v>
      </c>
      <c r="BA37" s="5">
        <v>2</v>
      </c>
      <c r="BB37" s="5">
        <v>3</v>
      </c>
      <c r="BE37" s="7">
        <v>112216</v>
      </c>
      <c r="CB37" s="45">
        <v>1615</v>
      </c>
      <c r="CC37" s="45">
        <v>1613</v>
      </c>
      <c r="CD37" s="45">
        <v>1612</v>
      </c>
      <c r="CE37" s="45">
        <v>1610</v>
      </c>
      <c r="CF37" s="45">
        <v>1513</v>
      </c>
      <c r="CG37" s="45">
        <v>1512</v>
      </c>
      <c r="CH37" s="45">
        <v>1510</v>
      </c>
      <c r="CI37" s="45">
        <v>1312</v>
      </c>
      <c r="CJ37" s="45">
        <v>1310</v>
      </c>
      <c r="DK37" s="8"/>
      <c r="DL37" s="8"/>
      <c r="DM37" s="8"/>
      <c r="DN37" s="8"/>
      <c r="DO37" s="50"/>
      <c r="DP37" s="50"/>
      <c r="DQ37" s="50"/>
      <c r="DR37" s="50"/>
      <c r="DS37" s="50"/>
      <c r="DT37" s="50"/>
      <c r="DU37" s="50"/>
      <c r="DV37" s="50"/>
      <c r="DW37" s="50"/>
      <c r="DX37" s="50"/>
      <c r="DY37" s="50"/>
      <c r="DZ37" s="50"/>
      <c r="EA37" s="50"/>
      <c r="EB37" s="50"/>
      <c r="EC37" s="50"/>
      <c r="ED37" s="50"/>
      <c r="EE37" s="50"/>
      <c r="EF37" s="50"/>
      <c r="EG37" s="50"/>
      <c r="EH37" s="50"/>
      <c r="EI37" s="50"/>
      <c r="EJ37" s="50"/>
      <c r="EK37" s="50"/>
      <c r="EL37" s="50"/>
      <c r="EM37" s="50">
        <v>1</v>
      </c>
      <c r="EN37" s="50"/>
      <c r="EO37" s="50"/>
      <c r="EP37" s="50"/>
      <c r="EQ37" s="50"/>
      <c r="ER37" s="50"/>
      <c r="ET37" s="55">
        <f t="shared" si="2"/>
        <v>1</v>
      </c>
    </row>
    <row r="38" spans="1:150" s="5" customFormat="1" ht="16" customHeight="1" x14ac:dyDescent="0.2">
      <c r="A38" s="5">
        <v>15</v>
      </c>
      <c r="B38" s="39" t="s">
        <v>116</v>
      </c>
      <c r="C38" s="39" t="s">
        <v>117</v>
      </c>
      <c r="D38" s="5">
        <v>3</v>
      </c>
      <c r="E38" s="5" t="s">
        <v>118</v>
      </c>
      <c r="F38" s="21" t="s">
        <v>119</v>
      </c>
      <c r="G38" s="21">
        <v>37</v>
      </c>
      <c r="H38" s="5">
        <f t="shared" si="0"/>
        <v>15003</v>
      </c>
      <c r="I38" t="s">
        <v>1070</v>
      </c>
      <c r="J38">
        <v>255</v>
      </c>
      <c r="K38">
        <v>240</v>
      </c>
      <c r="L38">
        <v>0</v>
      </c>
      <c r="M38" s="6">
        <v>255</v>
      </c>
      <c r="N38" s="6" t="str">
        <f t="shared" si="1"/>
        <v>37: (255, 240, 0, 255, Cropland gain (agricultural expansion): 15003),</v>
      </c>
      <c r="O38" s="5" t="str">
        <f>VLOOKUP(Australia!B38,Impacts!$A$2:$B$80,2, FALSE)</f>
        <v>Increase of total cropping area or total area sown.</v>
      </c>
      <c r="P38" s="5" t="str">
        <f>VLOOKUP(E38,Pressures!$A$2:$B$145,2,FALSE)</f>
        <v>Increase in area of arable lands and pasture used for food production.</v>
      </c>
      <c r="AE38" s="32">
        <v>112111</v>
      </c>
      <c r="AF38" s="32">
        <v>112123</v>
      </c>
      <c r="AG38" s="32">
        <v>124111</v>
      </c>
      <c r="AH38" s="32">
        <v>124123</v>
      </c>
      <c r="AU38" s="41">
        <v>1</v>
      </c>
      <c r="AV38" s="41">
        <v>2</v>
      </c>
      <c r="AW38" s="39">
        <v>0</v>
      </c>
      <c r="AX38" s="39">
        <v>0</v>
      </c>
      <c r="AY38" s="39"/>
      <c r="AZ38" s="39">
        <v>1</v>
      </c>
      <c r="BA38" s="39">
        <v>2</v>
      </c>
      <c r="BB38" s="39">
        <v>3</v>
      </c>
      <c r="BC38" s="39"/>
      <c r="BD38" s="39"/>
      <c r="BE38" s="39"/>
      <c r="BF38" s="39"/>
      <c r="BG38" s="39"/>
      <c r="BH38" s="39"/>
      <c r="BI38" s="42">
        <v>216216</v>
      </c>
      <c r="BJ38" s="39"/>
      <c r="BK38" s="39"/>
      <c r="BL38" s="39"/>
      <c r="BM38" s="39"/>
      <c r="BN38" s="39"/>
      <c r="BO38" s="39"/>
      <c r="BP38" s="39"/>
      <c r="BQ38" s="39"/>
      <c r="BR38" s="39"/>
      <c r="BS38" s="39"/>
      <c r="BT38" s="39"/>
      <c r="BU38" s="39"/>
      <c r="BV38" s="39"/>
      <c r="BW38" s="39"/>
      <c r="BX38" s="39"/>
      <c r="BY38" s="39"/>
      <c r="BZ38" s="41">
        <v>12</v>
      </c>
      <c r="CA38" s="41">
        <v>21</v>
      </c>
      <c r="DK38" s="8"/>
      <c r="DL38" s="8"/>
      <c r="DM38" s="8"/>
      <c r="DN38" s="8"/>
      <c r="DO38" s="50"/>
      <c r="DP38" s="50"/>
      <c r="DQ38" s="50"/>
      <c r="DR38" s="50"/>
      <c r="DS38" s="50"/>
      <c r="DT38" s="50"/>
      <c r="DU38" s="50"/>
      <c r="DV38" s="50"/>
      <c r="DW38" s="50"/>
      <c r="DX38" s="50"/>
      <c r="DY38" s="50"/>
      <c r="DZ38" s="50"/>
      <c r="EA38" s="50"/>
      <c r="EB38" s="50"/>
      <c r="EC38" s="50"/>
      <c r="ED38" s="50"/>
      <c r="EE38" s="50"/>
      <c r="EF38" s="50"/>
      <c r="EG38" s="50"/>
      <c r="EH38" s="50"/>
      <c r="EI38" s="50"/>
      <c r="EJ38" s="50"/>
      <c r="EK38" s="50"/>
      <c r="EL38" s="50"/>
      <c r="EM38" s="50">
        <v>1</v>
      </c>
      <c r="EN38" s="50"/>
      <c r="EO38" s="50"/>
      <c r="EP38" s="50"/>
      <c r="EQ38" s="50"/>
      <c r="ER38" s="50"/>
      <c r="ET38" s="55">
        <f t="shared" si="2"/>
        <v>1</v>
      </c>
    </row>
    <row r="39" spans="1:150" s="5" customFormat="1" ht="16" customHeight="1" x14ac:dyDescent="0.2">
      <c r="A39" s="5">
        <v>15</v>
      </c>
      <c r="B39" s="39" t="s">
        <v>116</v>
      </c>
      <c r="C39" s="39" t="s">
        <v>120</v>
      </c>
      <c r="D39" s="5">
        <v>42</v>
      </c>
      <c r="E39" s="5" t="s">
        <v>121</v>
      </c>
      <c r="F39" s="21" t="s">
        <v>122</v>
      </c>
      <c r="G39" s="21">
        <v>38</v>
      </c>
      <c r="H39" s="5">
        <f t="shared" si="0"/>
        <v>15042</v>
      </c>
      <c r="I39" t="s">
        <v>1071</v>
      </c>
      <c r="J39">
        <v>255</v>
      </c>
      <c r="K39">
        <v>182</v>
      </c>
      <c r="L39">
        <v>30</v>
      </c>
      <c r="M39" s="6">
        <v>255</v>
      </c>
      <c r="N39" s="6" t="str">
        <f t="shared" si="1"/>
        <v>38: (255, 182, 30, 255, Cropland gain (farmland creation): 15042),</v>
      </c>
      <c r="O39" s="5" t="str">
        <f>VLOOKUP(Australia!B39,Impacts!$A$2:$B$80,2, FALSE)</f>
        <v>Increase of total cropping area or total area sown.</v>
      </c>
      <c r="P39" s="5" t="str">
        <f>VLOOKUP(E39,Pressures!$A$2:$B$145,2,FALSE)</f>
        <v>Conversion of land to commercial, subsistence, intensive or extensive farming.</v>
      </c>
      <c r="AE39" s="32">
        <v>112111</v>
      </c>
      <c r="AF39" s="32">
        <v>112123</v>
      </c>
      <c r="AG39" s="32">
        <v>124111</v>
      </c>
      <c r="AH39" s="32">
        <v>124123</v>
      </c>
      <c r="AU39" s="41">
        <v>1</v>
      </c>
      <c r="AV39" s="41">
        <v>2</v>
      </c>
      <c r="AW39" s="39">
        <v>0</v>
      </c>
      <c r="AX39" s="39">
        <v>0</v>
      </c>
      <c r="AY39" s="39"/>
      <c r="AZ39" s="39">
        <v>1</v>
      </c>
      <c r="BA39" s="39">
        <v>2</v>
      </c>
      <c r="BB39" s="39">
        <v>3</v>
      </c>
      <c r="BC39" s="39"/>
      <c r="BD39" s="42">
        <v>111111</v>
      </c>
      <c r="BE39" s="42">
        <v>112112</v>
      </c>
      <c r="BF39" s="42">
        <v>123123</v>
      </c>
      <c r="BG39" s="42">
        <v>124124</v>
      </c>
      <c r="BH39" s="42">
        <v>215215</v>
      </c>
      <c r="BI39" s="42">
        <v>216216</v>
      </c>
      <c r="BJ39" s="42">
        <v>227227</v>
      </c>
      <c r="BK39" s="42">
        <v>228228</v>
      </c>
      <c r="BL39" s="42">
        <v>220220</v>
      </c>
      <c r="BM39" s="39"/>
      <c r="BN39" s="39"/>
      <c r="BO39" s="39"/>
      <c r="BP39" s="39"/>
      <c r="BQ39" s="39"/>
      <c r="BR39" s="39"/>
      <c r="BS39" s="39"/>
      <c r="BT39" s="39"/>
      <c r="BU39" s="39"/>
      <c r="BV39" s="39"/>
      <c r="BW39" s="39"/>
      <c r="BX39" s="39"/>
      <c r="BY39" s="39"/>
      <c r="BZ39" s="41">
        <v>12</v>
      </c>
      <c r="CA39" s="41">
        <v>21</v>
      </c>
      <c r="DK39" s="8"/>
      <c r="DL39" s="8"/>
      <c r="DM39" s="8"/>
      <c r="DN39" s="8"/>
      <c r="DO39" s="50"/>
      <c r="DP39" s="50"/>
      <c r="DQ39" s="50"/>
      <c r="DR39" s="50"/>
      <c r="DS39" s="50"/>
      <c r="DT39" s="50"/>
      <c r="DU39" s="50"/>
      <c r="DV39" s="50"/>
      <c r="DW39" s="50"/>
      <c r="DX39" s="50"/>
      <c r="DY39" s="50"/>
      <c r="DZ39" s="50"/>
      <c r="EA39" s="50"/>
      <c r="EB39" s="50"/>
      <c r="EC39" s="50"/>
      <c r="ED39" s="50"/>
      <c r="EE39" s="50"/>
      <c r="EF39" s="50"/>
      <c r="EG39" s="50"/>
      <c r="EH39" s="50"/>
      <c r="EI39" s="50"/>
      <c r="EJ39" s="50"/>
      <c r="EK39" s="50"/>
      <c r="EL39" s="50"/>
      <c r="EM39" s="50">
        <v>1</v>
      </c>
      <c r="EN39" s="50"/>
      <c r="EO39" s="50"/>
      <c r="EP39" s="50"/>
      <c r="EQ39" s="50"/>
      <c r="ER39" s="50"/>
      <c r="ET39" s="55">
        <f t="shared" si="2"/>
        <v>1</v>
      </c>
    </row>
    <row r="40" spans="1:150" s="5" customFormat="1" ht="16" customHeight="1" x14ac:dyDescent="0.2">
      <c r="A40" s="5">
        <v>16</v>
      </c>
      <c r="B40" s="39" t="s">
        <v>123</v>
      </c>
      <c r="C40" s="39" t="s">
        <v>124</v>
      </c>
      <c r="D40" s="5">
        <v>4</v>
      </c>
      <c r="E40" s="5" t="s">
        <v>125</v>
      </c>
      <c r="F40" s="21" t="s">
        <v>126</v>
      </c>
      <c r="G40" s="21">
        <v>39</v>
      </c>
      <c r="H40" s="5">
        <f t="shared" si="0"/>
        <v>16004</v>
      </c>
      <c r="I40" t="s">
        <v>1072</v>
      </c>
      <c r="J40">
        <v>123</v>
      </c>
      <c r="K40">
        <v>63</v>
      </c>
      <c r="L40">
        <v>0</v>
      </c>
      <c r="M40" s="6">
        <v>255</v>
      </c>
      <c r="N40" s="6" t="str">
        <f t="shared" si="1"/>
        <v>39: (123, 63, 0, 255, Cropland loss (agricultural loss): 16004),</v>
      </c>
      <c r="O40" s="5" t="str">
        <f>VLOOKUP(Australia!B40,Impacts!$A$2:$B$80,2, FALSE)</f>
        <v>Decrease of total cropping area or total area sown.</v>
      </c>
      <c r="P40" s="5" t="str">
        <f>VLOOKUP(E40,Pressures!$A$2:$B$145,2,FALSE)</f>
        <v>Decrease in area of arable lands and pasture used for food production.</v>
      </c>
      <c r="AE40" s="32">
        <v>111112</v>
      </c>
      <c r="AF40" s="32">
        <v>111124</v>
      </c>
      <c r="AG40" s="32">
        <v>123112</v>
      </c>
      <c r="AH40" s="32">
        <v>123124</v>
      </c>
      <c r="AW40" s="5">
        <v>-1</v>
      </c>
      <c r="AX40" s="5">
        <v>0</v>
      </c>
      <c r="AZ40" s="5">
        <v>1</v>
      </c>
      <c r="BA40" s="5">
        <v>2</v>
      </c>
      <c r="BB40" s="5">
        <v>3</v>
      </c>
      <c r="BD40" s="7">
        <v>111111</v>
      </c>
      <c r="BE40" s="7">
        <v>112112</v>
      </c>
      <c r="BF40" s="7">
        <v>123123</v>
      </c>
      <c r="BG40" s="7">
        <v>124124</v>
      </c>
      <c r="BH40" s="7">
        <v>215215</v>
      </c>
      <c r="BI40" s="7">
        <v>216216</v>
      </c>
      <c r="BJ40" s="7">
        <v>227227</v>
      </c>
      <c r="BK40" s="7">
        <v>228228</v>
      </c>
      <c r="BL40" s="7">
        <v>220220</v>
      </c>
      <c r="DK40" s="8"/>
      <c r="DL40" s="8"/>
      <c r="DM40" s="8"/>
      <c r="DN40" s="8"/>
      <c r="DO40" s="50"/>
      <c r="DP40" s="50"/>
      <c r="DQ40" s="50"/>
      <c r="DR40" s="50"/>
      <c r="DS40" s="50"/>
      <c r="DT40" s="50"/>
      <c r="DU40" s="50"/>
      <c r="DV40" s="50"/>
      <c r="DW40" s="50"/>
      <c r="DX40" s="50"/>
      <c r="DY40" s="50"/>
      <c r="DZ40" s="50"/>
      <c r="EA40" s="50"/>
      <c r="EB40" s="50"/>
      <c r="EC40" s="50"/>
      <c r="ED40" s="50"/>
      <c r="EE40" s="50"/>
      <c r="EF40" s="50"/>
      <c r="EG40" s="50"/>
      <c r="EH40" s="50"/>
      <c r="EI40" s="50"/>
      <c r="EJ40" s="50"/>
      <c r="EK40" s="50"/>
      <c r="EL40" s="50"/>
      <c r="EM40" s="50">
        <v>1</v>
      </c>
      <c r="EN40" s="50"/>
      <c r="EO40" s="50"/>
      <c r="EP40" s="50"/>
      <c r="EQ40" s="50"/>
      <c r="ER40" s="50"/>
      <c r="ET40" s="55">
        <f t="shared" si="2"/>
        <v>1</v>
      </c>
    </row>
    <row r="41" spans="1:150" s="5" customFormat="1" ht="16" customHeight="1" x14ac:dyDescent="0.2">
      <c r="A41" s="5">
        <v>16</v>
      </c>
      <c r="B41" s="39" t="s">
        <v>123</v>
      </c>
      <c r="C41" s="39" t="s">
        <v>127</v>
      </c>
      <c r="D41" s="5">
        <v>7</v>
      </c>
      <c r="E41" s="5" t="s">
        <v>128</v>
      </c>
      <c r="F41" s="21" t="s">
        <v>129</v>
      </c>
      <c r="G41" s="21">
        <v>40</v>
      </c>
      <c r="H41" s="5">
        <f t="shared" si="0"/>
        <v>16007</v>
      </c>
      <c r="I41" t="s">
        <v>1073</v>
      </c>
      <c r="J41">
        <v>88</v>
      </c>
      <c r="K41">
        <v>41</v>
      </c>
      <c r="L41">
        <v>0</v>
      </c>
      <c r="M41" s="6">
        <v>255</v>
      </c>
      <c r="N41" s="6" t="str">
        <f t="shared" si="1"/>
        <v>40: (88, 41, 0, 255, Cropland loss (animal stock change): 16007),</v>
      </c>
      <c r="O41" s="5" t="str">
        <f>VLOOKUP(Australia!B41,Impacts!$A$2:$B$80,2, FALSE)</f>
        <v>Decrease of total cropping area or total area sown.</v>
      </c>
      <c r="P41" s="5" t="str">
        <f>VLOOKUP(E41,Pressures!$A$2:$B$145,2,FALSE)</f>
        <v>A change in the type of animal(s) obtaining food from an area.</v>
      </c>
      <c r="AE41" s="32">
        <v>111112</v>
      </c>
      <c r="AF41" s="32">
        <v>111124</v>
      </c>
      <c r="AG41" s="32">
        <v>123112</v>
      </c>
      <c r="AH41" s="32">
        <v>123124</v>
      </c>
      <c r="AW41" s="5">
        <v>0</v>
      </c>
      <c r="AX41" s="5">
        <v>0</v>
      </c>
      <c r="AZ41" s="5">
        <v>1</v>
      </c>
      <c r="BA41" s="5">
        <v>2</v>
      </c>
      <c r="BB41" s="5">
        <v>3</v>
      </c>
      <c r="BD41" s="7">
        <v>111215</v>
      </c>
      <c r="BE41" s="7">
        <v>112215</v>
      </c>
      <c r="BF41" s="7">
        <v>123215</v>
      </c>
      <c r="BG41" s="7">
        <v>124215</v>
      </c>
      <c r="BH41" s="7">
        <v>215215</v>
      </c>
      <c r="BI41" s="7">
        <v>216216</v>
      </c>
      <c r="BL41" s="7">
        <v>220215</v>
      </c>
      <c r="DK41" s="8"/>
      <c r="DL41" s="8"/>
      <c r="DM41" s="8"/>
      <c r="DN41" s="8"/>
      <c r="DO41" s="50"/>
      <c r="DP41" s="50"/>
      <c r="DQ41" s="50"/>
      <c r="DR41" s="50"/>
      <c r="DS41" s="50"/>
      <c r="DT41" s="50"/>
      <c r="DU41" s="50"/>
      <c r="DV41" s="50"/>
      <c r="DW41" s="50"/>
      <c r="DX41" s="50"/>
      <c r="DY41" s="50"/>
      <c r="DZ41" s="50"/>
      <c r="EA41" s="50"/>
      <c r="EB41" s="50"/>
      <c r="EC41" s="50"/>
      <c r="ED41" s="50"/>
      <c r="EE41" s="50"/>
      <c r="EF41" s="50"/>
      <c r="EG41" s="50"/>
      <c r="EH41" s="50"/>
      <c r="EI41" s="50"/>
      <c r="EJ41" s="50">
        <v>1</v>
      </c>
      <c r="EK41" s="50"/>
      <c r="EL41" s="50"/>
      <c r="EM41" s="50"/>
      <c r="EN41" s="50"/>
      <c r="EO41" s="50"/>
      <c r="EP41" s="50"/>
      <c r="EQ41" s="50"/>
      <c r="ER41" s="50"/>
      <c r="ET41" s="55">
        <f t="shared" si="2"/>
        <v>1</v>
      </c>
    </row>
    <row r="42" spans="1:150" s="5" customFormat="1" ht="16" customHeight="1" x14ac:dyDescent="0.2">
      <c r="A42" s="5">
        <v>16</v>
      </c>
      <c r="B42" s="39" t="s">
        <v>123</v>
      </c>
      <c r="C42" s="39" t="s">
        <v>130</v>
      </c>
      <c r="D42" s="5">
        <v>40</v>
      </c>
      <c r="E42" s="5" t="s">
        <v>131</v>
      </c>
      <c r="F42" s="21" t="s">
        <v>132</v>
      </c>
      <c r="G42" s="21">
        <v>41</v>
      </c>
      <c r="H42" s="5">
        <f t="shared" si="0"/>
        <v>16040</v>
      </c>
      <c r="I42" t="s">
        <v>1074</v>
      </c>
      <c r="J42">
        <v>204</v>
      </c>
      <c r="K42">
        <v>119</v>
      </c>
      <c r="L42">
        <v>34</v>
      </c>
      <c r="M42" s="6">
        <v>255</v>
      </c>
      <c r="N42" s="6" t="str">
        <f t="shared" si="1"/>
        <v>41: (204, 119, 34, 255, Cropland loss (fallowing): 16040),</v>
      </c>
      <c r="O42" s="5" t="str">
        <f>VLOOKUP(Australia!B42,Impacts!$A$2:$B$80,2, FALSE)</f>
        <v>Decrease of total cropping area or total area sown.</v>
      </c>
      <c r="P42" s="5" t="str">
        <f>VLOOKUP(E42,Pressures!$A$2:$B$145,2,FALSE)</f>
        <v>A farming technique whereby a field is left unoccupied by crops during an entire growing period or part of it ..</v>
      </c>
      <c r="V42" s="5" t="s">
        <v>713</v>
      </c>
      <c r="AE42" s="32">
        <v>111112</v>
      </c>
      <c r="AF42" s="32">
        <v>111124</v>
      </c>
      <c r="AG42" s="32">
        <v>123112</v>
      </c>
      <c r="AH42" s="32">
        <v>123124</v>
      </c>
      <c r="AW42" s="5">
        <v>0</v>
      </c>
      <c r="AX42" s="5">
        <v>0</v>
      </c>
      <c r="AZ42" s="5">
        <v>1</v>
      </c>
      <c r="BA42" s="5">
        <v>2</v>
      </c>
      <c r="BB42" s="5">
        <v>3</v>
      </c>
      <c r="BD42" s="7">
        <v>111111</v>
      </c>
      <c r="BE42" s="7">
        <v>112112</v>
      </c>
      <c r="BF42" s="7">
        <v>123123</v>
      </c>
      <c r="BG42" s="7">
        <v>124124</v>
      </c>
      <c r="BH42" s="7">
        <v>215215</v>
      </c>
      <c r="BI42" s="7">
        <v>216216</v>
      </c>
      <c r="DK42" s="8"/>
      <c r="DL42" s="8"/>
      <c r="DM42" s="8"/>
      <c r="DN42" s="8"/>
      <c r="DO42" s="50"/>
      <c r="DP42" s="50"/>
      <c r="DQ42" s="50"/>
      <c r="DR42" s="50"/>
      <c r="DS42" s="50"/>
      <c r="DT42" s="50"/>
      <c r="DU42" s="50"/>
      <c r="DV42" s="50"/>
      <c r="DW42" s="50"/>
      <c r="DX42" s="50"/>
      <c r="DY42" s="50"/>
      <c r="DZ42" s="50"/>
      <c r="EA42" s="50"/>
      <c r="EB42" s="50"/>
      <c r="EC42" s="50"/>
      <c r="ED42" s="50"/>
      <c r="EE42" s="50"/>
      <c r="EF42" s="50"/>
      <c r="EG42" s="50"/>
      <c r="EH42" s="50"/>
      <c r="EI42" s="50"/>
      <c r="EJ42" s="50"/>
      <c r="EK42" s="50"/>
      <c r="EL42" s="50"/>
      <c r="EM42" s="50">
        <v>1</v>
      </c>
      <c r="EN42" s="50"/>
      <c r="EO42" s="50"/>
      <c r="EP42" s="50"/>
      <c r="EQ42" s="50"/>
      <c r="ER42" s="50"/>
      <c r="ET42" s="55">
        <f t="shared" si="2"/>
        <v>1</v>
      </c>
    </row>
    <row r="43" spans="1:150" s="5" customFormat="1" ht="16" customHeight="1" x14ac:dyDescent="0.2">
      <c r="A43" s="5">
        <v>16</v>
      </c>
      <c r="B43" s="39" t="s">
        <v>123</v>
      </c>
      <c r="C43" s="39" t="s">
        <v>133</v>
      </c>
      <c r="D43" s="5">
        <v>41</v>
      </c>
      <c r="E43" s="5" t="s">
        <v>134</v>
      </c>
      <c r="F43" s="21" t="s">
        <v>135</v>
      </c>
      <c r="G43" s="21">
        <v>42</v>
      </c>
      <c r="H43" s="5">
        <f t="shared" si="0"/>
        <v>16041</v>
      </c>
      <c r="I43" t="s">
        <v>1075</v>
      </c>
      <c r="J43">
        <v>138</v>
      </c>
      <c r="K43">
        <v>121</v>
      </c>
      <c r="L43">
        <v>93</v>
      </c>
      <c r="M43" s="6">
        <v>255</v>
      </c>
      <c r="N43" s="6" t="str">
        <f t="shared" si="1"/>
        <v>42: (138, 121, 93, 255, Cropland loss (farmland abandonment): 16041),</v>
      </c>
      <c r="O43" s="5" t="str">
        <f>VLOOKUP(Australia!B43,Impacts!$A$2:$B$80,2, FALSE)</f>
        <v>Decrease of total cropping area or total area sown.</v>
      </c>
      <c r="P43" s="5" t="str">
        <f>VLOOKUP(E43,Pressures!$A$2:$B$145,2,FALSE)</f>
        <v>The cessation of agricultural activities on a given surface of land.</v>
      </c>
      <c r="AE43" s="33">
        <v>111112</v>
      </c>
      <c r="AF43" s="32">
        <v>111124</v>
      </c>
      <c r="AG43" s="32">
        <v>123112</v>
      </c>
      <c r="AH43" s="32">
        <v>123124</v>
      </c>
      <c r="AW43" s="5">
        <v>0</v>
      </c>
      <c r="AX43" s="5">
        <v>0</v>
      </c>
      <c r="AZ43" s="5">
        <v>1</v>
      </c>
      <c r="BA43" s="5">
        <v>2</v>
      </c>
      <c r="BB43" s="5">
        <v>3</v>
      </c>
      <c r="BD43" s="7">
        <v>112215</v>
      </c>
      <c r="BE43" s="7">
        <v>112215</v>
      </c>
      <c r="BF43" s="7">
        <v>123215</v>
      </c>
      <c r="BG43" s="7">
        <v>124215</v>
      </c>
      <c r="BH43" s="7">
        <v>215215</v>
      </c>
      <c r="BI43" s="7">
        <v>216215</v>
      </c>
      <c r="BL43" s="7">
        <v>220215</v>
      </c>
      <c r="DK43" s="8"/>
      <c r="DL43" s="8"/>
      <c r="DM43" s="8"/>
      <c r="DN43" s="8"/>
      <c r="DO43" s="50"/>
      <c r="DP43" s="50"/>
      <c r="DQ43" s="50"/>
      <c r="DR43" s="50"/>
      <c r="DS43" s="50"/>
      <c r="DT43" s="50"/>
      <c r="DU43" s="50"/>
      <c r="DV43" s="50"/>
      <c r="DW43" s="50"/>
      <c r="DX43" s="50"/>
      <c r="DY43" s="50"/>
      <c r="DZ43" s="50"/>
      <c r="EA43" s="50"/>
      <c r="EB43" s="50"/>
      <c r="EC43" s="50"/>
      <c r="ED43" s="50"/>
      <c r="EE43" s="50"/>
      <c r="EF43" s="50"/>
      <c r="EG43" s="50"/>
      <c r="EH43" s="50"/>
      <c r="EI43" s="50"/>
      <c r="EJ43" s="50"/>
      <c r="EK43" s="50"/>
      <c r="EL43" s="50"/>
      <c r="EM43" s="50">
        <v>1</v>
      </c>
      <c r="EN43" s="50"/>
      <c r="EO43" s="50"/>
      <c r="EP43" s="50"/>
      <c r="EQ43" s="50"/>
      <c r="ER43" s="50"/>
      <c r="ET43" s="55">
        <f t="shared" si="2"/>
        <v>1</v>
      </c>
    </row>
    <row r="44" spans="1:150" s="5" customFormat="1" ht="16" customHeight="1" x14ac:dyDescent="0.2">
      <c r="A44" s="5">
        <v>16</v>
      </c>
      <c r="B44" s="8" t="s">
        <v>123</v>
      </c>
      <c r="C44" s="39" t="s">
        <v>136</v>
      </c>
      <c r="D44" s="5">
        <v>58</v>
      </c>
      <c r="E44" s="5" t="s">
        <v>137</v>
      </c>
      <c r="F44" s="21" t="s">
        <v>138</v>
      </c>
      <c r="G44" s="21">
        <v>43</v>
      </c>
      <c r="H44" s="5">
        <f t="shared" si="0"/>
        <v>16058</v>
      </c>
      <c r="I44" t="s">
        <v>1076</v>
      </c>
      <c r="J44">
        <v>245</v>
      </c>
      <c r="K44">
        <v>222</v>
      </c>
      <c r="L44">
        <v>179</v>
      </c>
      <c r="M44" s="6">
        <v>255</v>
      </c>
      <c r="N44" s="6" t="str">
        <f t="shared" si="1"/>
        <v>43: (245, 222, 179, 255, Cropland loss (idle or fallow in rotation): 16058),</v>
      </c>
      <c r="O44" s="5" t="str">
        <f>VLOOKUP(Australia!B44,Impacts!$A$2:$B$80,2, FALSE)</f>
        <v>Decrease of total cropping area or total area sown.</v>
      </c>
      <c r="P44" s="5" t="str">
        <f>VLOOKUP(E44,Pressures!$A$2:$B$145,2,FALSE)</f>
        <v>A crop sequence that includes idle, diverted, or fallowed land in 1 or more of the previous years.</v>
      </c>
      <c r="V44" s="29">
        <v>111111</v>
      </c>
      <c r="X44" s="29">
        <v>123123</v>
      </c>
      <c r="AU44" s="31">
        <v>22</v>
      </c>
      <c r="AV44" s="31">
        <v>0</v>
      </c>
      <c r="AW44" s="31">
        <v>0</v>
      </c>
      <c r="AX44" s="31"/>
      <c r="AY44" s="31">
        <v>1</v>
      </c>
      <c r="AZ44" s="31">
        <v>2</v>
      </c>
      <c r="BA44" s="31">
        <v>3</v>
      </c>
      <c r="BB44" s="31"/>
      <c r="BC44" s="31"/>
      <c r="BD44" s="31"/>
      <c r="BE44" s="31"/>
      <c r="BF44" s="31"/>
      <c r="BG44" s="31"/>
      <c r="BH44" s="31">
        <v>216216</v>
      </c>
      <c r="BI44" s="31"/>
      <c r="BJ44" s="31"/>
      <c r="BK44" s="31"/>
      <c r="BL44" s="31"/>
      <c r="BM44" s="31"/>
      <c r="BN44" s="31"/>
      <c r="BO44" s="31"/>
      <c r="BP44" s="31"/>
      <c r="BQ44" s="31"/>
      <c r="BR44" s="31"/>
      <c r="BS44" s="31"/>
      <c r="BT44" s="31"/>
      <c r="BU44" s="31"/>
      <c r="BV44" s="31"/>
      <c r="BW44" s="31"/>
      <c r="BX44" s="31"/>
      <c r="BY44" s="31">
        <v>21</v>
      </c>
      <c r="CA44" s="5" t="s">
        <v>713</v>
      </c>
      <c r="DK44" s="8"/>
      <c r="DL44" s="8"/>
      <c r="DM44" s="8"/>
      <c r="DN44" s="8"/>
      <c r="DO44" s="50"/>
      <c r="DP44" s="50"/>
      <c r="DQ44" s="50"/>
      <c r="DR44" s="50"/>
      <c r="DS44" s="50"/>
      <c r="DT44" s="50"/>
      <c r="DU44" s="50"/>
      <c r="DV44" s="50"/>
      <c r="DW44" s="50"/>
      <c r="DX44" s="50"/>
      <c r="DY44" s="50"/>
      <c r="DZ44" s="50"/>
      <c r="EA44" s="50"/>
      <c r="EB44" s="50"/>
      <c r="EC44" s="50"/>
      <c r="ED44" s="50"/>
      <c r="EE44" s="50"/>
      <c r="EF44" s="50"/>
      <c r="EG44" s="50"/>
      <c r="EH44" s="50"/>
      <c r="EI44" s="50"/>
      <c r="EJ44" s="50"/>
      <c r="EK44" s="50"/>
      <c r="EL44" s="50"/>
      <c r="EM44" s="50">
        <v>1</v>
      </c>
      <c r="EN44" s="50"/>
      <c r="EO44" s="50"/>
      <c r="EP44" s="50"/>
      <c r="EQ44" s="50"/>
      <c r="ER44" s="50"/>
      <c r="ET44" s="55">
        <f t="shared" si="2"/>
        <v>1</v>
      </c>
    </row>
    <row r="45" spans="1:150" s="5" customFormat="1" ht="16" customHeight="1" x14ac:dyDescent="0.2">
      <c r="A45" s="5">
        <v>17</v>
      </c>
      <c r="B45" s="39" t="s">
        <v>139</v>
      </c>
      <c r="C45" s="39" t="s">
        <v>69</v>
      </c>
      <c r="D45" s="5">
        <v>97</v>
      </c>
      <c r="E45" s="5" t="s">
        <v>70</v>
      </c>
      <c r="F45" s="21" t="s">
        <v>140</v>
      </c>
      <c r="G45" s="21">
        <v>44</v>
      </c>
      <c r="H45" s="5">
        <f t="shared" si="0"/>
        <v>17097</v>
      </c>
      <c r="I45" t="s">
        <v>1077</v>
      </c>
      <c r="J45">
        <v>205</v>
      </c>
      <c r="K45">
        <v>149</v>
      </c>
      <c r="L45">
        <v>117</v>
      </c>
      <c r="M45" s="6">
        <v>255</v>
      </c>
      <c r="N45" s="6" t="str">
        <f t="shared" si="1"/>
        <v>44: (205, 149, 117, 255, Deglaciation (prolonged temperature increase): 17097),</v>
      </c>
      <c r="O45" s="5" t="str">
        <f>VLOOKUP(Australia!B45,Impacts!$A$2:$B$80,2, FALSE)</f>
        <v>The uncovering of glaciated land because of melting or sublimation of the glacier.</v>
      </c>
      <c r="P45" s="5" t="str">
        <f>VLOOKUP(E45,Pressures!$A$2:$B$145,2,FALSE)</f>
        <v>Seasonal to multi-annual increases in temperature compared with past averages.</v>
      </c>
      <c r="AE45" s="32">
        <v>228112</v>
      </c>
      <c r="AF45" s="32">
        <v>228112</v>
      </c>
      <c r="AG45" s="32">
        <v>220112</v>
      </c>
      <c r="AH45" s="32">
        <v>220124</v>
      </c>
      <c r="AW45" s="5">
        <v>0</v>
      </c>
      <c r="AX45" s="5">
        <v>0</v>
      </c>
      <c r="AZ45" s="5">
        <v>1</v>
      </c>
      <c r="BA45" s="5">
        <v>2</v>
      </c>
      <c r="BB45" s="5">
        <v>3</v>
      </c>
      <c r="BD45" s="7">
        <v>111216</v>
      </c>
      <c r="BE45" s="7">
        <v>112216</v>
      </c>
      <c r="BF45" s="7">
        <v>112216</v>
      </c>
      <c r="BG45" s="7">
        <v>124216</v>
      </c>
      <c r="BI45" s="7">
        <v>216216</v>
      </c>
      <c r="DK45" s="8"/>
      <c r="DL45" s="8"/>
      <c r="DM45" s="8"/>
      <c r="DN45" s="8"/>
      <c r="DO45" s="50"/>
      <c r="DP45" s="50"/>
      <c r="DQ45" s="50"/>
      <c r="DR45" s="50"/>
      <c r="DS45" s="50"/>
      <c r="DT45" s="50"/>
      <c r="DU45" s="50"/>
      <c r="DV45" s="50"/>
      <c r="DW45" s="50"/>
      <c r="DX45" s="50"/>
      <c r="DY45" s="50">
        <v>1</v>
      </c>
      <c r="DZ45" s="50">
        <v>1</v>
      </c>
      <c r="EA45" s="50"/>
      <c r="EB45" s="50"/>
      <c r="EC45" s="50"/>
      <c r="ED45" s="50"/>
      <c r="EE45" s="50"/>
      <c r="EF45" s="50"/>
      <c r="EG45" s="50"/>
      <c r="EH45" s="50"/>
      <c r="EI45" s="50"/>
      <c r="EJ45" s="50"/>
      <c r="EK45" s="50"/>
      <c r="EL45" s="50"/>
      <c r="EM45" s="50"/>
      <c r="EN45" s="50"/>
      <c r="EO45" s="50"/>
      <c r="EP45" s="50"/>
      <c r="EQ45" s="50"/>
      <c r="ER45" s="50"/>
      <c r="ET45" s="55">
        <f t="shared" si="2"/>
        <v>2</v>
      </c>
    </row>
    <row r="46" spans="1:150" s="5" customFormat="1" ht="16" customHeight="1" x14ac:dyDescent="0.2">
      <c r="A46" s="5">
        <v>18</v>
      </c>
      <c r="B46" s="8" t="s">
        <v>141</v>
      </c>
      <c r="C46" s="8" t="s">
        <v>142</v>
      </c>
      <c r="D46" s="5">
        <v>54</v>
      </c>
      <c r="E46" s="5" t="s">
        <v>143</v>
      </c>
      <c r="F46" s="21" t="s">
        <v>144</v>
      </c>
      <c r="G46" s="21">
        <v>45</v>
      </c>
      <c r="H46" s="5">
        <f t="shared" si="0"/>
        <v>18054</v>
      </c>
      <c r="I46" t="s">
        <v>1078</v>
      </c>
      <c r="J46">
        <v>242</v>
      </c>
      <c r="K46">
        <v>240</v>
      </c>
      <c r="L46">
        <v>230</v>
      </c>
      <c r="M46" s="6">
        <v>255</v>
      </c>
      <c r="N46" s="6" t="str">
        <f t="shared" si="1"/>
        <v>45: (242, 240, 230, 255, Desalinisation (gypsum application): 18054),</v>
      </c>
      <c r="O46" s="5" t="str">
        <f>VLOOKUP(Australia!B46,Impacts!$A$2:$B$80,2, FALSE)</f>
        <v>The process of soils becoming less salty.</v>
      </c>
      <c r="P46" s="5" t="str">
        <f>VLOOKUP(E46,Pressures!$A$2:$B$145,2,FALSE)</f>
        <v>Spreading of a naturally occurring mineral that contains calcium and sulphur, thereby increasing porosity of the soil.</v>
      </c>
      <c r="V46" s="29">
        <v>111111</v>
      </c>
      <c r="AV46" s="5" t="s">
        <v>713</v>
      </c>
      <c r="AW46" s="5">
        <v>0</v>
      </c>
      <c r="AX46" s="5">
        <v>0</v>
      </c>
      <c r="AZ46" s="5">
        <v>1</v>
      </c>
      <c r="BA46" s="5">
        <v>2</v>
      </c>
      <c r="BB46" s="5">
        <v>3</v>
      </c>
      <c r="BI46" s="7">
        <v>216216</v>
      </c>
      <c r="DK46" s="8"/>
      <c r="DL46" s="8"/>
      <c r="DM46" s="8"/>
      <c r="DN46" s="8"/>
      <c r="DO46" s="50"/>
      <c r="DP46" s="50"/>
      <c r="DQ46" s="50"/>
      <c r="DR46" s="50"/>
      <c r="DS46" s="50"/>
      <c r="DT46" s="50"/>
      <c r="DU46" s="50"/>
      <c r="DV46" s="50"/>
      <c r="DW46" s="50"/>
      <c r="DX46" s="50"/>
      <c r="DY46" s="50"/>
      <c r="DZ46" s="50"/>
      <c r="EA46" s="50"/>
      <c r="EB46" s="50"/>
      <c r="EC46" s="50"/>
      <c r="ED46" s="50"/>
      <c r="EE46" s="50"/>
      <c r="EF46" s="50"/>
      <c r="EG46" s="50"/>
      <c r="EH46" s="50"/>
      <c r="EI46" s="50"/>
      <c r="EJ46" s="50"/>
      <c r="EK46" s="50"/>
      <c r="EL46" s="50"/>
      <c r="EM46" s="50">
        <v>1</v>
      </c>
      <c r="EN46" s="50">
        <v>1</v>
      </c>
      <c r="EO46" s="50"/>
      <c r="EP46" s="50">
        <v>1</v>
      </c>
      <c r="EQ46" s="50"/>
      <c r="ER46" s="50"/>
      <c r="ET46" s="55">
        <f t="shared" si="2"/>
        <v>3</v>
      </c>
    </row>
    <row r="47" spans="1:150" s="5" customFormat="1" ht="16" customHeight="1" x14ac:dyDescent="0.2">
      <c r="A47" s="5">
        <v>19</v>
      </c>
      <c r="B47" s="8" t="s">
        <v>145</v>
      </c>
      <c r="C47" s="39" t="s">
        <v>69</v>
      </c>
      <c r="D47" s="5">
        <v>97</v>
      </c>
      <c r="E47" s="5" t="s">
        <v>70</v>
      </c>
      <c r="F47" s="21" t="s">
        <v>146</v>
      </c>
      <c r="G47" s="21">
        <v>46</v>
      </c>
      <c r="H47" s="5">
        <f t="shared" si="0"/>
        <v>19097</v>
      </c>
      <c r="I47" t="s">
        <v>1079</v>
      </c>
      <c r="J47">
        <v>255</v>
      </c>
      <c r="K47">
        <v>174</v>
      </c>
      <c r="L47">
        <v>66</v>
      </c>
      <c r="M47" s="6">
        <v>255</v>
      </c>
      <c r="N47" s="6" t="str">
        <f t="shared" si="1"/>
        <v>46: (255, 174, 66, 255, Desertification (prolonged temperature increase): 19097),</v>
      </c>
      <c r="O47" s="5" t="str">
        <f>VLOOKUP(Australia!B47,Impacts!$A$2:$B$80,2, FALSE)</f>
        <v>Reduction in the productivity of the land that is not reversible.</v>
      </c>
      <c r="P47" s="5" t="str">
        <f>VLOOKUP(E47,Pressures!$A$2:$B$145,2,FALSE)</f>
        <v>Seasonal to multi-annual increases in temperature compared with past averages.</v>
      </c>
      <c r="W47" s="29">
        <v>112112</v>
      </c>
      <c r="AE47" s="32">
        <v>112216</v>
      </c>
      <c r="AW47" s="5">
        <v>0</v>
      </c>
      <c r="AX47" s="5">
        <v>0</v>
      </c>
      <c r="AZ47" s="5">
        <v>1</v>
      </c>
      <c r="BA47" s="5">
        <v>2</v>
      </c>
      <c r="BB47" s="5">
        <v>3</v>
      </c>
      <c r="BD47" s="7">
        <v>111216</v>
      </c>
      <c r="BE47" s="7">
        <v>112216</v>
      </c>
      <c r="BI47" s="7">
        <v>216216</v>
      </c>
      <c r="DK47" s="8"/>
      <c r="DL47" s="8"/>
      <c r="DM47" s="8"/>
      <c r="DN47" s="8"/>
      <c r="DO47" s="50"/>
      <c r="DP47" s="50"/>
      <c r="DQ47" s="50"/>
      <c r="DR47" s="50"/>
      <c r="DS47" s="50"/>
      <c r="DT47" s="50"/>
      <c r="DU47" s="50"/>
      <c r="DV47" s="50"/>
      <c r="DW47" s="50"/>
      <c r="DX47" s="50"/>
      <c r="DY47" s="50">
        <v>1</v>
      </c>
      <c r="DZ47" s="50">
        <v>1</v>
      </c>
      <c r="EA47" s="50"/>
      <c r="EB47" s="50"/>
      <c r="EC47" s="50"/>
      <c r="ED47" s="50"/>
      <c r="EE47" s="50"/>
      <c r="EF47" s="50"/>
      <c r="EG47" s="50"/>
      <c r="EH47" s="50"/>
      <c r="EI47" s="50"/>
      <c r="EJ47" s="50"/>
      <c r="EK47" s="50"/>
      <c r="EL47" s="50"/>
      <c r="EM47" s="50"/>
      <c r="EN47" s="50"/>
      <c r="EO47" s="50"/>
      <c r="EP47" s="50"/>
      <c r="EQ47" s="50"/>
      <c r="ER47" s="50"/>
      <c r="ET47" s="55">
        <f t="shared" si="2"/>
        <v>2</v>
      </c>
    </row>
    <row r="48" spans="1:150" s="5" customFormat="1" ht="16" customHeight="1" x14ac:dyDescent="0.2">
      <c r="A48" s="5">
        <v>20</v>
      </c>
      <c r="B48" s="8" t="s">
        <v>147</v>
      </c>
      <c r="C48" s="8" t="s">
        <v>148</v>
      </c>
      <c r="D48" s="5">
        <v>28</v>
      </c>
      <c r="E48" s="5" t="s">
        <v>149</v>
      </c>
      <c r="F48" s="21" t="s">
        <v>150</v>
      </c>
      <c r="G48" s="21">
        <v>47</v>
      </c>
      <c r="H48" s="5">
        <f t="shared" si="0"/>
        <v>20028</v>
      </c>
      <c r="I48" t="s">
        <v>1080</v>
      </c>
      <c r="J48">
        <v>159</v>
      </c>
      <c r="K48">
        <v>129</v>
      </c>
      <c r="L48">
        <v>112</v>
      </c>
      <c r="M48" s="6">
        <v>255</v>
      </c>
      <c r="N48" s="6" t="str">
        <f t="shared" si="1"/>
        <v>47: (159, 129, 112, 255, Elevation change (deposition): 20028),</v>
      </c>
      <c r="O48" s="5" t="str">
        <f>VLOOKUP(Australia!B48,Impacts!$A$2:$B$80,2, FALSE)</f>
        <v>Change in the altitude above sea or ground level.</v>
      </c>
      <c r="P48" s="5" t="str">
        <f>VLOOKUP(E48,Pressures!$A$2:$B$145,2,FALSE)</f>
        <v xml:space="preserve">Deposition is the laying down of sediment carried by wind, water, or ice. </v>
      </c>
      <c r="AA48" s="32">
        <v>216216</v>
      </c>
      <c r="AW48" s="5">
        <v>0</v>
      </c>
      <c r="AX48" s="5">
        <v>0</v>
      </c>
      <c r="AZ48" s="5">
        <v>1</v>
      </c>
      <c r="BA48" s="5">
        <v>2</v>
      </c>
      <c r="BB48" s="5">
        <v>3</v>
      </c>
      <c r="BD48" s="7">
        <v>111216</v>
      </c>
      <c r="BE48" s="7">
        <v>112216</v>
      </c>
      <c r="BI48" s="7">
        <v>216216</v>
      </c>
      <c r="DK48" s="8"/>
      <c r="DL48" s="8"/>
      <c r="DM48" s="8"/>
      <c r="DN48" s="8"/>
      <c r="DO48" s="50"/>
      <c r="DP48" s="50"/>
      <c r="DQ48" s="50"/>
      <c r="DR48" s="50"/>
      <c r="DS48" s="50"/>
      <c r="DT48" s="50"/>
      <c r="DU48" s="50"/>
      <c r="DV48" s="50"/>
      <c r="DW48" s="50"/>
      <c r="DX48" s="50"/>
      <c r="DY48" s="50"/>
      <c r="DZ48" s="50"/>
      <c r="EA48" s="50"/>
      <c r="EB48" s="50">
        <v>1</v>
      </c>
      <c r="EC48" s="50"/>
      <c r="ED48" s="50"/>
      <c r="EE48" s="50"/>
      <c r="EF48" s="50"/>
      <c r="EG48" s="50"/>
      <c r="EH48" s="50"/>
      <c r="EI48" s="50"/>
      <c r="EJ48" s="50"/>
      <c r="EK48" s="50"/>
      <c r="EL48" s="50"/>
      <c r="EM48" s="50"/>
      <c r="EN48" s="50"/>
      <c r="EO48" s="50"/>
      <c r="EP48" s="50"/>
      <c r="EQ48" s="50"/>
      <c r="ER48" s="50"/>
      <c r="ET48" s="55">
        <f t="shared" si="2"/>
        <v>1</v>
      </c>
    </row>
    <row r="49" spans="1:150" s="5" customFormat="1" ht="16" customHeight="1" x14ac:dyDescent="0.2">
      <c r="A49" s="5">
        <v>20</v>
      </c>
      <c r="B49" s="8" t="s">
        <v>147</v>
      </c>
      <c r="C49" s="8" t="s">
        <v>151</v>
      </c>
      <c r="D49" s="5">
        <v>32</v>
      </c>
      <c r="E49" s="5" t="s">
        <v>152</v>
      </c>
      <c r="F49" s="21" t="s">
        <v>153</v>
      </c>
      <c r="G49" s="21">
        <v>48</v>
      </c>
      <c r="H49" s="5">
        <f t="shared" si="0"/>
        <v>20032</v>
      </c>
      <c r="I49" t="s">
        <v>1081</v>
      </c>
      <c r="J49">
        <v>222</v>
      </c>
      <c r="K49">
        <v>184</v>
      </c>
      <c r="L49">
        <v>135</v>
      </c>
      <c r="M49" s="6">
        <v>255</v>
      </c>
      <c r="N49" s="6" t="str">
        <f t="shared" si="1"/>
        <v>48: (222, 184, 135, 255, Elevation change (earthquake): 20032),</v>
      </c>
      <c r="O49" s="5" t="str">
        <f>VLOOKUP(Australia!B49,Impacts!$A$2:$B$80,2, FALSE)</f>
        <v>Change in the altitude above sea or ground level.</v>
      </c>
      <c r="P49" s="5" t="str">
        <f>VLOOKUP(E49,Pressures!$A$2:$B$145,2,FALSE)</f>
        <v>The vibrations of the Earth caused by the passage of seismic waves radiating from some source of elastic energy.</v>
      </c>
      <c r="V49" s="29">
        <v>111111</v>
      </c>
      <c r="W49" s="29">
        <v>112112</v>
      </c>
      <c r="X49" s="29">
        <v>123123</v>
      </c>
      <c r="Y49" s="29">
        <v>124124</v>
      </c>
      <c r="Z49" s="29">
        <v>215215</v>
      </c>
      <c r="AA49" s="29">
        <v>216216</v>
      </c>
      <c r="AW49" s="5">
        <v>0</v>
      </c>
      <c r="AX49" s="5">
        <v>0</v>
      </c>
      <c r="AZ49" s="5">
        <v>1</v>
      </c>
      <c r="BA49" s="5">
        <v>2</v>
      </c>
      <c r="BB49" s="5">
        <v>3</v>
      </c>
      <c r="BG49" s="7">
        <v>124216</v>
      </c>
      <c r="BI49" s="7">
        <v>216216</v>
      </c>
      <c r="DK49" s="8"/>
      <c r="DL49" s="8"/>
      <c r="DM49" s="8"/>
      <c r="DN49" s="8"/>
      <c r="DO49" s="50"/>
      <c r="DP49" s="50"/>
      <c r="DQ49" s="50"/>
      <c r="DR49" s="50"/>
      <c r="DS49" s="50"/>
      <c r="DT49" s="50"/>
      <c r="DU49" s="50"/>
      <c r="DV49" s="50"/>
      <c r="DW49" s="50"/>
      <c r="DX49" s="50"/>
      <c r="DY49" s="50"/>
      <c r="DZ49" s="50"/>
      <c r="EA49" s="50"/>
      <c r="EB49" s="50"/>
      <c r="EC49" s="50"/>
      <c r="ED49" s="50"/>
      <c r="EE49" s="50"/>
      <c r="EF49" s="50">
        <v>1</v>
      </c>
      <c r="EG49" s="50"/>
      <c r="EH49" s="50"/>
      <c r="EI49" s="50"/>
      <c r="EJ49" s="50"/>
      <c r="EK49" s="50"/>
      <c r="EL49" s="50"/>
      <c r="EM49" s="50"/>
      <c r="EN49" s="50"/>
      <c r="EO49" s="50"/>
      <c r="EP49" s="50"/>
      <c r="EQ49" s="50"/>
      <c r="ER49" s="50"/>
      <c r="ET49" s="55">
        <f t="shared" si="2"/>
        <v>1</v>
      </c>
    </row>
    <row r="50" spans="1:150" s="5" customFormat="1" ht="16" customHeight="1" x14ac:dyDescent="0.2">
      <c r="A50" s="5">
        <v>20</v>
      </c>
      <c r="B50" s="8" t="s">
        <v>147</v>
      </c>
      <c r="C50" s="8" t="s">
        <v>154</v>
      </c>
      <c r="D50" s="5">
        <v>73</v>
      </c>
      <c r="E50" s="5" t="s">
        <v>155</v>
      </c>
      <c r="F50" s="21" t="s">
        <v>156</v>
      </c>
      <c r="G50" s="21">
        <v>49</v>
      </c>
      <c r="H50" s="5">
        <f t="shared" si="0"/>
        <v>20073</v>
      </c>
      <c r="I50" t="s">
        <v>1082</v>
      </c>
      <c r="J50">
        <v>255</v>
      </c>
      <c r="K50">
        <v>228</v>
      </c>
      <c r="L50">
        <v>196</v>
      </c>
      <c r="M50" s="6">
        <v>255</v>
      </c>
      <c r="N50" s="6" t="str">
        <f t="shared" si="1"/>
        <v>49: (255, 228, 196, 255, Elevation change (landslide): 20073),</v>
      </c>
      <c r="O50" s="5" t="str">
        <f>VLOOKUP(Australia!B50,Impacts!$A$2:$B$80,2, FALSE)</f>
        <v>Change in the altitude above sea or ground level.</v>
      </c>
      <c r="P50" s="5" t="str">
        <f>VLOOKUP(E50,Pressures!$A$2:$B$145,2,FALSE)</f>
        <v>Movement of material downslope in a mass.</v>
      </c>
      <c r="V50" s="29">
        <v>111111</v>
      </c>
      <c r="W50" s="29">
        <v>112112</v>
      </c>
      <c r="X50" s="29">
        <v>123123</v>
      </c>
      <c r="Y50" s="29">
        <v>124124</v>
      </c>
      <c r="Z50" s="29">
        <v>215215</v>
      </c>
      <c r="AA50" s="29">
        <v>216216</v>
      </c>
      <c r="AW50" s="5">
        <v>0</v>
      </c>
      <c r="AX50" s="5">
        <v>0</v>
      </c>
      <c r="AZ50" s="5">
        <v>1</v>
      </c>
      <c r="BA50" s="5">
        <v>2</v>
      </c>
      <c r="BB50" s="5">
        <v>3</v>
      </c>
      <c r="BI50" s="7">
        <v>216216</v>
      </c>
      <c r="DK50" s="8"/>
      <c r="DL50" s="8"/>
      <c r="DM50" s="8"/>
      <c r="DN50" s="8"/>
      <c r="DO50" s="50"/>
      <c r="DP50" s="50"/>
      <c r="DQ50" s="50"/>
      <c r="DR50" s="50"/>
      <c r="DS50" s="50">
        <v>1</v>
      </c>
      <c r="DT50" s="50"/>
      <c r="DU50" s="50"/>
      <c r="DV50" s="50"/>
      <c r="DW50" s="50"/>
      <c r="DX50" s="50"/>
      <c r="DY50" s="50"/>
      <c r="DZ50" s="50"/>
      <c r="EA50" s="50"/>
      <c r="EB50" s="50">
        <v>1</v>
      </c>
      <c r="EC50" s="50"/>
      <c r="ED50" s="50"/>
      <c r="EE50" s="50"/>
      <c r="EF50" s="50">
        <v>1</v>
      </c>
      <c r="EG50" s="50"/>
      <c r="EH50" s="50"/>
      <c r="EI50" s="50"/>
      <c r="EJ50" s="50"/>
      <c r="EK50" s="50"/>
      <c r="EL50" s="50"/>
      <c r="EM50" s="50"/>
      <c r="EN50" s="50"/>
      <c r="EO50" s="50"/>
      <c r="EP50" s="50"/>
      <c r="EQ50" s="50"/>
      <c r="ER50" s="50"/>
      <c r="ET50" s="55">
        <f t="shared" si="2"/>
        <v>3</v>
      </c>
    </row>
    <row r="51" spans="1:150" s="5" customFormat="1" ht="16" customHeight="1" x14ac:dyDescent="0.2">
      <c r="A51" s="5">
        <v>20</v>
      </c>
      <c r="B51" s="8" t="s">
        <v>147</v>
      </c>
      <c r="C51" s="8" t="s">
        <v>157</v>
      </c>
      <c r="D51" s="5">
        <v>80</v>
      </c>
      <c r="E51" s="5" t="s">
        <v>158</v>
      </c>
      <c r="F51" s="21" t="s">
        <v>159</v>
      </c>
      <c r="G51" s="21">
        <v>50</v>
      </c>
      <c r="H51" s="5">
        <f t="shared" si="0"/>
        <v>20080</v>
      </c>
      <c r="I51" t="s">
        <v>1083</v>
      </c>
      <c r="J51">
        <v>210</v>
      </c>
      <c r="K51">
        <v>105</v>
      </c>
      <c r="L51">
        <v>30</v>
      </c>
      <c r="M51" s="6">
        <v>255</v>
      </c>
      <c r="N51" s="6" t="str">
        <f t="shared" si="1"/>
        <v>50: (210, 105, 30, 255, Elevation change (mining): 20080),</v>
      </c>
      <c r="O51" s="5" t="str">
        <f>VLOOKUP(Australia!B51,Impacts!$A$2:$B$80,2, FALSE)</f>
        <v>Change in the altitude above sea or ground level.</v>
      </c>
      <c r="P51" s="5" t="str">
        <f>VLOOKUP(E51,Pressures!$A$2:$B$145,2,FALSE)</f>
        <v>Extraction of minerals, precious stones or coal, either through open cuts or deep shafts.</v>
      </c>
      <c r="V51" s="29">
        <v>111111</v>
      </c>
      <c r="W51" s="29">
        <v>112112</v>
      </c>
      <c r="X51" s="29">
        <v>123123</v>
      </c>
      <c r="Y51" s="29">
        <v>124124</v>
      </c>
      <c r="Z51" s="29">
        <v>215215</v>
      </c>
      <c r="AA51" s="29">
        <v>216216</v>
      </c>
      <c r="AV51" s="5" t="s">
        <v>713</v>
      </c>
      <c r="AW51" s="5">
        <v>0</v>
      </c>
      <c r="AX51" s="5">
        <v>0</v>
      </c>
      <c r="AZ51" s="5">
        <v>1</v>
      </c>
      <c r="BA51" s="5">
        <v>2</v>
      </c>
      <c r="BB51" s="5">
        <v>3</v>
      </c>
      <c r="BD51" s="7">
        <v>112216</v>
      </c>
      <c r="BE51" s="7">
        <v>11216</v>
      </c>
      <c r="BF51" s="7">
        <v>123216</v>
      </c>
      <c r="BG51" s="7">
        <v>124216</v>
      </c>
      <c r="BH51" s="7">
        <v>215216</v>
      </c>
      <c r="BI51" s="7">
        <v>216216</v>
      </c>
      <c r="DK51" s="8"/>
      <c r="DL51" s="8"/>
      <c r="DM51" s="8"/>
      <c r="DN51" s="8"/>
      <c r="DO51" s="50"/>
      <c r="DP51" s="50"/>
      <c r="DQ51" s="50"/>
      <c r="DR51" s="50"/>
      <c r="DS51" s="50"/>
      <c r="DT51" s="50"/>
      <c r="DU51" s="50"/>
      <c r="DV51" s="50"/>
      <c r="DW51" s="50"/>
      <c r="DX51" s="50"/>
      <c r="DY51" s="50"/>
      <c r="DZ51" s="50"/>
      <c r="EA51" s="50"/>
      <c r="EB51" s="50"/>
      <c r="EC51" s="50"/>
      <c r="ED51" s="50"/>
      <c r="EE51" s="50"/>
      <c r="EF51" s="50"/>
      <c r="EG51" s="50"/>
      <c r="EH51" s="50"/>
      <c r="EI51" s="50"/>
      <c r="EJ51" s="50"/>
      <c r="EK51" s="50">
        <v>1</v>
      </c>
      <c r="EL51" s="50"/>
      <c r="EM51" s="50"/>
      <c r="EN51" s="50"/>
      <c r="EO51" s="50"/>
      <c r="EP51" s="50"/>
      <c r="EQ51" s="50"/>
      <c r="ER51" s="50"/>
      <c r="ET51" s="55">
        <f t="shared" si="2"/>
        <v>1</v>
      </c>
    </row>
    <row r="52" spans="1:150" s="5" customFormat="1" ht="16" customHeight="1" x14ac:dyDescent="0.2">
      <c r="A52" s="5">
        <v>20</v>
      </c>
      <c r="B52" s="8" t="s">
        <v>147</v>
      </c>
      <c r="C52" s="8" t="s">
        <v>160</v>
      </c>
      <c r="D52" s="5">
        <v>122</v>
      </c>
      <c r="E52" s="5" t="s">
        <v>161</v>
      </c>
      <c r="F52" s="21" t="s">
        <v>162</v>
      </c>
      <c r="G52" s="21">
        <v>51</v>
      </c>
      <c r="H52" s="5">
        <f t="shared" si="0"/>
        <v>20122</v>
      </c>
      <c r="I52" t="s">
        <v>1084</v>
      </c>
      <c r="J52">
        <v>119</v>
      </c>
      <c r="K52">
        <v>63</v>
      </c>
      <c r="L52">
        <v>26</v>
      </c>
      <c r="M52" s="6">
        <v>255</v>
      </c>
      <c r="N52" s="6" t="str">
        <f t="shared" si="1"/>
        <v>51: (119, 63, 26, 255, Elevation change (subsidence): 20122),</v>
      </c>
      <c r="O52" s="5" t="str">
        <f>VLOOKUP(Australia!B52,Impacts!$A$2:$B$80,2, FALSE)</f>
        <v>Change in the altitude above sea or ground level.</v>
      </c>
      <c r="P52" s="5" t="str">
        <f>VLOOKUP(E52,Pressures!$A$2:$B$145,2,FALSE)</f>
        <v>The lowering of the Earth's surface, caused by factors such as compaction, a decrease in ground water or earthquakes.</v>
      </c>
      <c r="V52" s="29">
        <v>111111</v>
      </c>
      <c r="W52" s="29">
        <v>112112</v>
      </c>
      <c r="X52" s="29">
        <v>123123</v>
      </c>
      <c r="Y52" s="29">
        <v>124124</v>
      </c>
      <c r="Z52" s="29">
        <v>215215</v>
      </c>
      <c r="AA52" s="29">
        <v>216216</v>
      </c>
      <c r="AW52" s="5">
        <v>0</v>
      </c>
      <c r="AX52" s="5">
        <v>0</v>
      </c>
      <c r="AZ52" s="5">
        <v>1</v>
      </c>
      <c r="BA52" s="5">
        <v>2</v>
      </c>
      <c r="BB52" s="5">
        <v>3</v>
      </c>
      <c r="BG52" s="7">
        <v>124216</v>
      </c>
      <c r="BI52" s="7">
        <v>216216</v>
      </c>
      <c r="DK52" s="8"/>
      <c r="DL52" s="8"/>
      <c r="DM52" s="8"/>
      <c r="DN52" s="8"/>
      <c r="DO52" s="50"/>
      <c r="DP52" s="50"/>
      <c r="DQ52" s="50"/>
      <c r="DR52" s="50"/>
      <c r="DS52" s="50"/>
      <c r="DT52" s="50"/>
      <c r="DU52" s="50"/>
      <c r="DV52" s="50"/>
      <c r="DW52" s="50"/>
      <c r="DX52" s="50"/>
      <c r="DY52" s="50"/>
      <c r="DZ52" s="50"/>
      <c r="EA52" s="50"/>
      <c r="EB52" s="50"/>
      <c r="EC52" s="50"/>
      <c r="ED52" s="50"/>
      <c r="EE52" s="50"/>
      <c r="EF52" s="50">
        <v>1</v>
      </c>
      <c r="EG52" s="50"/>
      <c r="EH52" s="50"/>
      <c r="EI52" s="50"/>
      <c r="EJ52" s="50"/>
      <c r="EK52" s="50">
        <v>1</v>
      </c>
      <c r="EL52" s="50"/>
      <c r="EM52" s="50"/>
      <c r="EN52" s="50"/>
      <c r="EO52" s="50"/>
      <c r="EP52" s="50"/>
      <c r="EQ52" s="50"/>
      <c r="ER52" s="50"/>
      <c r="ET52" s="55">
        <f t="shared" si="2"/>
        <v>2</v>
      </c>
    </row>
    <row r="53" spans="1:150" s="5" customFormat="1" ht="16" customHeight="1" x14ac:dyDescent="0.2">
      <c r="A53" s="5">
        <v>20</v>
      </c>
      <c r="B53" s="8" t="s">
        <v>147</v>
      </c>
      <c r="C53" s="39" t="s">
        <v>163</v>
      </c>
      <c r="D53" s="5">
        <v>138</v>
      </c>
      <c r="E53" s="5" t="s">
        <v>164</v>
      </c>
      <c r="F53" s="21" t="s">
        <v>165</v>
      </c>
      <c r="G53" s="21">
        <v>52</v>
      </c>
      <c r="H53" s="5">
        <f t="shared" si="0"/>
        <v>20138</v>
      </c>
      <c r="I53" t="s">
        <v>1085</v>
      </c>
      <c r="J53">
        <v>170</v>
      </c>
      <c r="K53">
        <v>64</v>
      </c>
      <c r="L53">
        <v>105</v>
      </c>
      <c r="M53" s="6">
        <v>255</v>
      </c>
      <c r="N53" s="6" t="str">
        <f t="shared" si="1"/>
        <v>52: (170, 64, 105, 255, Elevation change (waste dumping): 20138),</v>
      </c>
      <c r="O53" s="5" t="str">
        <f>VLOOKUP(Australia!B53,Impacts!$A$2:$B$80,2, FALSE)</f>
        <v>Change in the altitude above sea or ground level.</v>
      </c>
      <c r="P53" s="5" t="str">
        <f>VLOOKUP(E53,Pressures!$A$2:$B$145,2,FALSE)</f>
        <v>The disposal of solid wastes without environmental controls.</v>
      </c>
      <c r="V53" s="5" t="s">
        <v>713</v>
      </c>
      <c r="Z53" s="29">
        <v>215215</v>
      </c>
      <c r="AE53" s="32">
        <v>111215</v>
      </c>
      <c r="AF53" s="32">
        <v>112215</v>
      </c>
      <c r="AG53" s="32">
        <v>123215</v>
      </c>
      <c r="AH53" s="32">
        <v>124215</v>
      </c>
      <c r="AW53" s="5">
        <v>0</v>
      </c>
      <c r="AX53" s="5">
        <v>0</v>
      </c>
      <c r="AZ53" s="5">
        <v>1</v>
      </c>
      <c r="BA53" s="5">
        <v>2</v>
      </c>
      <c r="BB53" s="5">
        <v>3</v>
      </c>
      <c r="BD53" s="7">
        <v>112220</v>
      </c>
      <c r="BE53" s="7">
        <v>112220</v>
      </c>
      <c r="BF53" s="7">
        <v>123220</v>
      </c>
      <c r="BG53" s="7">
        <v>124220</v>
      </c>
      <c r="BH53" s="7">
        <v>215220</v>
      </c>
      <c r="BI53" s="7">
        <v>216220</v>
      </c>
      <c r="BL53" s="7">
        <v>220220</v>
      </c>
      <c r="DA53" s="34">
        <v>11</v>
      </c>
      <c r="DK53" s="8"/>
      <c r="DL53" s="8"/>
      <c r="DM53" s="8"/>
      <c r="DN53" s="8"/>
      <c r="DO53" s="50"/>
      <c r="DP53" s="50"/>
      <c r="DQ53" s="50"/>
      <c r="DR53" s="50"/>
      <c r="DS53" s="50"/>
      <c r="DT53" s="50"/>
      <c r="DU53" s="50"/>
      <c r="DV53" s="50"/>
      <c r="DW53" s="50"/>
      <c r="DX53" s="50"/>
      <c r="DY53" s="50"/>
      <c r="DZ53" s="50"/>
      <c r="EA53" s="50"/>
      <c r="EB53" s="50"/>
      <c r="EC53" s="50"/>
      <c r="ED53" s="50"/>
      <c r="EE53" s="50"/>
      <c r="EF53" s="50"/>
      <c r="EG53" s="50"/>
      <c r="EH53" s="50"/>
      <c r="EI53" s="50"/>
      <c r="EJ53" s="50"/>
      <c r="EK53" s="50"/>
      <c r="EL53" s="50">
        <v>1</v>
      </c>
      <c r="EM53" s="50"/>
      <c r="EN53" s="50"/>
      <c r="EO53" s="50"/>
      <c r="EP53" s="50"/>
      <c r="EQ53" s="50"/>
      <c r="ER53" s="50"/>
      <c r="ET53" s="55">
        <f t="shared" si="2"/>
        <v>1</v>
      </c>
    </row>
    <row r="54" spans="1:150" s="5" customFormat="1" ht="16" customHeight="1" x14ac:dyDescent="0.2">
      <c r="A54" s="5">
        <v>21</v>
      </c>
      <c r="B54" s="44" t="s">
        <v>27</v>
      </c>
      <c r="C54" s="44" t="s">
        <v>166</v>
      </c>
      <c r="D54" s="5">
        <v>16</v>
      </c>
      <c r="E54" s="5" t="s">
        <v>167</v>
      </c>
      <c r="F54" s="21" t="s">
        <v>168</v>
      </c>
      <c r="G54" s="21">
        <v>53</v>
      </c>
      <c r="H54" s="5">
        <f t="shared" si="0"/>
        <v>21016</v>
      </c>
      <c r="I54" t="s">
        <v>1086</v>
      </c>
      <c r="J54">
        <v>150</v>
      </c>
      <c r="K54">
        <v>0</v>
      </c>
      <c r="L54">
        <v>24</v>
      </c>
      <c r="M54" s="6">
        <v>255</v>
      </c>
      <c r="N54" s="6" t="str">
        <f t="shared" si="1"/>
        <v>53: (150, 0, 24, 255, Erosion (construction): 21016),</v>
      </c>
      <c r="O54" s="5" t="str">
        <f>VLOOKUP(Australia!B54,Impacts!$A$2:$B$80,2, FALSE)</f>
        <v>Geological process in which earthen materials are worn away and transported by natural forces.</v>
      </c>
      <c r="P54" s="5" t="str">
        <f>VLOOKUP(E54,Pressures!$A$2:$B$145,2,FALSE)</f>
        <v>Creation of infrastructure such as railways, roads, mines, buildings, agricultural farms, aquaculture farms or dams.</v>
      </c>
      <c r="AB54" s="34">
        <v>227227</v>
      </c>
      <c r="AC54" s="34">
        <v>228228</v>
      </c>
      <c r="AD54" s="34">
        <v>220220</v>
      </c>
      <c r="AW54" s="5">
        <v>0</v>
      </c>
      <c r="AX54" s="5">
        <v>0</v>
      </c>
      <c r="AZ54" s="5">
        <v>1</v>
      </c>
      <c r="BA54" s="5">
        <v>2</v>
      </c>
      <c r="BB54" s="5">
        <v>3</v>
      </c>
      <c r="BD54" s="7">
        <v>111215</v>
      </c>
      <c r="BE54" s="7">
        <v>112215</v>
      </c>
      <c r="BF54" s="7">
        <v>123215</v>
      </c>
      <c r="BG54" s="7">
        <v>124215</v>
      </c>
      <c r="BH54" s="7">
        <v>215215</v>
      </c>
      <c r="BI54" s="7">
        <v>216215</v>
      </c>
      <c r="DK54" s="8"/>
      <c r="DL54" s="8"/>
      <c r="DM54" s="8"/>
      <c r="DN54" s="8"/>
      <c r="DO54" s="50"/>
      <c r="DP54" s="50"/>
      <c r="DQ54" s="50"/>
      <c r="DR54" s="50"/>
      <c r="DS54" s="50"/>
      <c r="DT54" s="50"/>
      <c r="DU54" s="50"/>
      <c r="DV54" s="50"/>
      <c r="DW54" s="50"/>
      <c r="DX54" s="50"/>
      <c r="DY54" s="50"/>
      <c r="DZ54" s="50"/>
      <c r="EA54" s="50"/>
      <c r="EB54" s="50"/>
      <c r="EC54" s="50"/>
      <c r="ED54" s="50"/>
      <c r="EE54" s="50"/>
      <c r="EF54" s="50"/>
      <c r="EG54" s="50"/>
      <c r="EH54" s="50"/>
      <c r="EI54" s="50"/>
      <c r="EJ54" s="50"/>
      <c r="EK54" s="50"/>
      <c r="EL54" s="50">
        <v>1</v>
      </c>
      <c r="EM54" s="50"/>
      <c r="EN54" s="50"/>
      <c r="EO54" s="50"/>
      <c r="EP54" s="50"/>
      <c r="EQ54" s="50"/>
      <c r="ER54" s="50"/>
      <c r="ET54" s="55">
        <f t="shared" si="2"/>
        <v>1</v>
      </c>
    </row>
    <row r="55" spans="1:150" s="5" customFormat="1" ht="16" customHeight="1" x14ac:dyDescent="0.2">
      <c r="A55" s="5">
        <v>21</v>
      </c>
      <c r="B55" s="39" t="s">
        <v>27</v>
      </c>
      <c r="C55" s="39" t="s">
        <v>92</v>
      </c>
      <c r="D55" s="5">
        <v>38</v>
      </c>
      <c r="E55" s="5" t="s">
        <v>93</v>
      </c>
      <c r="F55" s="21" t="s">
        <v>169</v>
      </c>
      <c r="G55" s="21">
        <v>54</v>
      </c>
      <c r="H55" s="5">
        <f t="shared" si="0"/>
        <v>21038</v>
      </c>
      <c r="I55" t="s">
        <v>1087</v>
      </c>
      <c r="J55">
        <v>145</v>
      </c>
      <c r="K55">
        <v>95</v>
      </c>
      <c r="L55">
        <v>109</v>
      </c>
      <c r="M55" s="6">
        <v>255</v>
      </c>
      <c r="N55" s="6" t="str">
        <f t="shared" si="1"/>
        <v>54: (145, 95, 109, 255, Erosion (excess precipitation): 21038),</v>
      </c>
      <c r="O55" s="5" t="str">
        <f>VLOOKUP(Australia!B55,Impacts!$A$2:$B$80,2, FALSE)</f>
        <v>Geological process in which earthen materials are worn away and transported by natural forces.</v>
      </c>
      <c r="P55" s="5" t="str">
        <f>VLOOKUP(E55,Pressures!$A$2:$B$145,2,FALSE)</f>
        <v>Above-normal increase in the amount of rain or snowfall.</v>
      </c>
      <c r="AE55" s="32">
        <v>111216</v>
      </c>
      <c r="AF55" s="32">
        <v>112216</v>
      </c>
      <c r="AG55" s="32">
        <v>123216</v>
      </c>
      <c r="AH55" s="32">
        <v>124216</v>
      </c>
      <c r="AI55" s="32">
        <v>215216</v>
      </c>
      <c r="AW55" s="5">
        <v>-1</v>
      </c>
      <c r="AX55" s="5">
        <v>0</v>
      </c>
      <c r="AZ55" s="5">
        <v>1</v>
      </c>
      <c r="BA55" s="5">
        <v>2</v>
      </c>
      <c r="BB55" s="5">
        <v>3</v>
      </c>
      <c r="BE55" s="7">
        <v>112220</v>
      </c>
      <c r="BG55" s="7">
        <v>124220</v>
      </c>
      <c r="BI55" s="7">
        <v>216220</v>
      </c>
      <c r="DK55" s="8"/>
      <c r="DL55" s="8"/>
      <c r="DM55" s="8"/>
      <c r="DN55" s="8"/>
      <c r="DO55" s="50"/>
      <c r="DP55" s="50"/>
      <c r="DQ55" s="50"/>
      <c r="DR55" s="50"/>
      <c r="DS55" s="50"/>
      <c r="DT55" s="50"/>
      <c r="DU55" s="50"/>
      <c r="DV55" s="50"/>
      <c r="DW55" s="50"/>
      <c r="DX55" s="50"/>
      <c r="DY55" s="50"/>
      <c r="DZ55" s="50"/>
      <c r="EA55" s="50"/>
      <c r="EB55" s="50">
        <v>1</v>
      </c>
      <c r="EC55" s="50"/>
      <c r="ED55" s="50"/>
      <c r="EE55" s="50"/>
      <c r="EF55" s="50"/>
      <c r="EG55" s="50"/>
      <c r="EH55" s="50"/>
      <c r="EI55" s="50"/>
      <c r="EJ55" s="50"/>
      <c r="EK55" s="50"/>
      <c r="EL55" s="50"/>
      <c r="EM55" s="50"/>
      <c r="EN55" s="50"/>
      <c r="EO55" s="50"/>
      <c r="EP55" s="50"/>
      <c r="EQ55" s="50"/>
      <c r="ER55" s="50"/>
      <c r="ET55" s="55">
        <f t="shared" si="2"/>
        <v>1</v>
      </c>
    </row>
    <row r="56" spans="1:150" s="5" customFormat="1" ht="16" customHeight="1" x14ac:dyDescent="0.2">
      <c r="A56" s="5">
        <v>21</v>
      </c>
      <c r="B56" s="8" t="s">
        <v>27</v>
      </c>
      <c r="C56" s="8" t="s">
        <v>170</v>
      </c>
      <c r="D56" s="5">
        <v>46</v>
      </c>
      <c r="E56" s="5" t="s">
        <v>171</v>
      </c>
      <c r="F56" s="21" t="s">
        <v>172</v>
      </c>
      <c r="G56" s="21">
        <v>55</v>
      </c>
      <c r="H56" s="5">
        <f t="shared" si="0"/>
        <v>21046</v>
      </c>
      <c r="I56" t="s">
        <v>1088</v>
      </c>
      <c r="J56">
        <v>162</v>
      </c>
      <c r="K56">
        <v>162</v>
      </c>
      <c r="L56">
        <v>208</v>
      </c>
      <c r="M56" s="6">
        <v>255</v>
      </c>
      <c r="N56" s="6" t="str">
        <f t="shared" si="1"/>
        <v>55: (162, 162, 208, 255, Erosion (frost): 21046),</v>
      </c>
      <c r="O56" s="5" t="str">
        <f>VLOOKUP(Australia!B56,Impacts!$A$2:$B$80,2, FALSE)</f>
        <v>Geological process in which earthen materials are worn away and transported by natural forces.</v>
      </c>
      <c r="P56" s="5" t="str">
        <f>VLOOKUP(E56,Pressures!$A$2:$B$145,2,FALSE)</f>
        <v>Deposit of soft white ice crystals or frozen dew drops on objects near the ground; formed when surface temperature falls below freezing point.</v>
      </c>
      <c r="AA56" s="29">
        <v>216216</v>
      </c>
      <c r="AW56" s="5">
        <v>0</v>
      </c>
      <c r="AX56" s="5">
        <v>0</v>
      </c>
      <c r="AZ56" s="5">
        <v>1</v>
      </c>
      <c r="BA56" s="5">
        <v>2</v>
      </c>
      <c r="BB56" s="5">
        <v>3</v>
      </c>
      <c r="BD56" s="7">
        <v>111111</v>
      </c>
      <c r="BE56" s="7">
        <v>112112</v>
      </c>
      <c r="BF56" s="7">
        <v>123123</v>
      </c>
      <c r="BG56" s="7">
        <v>124124</v>
      </c>
      <c r="BV56" s="5">
        <v>22</v>
      </c>
      <c r="BX56" s="5" t="s">
        <v>718</v>
      </c>
      <c r="BY56" s="5" t="s">
        <v>718</v>
      </c>
      <c r="DK56" s="8"/>
      <c r="DL56" s="8"/>
      <c r="DM56" s="8"/>
      <c r="DN56" s="8"/>
      <c r="DO56" s="50"/>
      <c r="DP56" s="50"/>
      <c r="DQ56" s="50"/>
      <c r="DR56" s="50"/>
      <c r="DS56" s="50"/>
      <c r="DT56" s="50"/>
      <c r="DU56" s="50"/>
      <c r="DV56" s="50"/>
      <c r="DW56" s="50"/>
      <c r="DX56" s="50"/>
      <c r="DY56" s="50"/>
      <c r="DZ56" s="50">
        <v>1</v>
      </c>
      <c r="EA56" s="50"/>
      <c r="EB56" s="50"/>
      <c r="EC56" s="50"/>
      <c r="ED56" s="50"/>
      <c r="EE56" s="50"/>
      <c r="EF56" s="50"/>
      <c r="EG56" s="50"/>
      <c r="EH56" s="50"/>
      <c r="EI56" s="50"/>
      <c r="EJ56" s="50"/>
      <c r="EK56" s="50"/>
      <c r="EL56" s="50"/>
      <c r="EM56" s="50"/>
      <c r="EN56" s="50"/>
      <c r="EO56" s="50"/>
      <c r="EP56" s="50"/>
      <c r="EQ56" s="50"/>
      <c r="ER56" s="50"/>
      <c r="ET56" s="55">
        <f t="shared" si="2"/>
        <v>1</v>
      </c>
    </row>
    <row r="57" spans="1:150" s="5" customFormat="1" ht="16" customHeight="1" x14ac:dyDescent="0.2">
      <c r="A57" s="5">
        <v>21</v>
      </c>
      <c r="B57" s="39" t="s">
        <v>27</v>
      </c>
      <c r="C57" s="39" t="s">
        <v>52</v>
      </c>
      <c r="D57" s="5">
        <v>65</v>
      </c>
      <c r="E57" s="5" t="s">
        <v>53</v>
      </c>
      <c r="F57" s="21" t="s">
        <v>173</v>
      </c>
      <c r="G57" s="21">
        <v>56</v>
      </c>
      <c r="H57" s="5">
        <f t="shared" si="0"/>
        <v>21065</v>
      </c>
      <c r="I57" t="s">
        <v>1089</v>
      </c>
      <c r="J57">
        <v>212</v>
      </c>
      <c r="K57">
        <v>112</v>
      </c>
      <c r="L57">
        <v>162</v>
      </c>
      <c r="M57" s="6">
        <v>255</v>
      </c>
      <c r="N57" s="6" t="str">
        <f t="shared" si="1"/>
        <v>56: (212, 112, 162, 255, Erosion (increased traffic): 21065),</v>
      </c>
      <c r="O57" s="5" t="str">
        <f>VLOOKUP(Australia!B57,Impacts!$A$2:$B$80,2, FALSE)</f>
        <v>Geological process in which earthen materials are worn away and transported by natural forces.</v>
      </c>
      <c r="P57" s="5" t="str">
        <f>VLOOKUP(E57,Pressures!$A$2:$B$145,2,FALSE)</f>
        <v>A greater number of vehicles moving along roads, or the amount of aircraft, trains, or ships moving along a route.</v>
      </c>
      <c r="AE57" s="32">
        <v>111216</v>
      </c>
      <c r="AF57" s="32">
        <v>112216</v>
      </c>
      <c r="AG57" s="32">
        <v>123216</v>
      </c>
      <c r="AH57" s="32">
        <v>124216</v>
      </c>
      <c r="AW57" s="5">
        <v>0</v>
      </c>
      <c r="AX57" s="5">
        <v>0</v>
      </c>
      <c r="AZ57" s="5">
        <v>1</v>
      </c>
      <c r="BA57" s="5">
        <v>2</v>
      </c>
      <c r="BB57" s="5">
        <v>3</v>
      </c>
      <c r="BL57" s="7">
        <v>220220</v>
      </c>
      <c r="DK57" s="8"/>
      <c r="DL57" s="8"/>
      <c r="DM57" s="8"/>
      <c r="DN57" s="8"/>
      <c r="DO57" s="50"/>
      <c r="DP57" s="50"/>
      <c r="DQ57" s="50"/>
      <c r="DR57" s="50"/>
      <c r="DS57" s="50"/>
      <c r="DT57" s="50"/>
      <c r="DU57" s="50"/>
      <c r="DV57" s="50"/>
      <c r="DW57" s="50"/>
      <c r="DX57" s="50"/>
      <c r="DY57" s="50"/>
      <c r="DZ57" s="50"/>
      <c r="EA57" s="50"/>
      <c r="EB57" s="50"/>
      <c r="EC57" s="50"/>
      <c r="ED57" s="50"/>
      <c r="EE57" s="50"/>
      <c r="EF57" s="50"/>
      <c r="EG57" s="50"/>
      <c r="EH57" s="50"/>
      <c r="EI57" s="50"/>
      <c r="EJ57" s="50"/>
      <c r="EK57" s="50"/>
      <c r="EL57" s="50"/>
      <c r="EM57" s="50"/>
      <c r="EN57" s="50"/>
      <c r="EO57" s="50"/>
      <c r="EP57" s="50"/>
      <c r="EQ57" s="50">
        <v>1</v>
      </c>
      <c r="ER57" s="50"/>
      <c r="ET57" s="55">
        <f t="shared" si="2"/>
        <v>1</v>
      </c>
    </row>
    <row r="58" spans="1:150" s="5" customFormat="1" ht="16" customHeight="1" x14ac:dyDescent="0.2">
      <c r="A58" s="5">
        <v>21</v>
      </c>
      <c r="B58" s="8" t="s">
        <v>27</v>
      </c>
      <c r="C58" s="8" t="s">
        <v>45</v>
      </c>
      <c r="D58" s="5">
        <v>66</v>
      </c>
      <c r="E58" s="5" t="s">
        <v>46</v>
      </c>
      <c r="F58" s="21" t="s">
        <v>174</v>
      </c>
      <c r="G58" s="21">
        <v>57</v>
      </c>
      <c r="H58" s="5">
        <f t="shared" si="0"/>
        <v>21066</v>
      </c>
      <c r="I58" t="s">
        <v>1090</v>
      </c>
      <c r="J58">
        <v>153</v>
      </c>
      <c r="K58">
        <v>102</v>
      </c>
      <c r="L58">
        <v>204</v>
      </c>
      <c r="M58" s="6">
        <v>255</v>
      </c>
      <c r="N58" s="6" t="str">
        <f t="shared" si="1"/>
        <v>57: (153, 102, 204, 255, Erosion (increased wind): 21066),</v>
      </c>
      <c r="O58" s="5" t="str">
        <f>VLOOKUP(Australia!B58,Impacts!$A$2:$B$80,2, FALSE)</f>
        <v>Geological process in which earthen materials are worn away and transported by natural forces.</v>
      </c>
      <c r="P58" s="5" t="str">
        <f>VLOOKUP(E58,Pressures!$A$2:$B$145,2,FALSE)</f>
        <v>A higher velocity of air movement into an area associated with, for example, cyclones, hurricans, typhoons, tornados, thunderstorms, storms or ice storms.</v>
      </c>
      <c r="AA58" s="29">
        <v>216216</v>
      </c>
      <c r="AW58" s="5">
        <v>0</v>
      </c>
      <c r="AX58" s="5">
        <v>0</v>
      </c>
      <c r="AZ58" s="5">
        <v>1</v>
      </c>
      <c r="BA58" s="5">
        <v>2</v>
      </c>
      <c r="BB58" s="5">
        <v>3</v>
      </c>
      <c r="BD58" s="7">
        <v>111220</v>
      </c>
      <c r="BE58" s="7">
        <v>112220</v>
      </c>
      <c r="BF58" s="7">
        <v>123220</v>
      </c>
      <c r="BG58" s="7">
        <v>124220</v>
      </c>
      <c r="BH58" s="7">
        <v>215220</v>
      </c>
      <c r="BI58" s="7">
        <v>216220</v>
      </c>
      <c r="BL58" s="7">
        <v>220220</v>
      </c>
      <c r="DK58" s="8"/>
      <c r="DL58" s="8"/>
      <c r="DM58" s="8"/>
      <c r="DN58" s="8"/>
      <c r="DO58" s="50"/>
      <c r="DP58" s="50"/>
      <c r="DQ58" s="50"/>
      <c r="DR58" s="50"/>
      <c r="DS58" s="50"/>
      <c r="DT58" s="50"/>
      <c r="DU58" s="50"/>
      <c r="DV58" s="50"/>
      <c r="DW58" s="50"/>
      <c r="DX58" s="50"/>
      <c r="DY58" s="50"/>
      <c r="DZ58" s="50"/>
      <c r="EA58" s="50"/>
      <c r="EB58" s="50"/>
      <c r="EC58" s="50">
        <v>1</v>
      </c>
      <c r="ED58" s="50"/>
      <c r="EE58" s="50"/>
      <c r="EF58" s="50"/>
      <c r="EG58" s="50"/>
      <c r="EH58" s="50"/>
      <c r="EI58" s="50"/>
      <c r="EJ58" s="50"/>
      <c r="EK58" s="50"/>
      <c r="EL58" s="50"/>
      <c r="EM58" s="50"/>
      <c r="EN58" s="50"/>
      <c r="EO58" s="50"/>
      <c r="EP58" s="50"/>
      <c r="EQ58" s="50"/>
      <c r="ER58" s="50"/>
      <c r="ET58" s="55">
        <f t="shared" si="2"/>
        <v>1</v>
      </c>
    </row>
    <row r="59" spans="1:150" s="5" customFormat="1" ht="16" customHeight="1" x14ac:dyDescent="0.2">
      <c r="A59" s="5">
        <v>21</v>
      </c>
      <c r="B59" s="8" t="s">
        <v>27</v>
      </c>
      <c r="C59" s="39" t="s">
        <v>175</v>
      </c>
      <c r="D59" s="5">
        <v>110</v>
      </c>
      <c r="E59" s="5" t="s">
        <v>176</v>
      </c>
      <c r="F59" s="21" t="s">
        <v>177</v>
      </c>
      <c r="G59" s="21">
        <v>58</v>
      </c>
      <c r="H59" s="5">
        <f t="shared" si="0"/>
        <v>21110</v>
      </c>
      <c r="I59" t="s">
        <v>1091</v>
      </c>
      <c r="J59">
        <v>162</v>
      </c>
      <c r="K59">
        <v>173</v>
      </c>
      <c r="L59">
        <v>208</v>
      </c>
      <c r="M59" s="6">
        <v>255</v>
      </c>
      <c r="N59" s="6" t="str">
        <f t="shared" si="1"/>
        <v>58: (162, 173, 208, 255, Erosion (sea level fluctuation): 21110),</v>
      </c>
      <c r="O59" s="5" t="str">
        <f>VLOOKUP(Australia!B59,Impacts!$A$2:$B$80,2, FALSE)</f>
        <v>Geological process in which earthen materials are worn away and transported by natural forces.</v>
      </c>
      <c r="P59" s="5" t="str">
        <f>VLOOKUP(E59,Pressures!$A$2:$B$145,2,FALSE)</f>
        <v>Irregular rise and fall of sea level.</v>
      </c>
      <c r="AA59" s="29">
        <v>216216</v>
      </c>
      <c r="AE59" s="32">
        <v>111216</v>
      </c>
      <c r="AF59" s="32">
        <v>112216</v>
      </c>
      <c r="AG59" s="32">
        <v>123216</v>
      </c>
      <c r="AH59" s="32">
        <v>124216</v>
      </c>
      <c r="AI59" s="32">
        <v>215216</v>
      </c>
      <c r="AW59" s="5">
        <v>0</v>
      </c>
      <c r="AX59" s="5">
        <v>0</v>
      </c>
      <c r="AZ59" s="5">
        <v>1</v>
      </c>
      <c r="BA59" s="5">
        <v>2</v>
      </c>
      <c r="BB59" s="5">
        <v>3</v>
      </c>
      <c r="DK59" s="8"/>
      <c r="DL59" s="8"/>
      <c r="DM59" s="8"/>
      <c r="DN59" s="8"/>
      <c r="DO59" s="50"/>
      <c r="DP59" s="50"/>
      <c r="DQ59" s="50"/>
      <c r="DR59" s="50"/>
      <c r="DS59" s="50">
        <v>1</v>
      </c>
      <c r="DT59" s="50"/>
      <c r="DU59" s="50"/>
      <c r="DV59" s="50"/>
      <c r="DW59" s="50"/>
      <c r="DX59" s="50"/>
      <c r="DY59" s="50"/>
      <c r="DZ59" s="50"/>
      <c r="EA59" s="50"/>
      <c r="EB59" s="50"/>
      <c r="EC59" s="50"/>
      <c r="ED59" s="50"/>
      <c r="EE59" s="50">
        <v>1</v>
      </c>
      <c r="EF59" s="50"/>
      <c r="EG59" s="50"/>
      <c r="EH59" s="50"/>
      <c r="EI59" s="50"/>
      <c r="EJ59" s="50"/>
      <c r="EK59" s="50"/>
      <c r="EL59" s="50"/>
      <c r="EM59" s="50"/>
      <c r="EN59" s="50"/>
      <c r="EO59" s="50"/>
      <c r="EP59" s="50"/>
      <c r="EQ59" s="50"/>
      <c r="ER59" s="50"/>
      <c r="ET59" s="55">
        <f t="shared" si="2"/>
        <v>2</v>
      </c>
    </row>
    <row r="60" spans="1:150" s="5" customFormat="1" ht="16" customHeight="1" x14ac:dyDescent="0.2">
      <c r="A60" s="5">
        <v>21</v>
      </c>
      <c r="B60" s="39" t="s">
        <v>27</v>
      </c>
      <c r="C60" s="39" t="s">
        <v>178</v>
      </c>
      <c r="D60" s="5">
        <v>127</v>
      </c>
      <c r="E60" s="5" t="s">
        <v>179</v>
      </c>
      <c r="F60" s="21" t="s">
        <v>180</v>
      </c>
      <c r="G60" s="21">
        <v>59</v>
      </c>
      <c r="H60" s="5">
        <f t="shared" si="0"/>
        <v>21127</v>
      </c>
      <c r="I60" t="s">
        <v>1092</v>
      </c>
      <c r="J60">
        <v>115</v>
      </c>
      <c r="K60">
        <v>54</v>
      </c>
      <c r="L60">
        <v>53</v>
      </c>
      <c r="M60" s="6">
        <v>255</v>
      </c>
      <c r="N60" s="6" t="str">
        <f t="shared" si="1"/>
        <v>59: (115, 54, 53, 255, Erosion (topsoil removal): 21127),</v>
      </c>
      <c r="O60" s="5" t="str">
        <f>VLOOKUP(Australia!B60,Impacts!$A$2:$B$80,2, FALSE)</f>
        <v>Geological process in which earthen materials are worn away and transported by natural forces.</v>
      </c>
      <c r="P60" s="5" t="str">
        <f>VLOOKUP(E60,Pressures!$A$2:$B$145,2,FALSE)</f>
        <v>Taking away the surface layer of soil that contains partly decomposed organic debris.</v>
      </c>
      <c r="AE60" s="29">
        <v>111216</v>
      </c>
      <c r="AF60" s="32">
        <v>123216</v>
      </c>
      <c r="AW60" s="5">
        <v>0</v>
      </c>
      <c r="AX60" s="5">
        <v>0</v>
      </c>
      <c r="AZ60" s="5">
        <v>1</v>
      </c>
      <c r="BA60" s="5">
        <v>2</v>
      </c>
      <c r="BB60" s="5">
        <v>3</v>
      </c>
      <c r="BD60" s="7">
        <v>111216</v>
      </c>
      <c r="BE60" s="7">
        <v>112216</v>
      </c>
      <c r="BF60" s="7">
        <v>123216</v>
      </c>
      <c r="BG60" s="7">
        <v>124216</v>
      </c>
      <c r="BH60" s="7">
        <v>215216</v>
      </c>
      <c r="BI60" s="7">
        <v>216216</v>
      </c>
      <c r="BL60" s="7">
        <v>220216</v>
      </c>
      <c r="DK60" s="8"/>
      <c r="DL60" s="8"/>
      <c r="DM60" s="8"/>
      <c r="DN60" s="8"/>
      <c r="DO60" s="50"/>
      <c r="DP60" s="50"/>
      <c r="DQ60" s="50"/>
      <c r="DR60" s="50"/>
      <c r="DS60" s="50"/>
      <c r="DT60" s="50"/>
      <c r="DU60" s="50"/>
      <c r="DV60" s="50"/>
      <c r="DW60" s="50"/>
      <c r="DX60" s="50"/>
      <c r="DY60" s="50"/>
      <c r="DZ60" s="50"/>
      <c r="EA60" s="50"/>
      <c r="EB60" s="50"/>
      <c r="EC60" s="50"/>
      <c r="ED60" s="50"/>
      <c r="EE60" s="50"/>
      <c r="EF60" s="50"/>
      <c r="EG60" s="50"/>
      <c r="EH60" s="50"/>
      <c r="EI60" s="50"/>
      <c r="EJ60" s="50"/>
      <c r="EK60" s="50">
        <v>1</v>
      </c>
      <c r="EL60" s="50">
        <v>1</v>
      </c>
      <c r="EM60" s="50">
        <v>1</v>
      </c>
      <c r="EN60" s="50"/>
      <c r="EO60" s="50"/>
      <c r="EP60" s="50"/>
      <c r="EQ60" s="50"/>
      <c r="ER60" s="50"/>
      <c r="ET60" s="55">
        <f t="shared" si="2"/>
        <v>3</v>
      </c>
    </row>
    <row r="61" spans="1:150" s="5" customFormat="1" ht="16" customHeight="1" x14ac:dyDescent="0.2">
      <c r="A61" s="5">
        <v>21</v>
      </c>
      <c r="B61" s="44" t="s">
        <v>27</v>
      </c>
      <c r="C61" s="44" t="s">
        <v>181</v>
      </c>
      <c r="D61" s="5">
        <v>140</v>
      </c>
      <c r="E61" s="5" t="s">
        <v>182</v>
      </c>
      <c r="F61" s="21" t="s">
        <v>183</v>
      </c>
      <c r="G61" s="21">
        <v>60</v>
      </c>
      <c r="H61" s="5">
        <f t="shared" si="0"/>
        <v>21140</v>
      </c>
      <c r="I61" t="s">
        <v>1093</v>
      </c>
      <c r="J61">
        <v>26</v>
      </c>
      <c r="K61">
        <v>72</v>
      </c>
      <c r="L61">
        <v>118</v>
      </c>
      <c r="M61" s="6">
        <v>255</v>
      </c>
      <c r="N61" s="6" t="str">
        <f t="shared" si="1"/>
        <v>60: (26, 72, 118, 255, Erosion (water movement change): 21140),</v>
      </c>
      <c r="O61" s="5" t="str">
        <f>VLOOKUP(Australia!B61,Impacts!$A$2:$B$80,2, FALSE)</f>
        <v>Geological process in which earthen materials are worn away and transported by natural forces.</v>
      </c>
      <c r="P61" s="5" t="str">
        <f>VLOOKUP(E61,Pressures!$A$2:$B$145,2,FALSE)</f>
        <v>A change in the direction of flow of a body of water that might be accompanied by a change in velocity, turbulence and/or discharge.</v>
      </c>
      <c r="AA61" s="5" t="s">
        <v>713</v>
      </c>
      <c r="AB61" s="34">
        <v>227227</v>
      </c>
      <c r="AC61" s="34">
        <v>228228</v>
      </c>
      <c r="AD61" s="34">
        <v>220220</v>
      </c>
      <c r="AE61" s="32">
        <v>111216</v>
      </c>
      <c r="AF61" s="32">
        <v>112216</v>
      </c>
      <c r="AG61" s="32">
        <v>123216</v>
      </c>
      <c r="AH61" s="32">
        <v>124216</v>
      </c>
      <c r="AI61" s="32">
        <v>215216</v>
      </c>
      <c r="AJ61" s="32">
        <v>112228</v>
      </c>
      <c r="AK61" s="32">
        <v>123228</v>
      </c>
      <c r="AL61" s="32">
        <v>124228</v>
      </c>
      <c r="AM61" s="32">
        <v>215228</v>
      </c>
      <c r="AN61" s="32">
        <v>216228</v>
      </c>
      <c r="AO61" s="32">
        <v>111220</v>
      </c>
      <c r="AP61" s="32">
        <v>112220</v>
      </c>
      <c r="AQ61" s="32">
        <v>123220</v>
      </c>
      <c r="AR61" s="32">
        <v>124220</v>
      </c>
      <c r="AS61" s="32">
        <v>215220</v>
      </c>
      <c r="AT61" s="32">
        <v>216220</v>
      </c>
      <c r="AW61" s="5">
        <v>0</v>
      </c>
      <c r="AX61" s="5">
        <v>0</v>
      </c>
      <c r="AZ61" s="5">
        <v>1</v>
      </c>
      <c r="BA61" s="5">
        <v>2</v>
      </c>
      <c r="BB61" s="5">
        <v>3</v>
      </c>
      <c r="DA61" s="34">
        <v>11</v>
      </c>
      <c r="DK61" s="8"/>
      <c r="DL61" s="8"/>
      <c r="DM61" s="8"/>
      <c r="DN61" s="8"/>
      <c r="DO61" s="50"/>
      <c r="DP61" s="50"/>
      <c r="DQ61" s="50"/>
      <c r="DR61" s="50"/>
      <c r="DS61" s="50"/>
      <c r="DT61" s="50">
        <v>1</v>
      </c>
      <c r="DU61" s="50"/>
      <c r="DV61" s="50"/>
      <c r="DW61" s="50"/>
      <c r="DX61" s="50"/>
      <c r="DY61" s="50"/>
      <c r="DZ61" s="50"/>
      <c r="EA61" s="50"/>
      <c r="EB61" s="50"/>
      <c r="EC61" s="50"/>
      <c r="ED61" s="50"/>
      <c r="EE61" s="50"/>
      <c r="EF61" s="50"/>
      <c r="EG61" s="50"/>
      <c r="EH61" s="50"/>
      <c r="EI61" s="50"/>
      <c r="EJ61" s="50"/>
      <c r="EK61" s="50"/>
      <c r="EL61" s="50"/>
      <c r="EM61" s="50"/>
      <c r="EN61" s="50"/>
      <c r="EO61" s="50"/>
      <c r="EP61" s="50"/>
      <c r="EQ61" s="50"/>
      <c r="ER61" s="50"/>
      <c r="ET61" s="55">
        <f t="shared" si="2"/>
        <v>1</v>
      </c>
    </row>
    <row r="62" spans="1:150" s="5" customFormat="1" ht="16" customHeight="1" x14ac:dyDescent="0.2">
      <c r="A62" s="5">
        <v>21</v>
      </c>
      <c r="B62" s="44" t="s">
        <v>27</v>
      </c>
      <c r="C62" s="44" t="s">
        <v>184</v>
      </c>
      <c r="D62" s="5">
        <v>139</v>
      </c>
      <c r="E62" s="5" t="s">
        <v>185</v>
      </c>
      <c r="F62" s="21" t="s">
        <v>186</v>
      </c>
      <c r="G62" s="21">
        <v>61</v>
      </c>
      <c r="H62" s="5">
        <f t="shared" si="0"/>
        <v>21139</v>
      </c>
      <c r="I62" t="s">
        <v>1049</v>
      </c>
      <c r="J62">
        <v>106</v>
      </c>
      <c r="K62">
        <v>90</v>
      </c>
      <c r="L62">
        <v>205</v>
      </c>
      <c r="M62" s="6">
        <v>255</v>
      </c>
      <c r="N62" s="6" t="str">
        <f t="shared" si="1"/>
        <v>61: (106, 90, 205, 255, Erosion (wave action): 21139),</v>
      </c>
      <c r="O62" s="5" t="str">
        <f>VLOOKUP(Australia!B62,Impacts!$A$2:$B$80,2, FALSE)</f>
        <v>Geological process in which earthen materials are worn away and transported by natural forces.</v>
      </c>
      <c r="P62" s="5" t="str">
        <f>VLOOKUP(E62,Pressures!$A$2:$B$145,2,FALSE)</f>
        <v>Disturbance on the surface of a liquid body, as the sea or a lake, in the form of a moving ridge or swell that impacts on the structure of land elements.</v>
      </c>
      <c r="AB62" s="34">
        <v>227227</v>
      </c>
      <c r="AC62" s="34">
        <v>228228</v>
      </c>
      <c r="AD62" s="34">
        <v>220220</v>
      </c>
      <c r="AE62" s="32">
        <v>111216</v>
      </c>
      <c r="AF62" s="32">
        <v>112216</v>
      </c>
      <c r="AG62" s="32">
        <v>123216</v>
      </c>
      <c r="AH62" s="32">
        <v>124216</v>
      </c>
      <c r="AI62" s="32">
        <v>215216</v>
      </c>
      <c r="AJ62" s="32">
        <v>112228</v>
      </c>
      <c r="AK62" s="32">
        <v>123228</v>
      </c>
      <c r="AL62" s="32">
        <v>124228</v>
      </c>
      <c r="AM62" s="32">
        <v>215228</v>
      </c>
      <c r="AN62" s="32">
        <v>216228</v>
      </c>
      <c r="AO62" s="32">
        <v>111220</v>
      </c>
      <c r="AP62" s="32">
        <v>112220</v>
      </c>
      <c r="AQ62" s="32">
        <v>123220</v>
      </c>
      <c r="AR62" s="32">
        <v>124220</v>
      </c>
      <c r="AS62" s="32">
        <v>215220</v>
      </c>
      <c r="AT62" s="32">
        <v>216220</v>
      </c>
      <c r="AW62" s="5">
        <v>0</v>
      </c>
      <c r="AX62" s="5">
        <v>0</v>
      </c>
      <c r="AZ62" s="5">
        <v>1</v>
      </c>
      <c r="BA62" s="5">
        <v>2</v>
      </c>
      <c r="BB62" s="5">
        <v>3</v>
      </c>
      <c r="BH62" s="7">
        <v>215215</v>
      </c>
      <c r="DA62" s="34">
        <v>11</v>
      </c>
      <c r="DK62" s="8"/>
      <c r="DL62" s="8"/>
      <c r="DM62" s="8"/>
      <c r="DN62" s="8"/>
      <c r="DO62" s="50"/>
      <c r="DP62" s="50"/>
      <c r="DQ62" s="50"/>
      <c r="DR62" s="50"/>
      <c r="DS62" s="50"/>
      <c r="DT62" s="50"/>
      <c r="DU62" s="50"/>
      <c r="DV62" s="50"/>
      <c r="DW62" s="50"/>
      <c r="DX62" s="50"/>
      <c r="DY62" s="50"/>
      <c r="DZ62" s="50"/>
      <c r="EA62" s="50"/>
      <c r="EB62" s="50"/>
      <c r="EC62" s="50"/>
      <c r="ED62" s="50"/>
      <c r="EE62" s="50">
        <v>1</v>
      </c>
      <c r="EF62" s="50"/>
      <c r="EG62" s="50"/>
      <c r="EH62" s="50"/>
      <c r="EI62" s="50"/>
      <c r="EJ62" s="50"/>
      <c r="EK62" s="50"/>
      <c r="EL62" s="50"/>
      <c r="EM62" s="50"/>
      <c r="EN62" s="50"/>
      <c r="EO62" s="50"/>
      <c r="EP62" s="50"/>
      <c r="EQ62" s="50"/>
      <c r="ER62" s="50"/>
      <c r="ET62" s="55">
        <f t="shared" si="2"/>
        <v>1</v>
      </c>
    </row>
    <row r="63" spans="1:150" s="5" customFormat="1" ht="16" customHeight="1" x14ac:dyDescent="0.2">
      <c r="A63" s="5">
        <v>22</v>
      </c>
      <c r="B63" s="39" t="s">
        <v>43</v>
      </c>
      <c r="C63" s="39" t="s">
        <v>95</v>
      </c>
      <c r="D63" s="5">
        <v>39</v>
      </c>
      <c r="E63" s="5" t="s">
        <v>96</v>
      </c>
      <c r="F63" s="21" t="s">
        <v>187</v>
      </c>
      <c r="G63" s="21">
        <v>62</v>
      </c>
      <c r="H63" s="5">
        <f t="shared" si="0"/>
        <v>22039</v>
      </c>
      <c r="I63" t="s">
        <v>1094</v>
      </c>
      <c r="J63">
        <v>111</v>
      </c>
      <c r="K63">
        <v>0</v>
      </c>
      <c r="L63">
        <v>255</v>
      </c>
      <c r="M63" s="6">
        <v>255</v>
      </c>
      <c r="N63" s="6" t="str">
        <f t="shared" si="1"/>
        <v>62: (111, 0, 255, 255, Flooding (excess rain): 22039),</v>
      </c>
      <c r="O63" s="5" t="str">
        <f>VLOOKUP(Australia!B63,Impacts!$A$2:$B$80,2, FALSE)</f>
        <v>Inundation of water over an area.</v>
      </c>
      <c r="P63" s="5" t="str">
        <f>VLOOKUP(E63,Pressures!$A$2:$B$145,2,FALSE)</f>
        <v>Heavy rainfall associated with the passage of a storm or tropical cyclone than can produce extensive flooding.</v>
      </c>
      <c r="AE63" s="32">
        <v>112228</v>
      </c>
      <c r="AF63" s="32">
        <v>123228</v>
      </c>
      <c r="AG63" s="32">
        <v>124228</v>
      </c>
      <c r="AH63" s="32">
        <v>215228</v>
      </c>
      <c r="AI63" s="32">
        <v>216228</v>
      </c>
      <c r="AJ63" s="32">
        <v>111220</v>
      </c>
      <c r="AK63" s="32">
        <v>112220</v>
      </c>
      <c r="AL63" s="32">
        <v>123220</v>
      </c>
      <c r="AM63" s="32">
        <v>124220</v>
      </c>
      <c r="AN63" s="32">
        <v>215220</v>
      </c>
      <c r="AO63" s="32">
        <v>216220</v>
      </c>
      <c r="AW63" s="5">
        <v>1</v>
      </c>
      <c r="AX63" s="5">
        <v>0</v>
      </c>
      <c r="AZ63" s="5">
        <v>1</v>
      </c>
      <c r="BA63" s="5">
        <v>2</v>
      </c>
      <c r="BB63" s="5">
        <v>3</v>
      </c>
      <c r="BD63" s="7">
        <v>111215</v>
      </c>
      <c r="BE63" s="7">
        <v>112215</v>
      </c>
      <c r="BF63" s="7">
        <v>123215</v>
      </c>
      <c r="BG63" s="7">
        <v>124215</v>
      </c>
      <c r="BH63" s="7">
        <v>215215</v>
      </c>
      <c r="BI63" s="7">
        <v>216215</v>
      </c>
      <c r="BL63" s="7">
        <v>220215</v>
      </c>
      <c r="DK63" s="8"/>
      <c r="DL63" s="8"/>
      <c r="DM63" s="8"/>
      <c r="DN63" s="8"/>
      <c r="DO63" s="50"/>
      <c r="DP63" s="50"/>
      <c r="DQ63" s="50"/>
      <c r="DR63" s="50"/>
      <c r="DS63" s="50"/>
      <c r="DT63" s="50"/>
      <c r="DU63" s="50"/>
      <c r="DV63" s="50"/>
      <c r="DW63" s="50"/>
      <c r="DX63" s="50"/>
      <c r="DY63" s="50"/>
      <c r="DZ63" s="50"/>
      <c r="EA63" s="50"/>
      <c r="EB63" s="50">
        <v>1</v>
      </c>
      <c r="EC63" s="50"/>
      <c r="ED63" s="50"/>
      <c r="EE63" s="50"/>
      <c r="EF63" s="50"/>
      <c r="EG63" s="50"/>
      <c r="EH63" s="50"/>
      <c r="EI63" s="50"/>
      <c r="EJ63" s="50"/>
      <c r="EK63" s="50"/>
      <c r="EL63" s="50"/>
      <c r="EM63" s="50"/>
      <c r="EN63" s="50"/>
      <c r="EO63" s="50"/>
      <c r="EP63" s="50"/>
      <c r="EQ63" s="50"/>
      <c r="ER63" s="50"/>
      <c r="ET63" s="55">
        <f t="shared" si="2"/>
        <v>1</v>
      </c>
    </row>
    <row r="64" spans="1:150" s="5" customFormat="1" ht="16" customHeight="1" x14ac:dyDescent="0.2">
      <c r="A64" s="5">
        <v>22</v>
      </c>
      <c r="B64" s="39" t="s">
        <v>43</v>
      </c>
      <c r="C64" s="39" t="s">
        <v>224</v>
      </c>
      <c r="D64" s="5">
        <v>123</v>
      </c>
      <c r="E64" s="5" t="s">
        <v>225</v>
      </c>
      <c r="F64" s="22" t="s">
        <v>188</v>
      </c>
      <c r="G64" s="21">
        <v>63</v>
      </c>
      <c r="H64" s="5">
        <f t="shared" si="0"/>
        <v>22123</v>
      </c>
      <c r="I64" t="s">
        <v>1095</v>
      </c>
      <c r="J64">
        <v>135</v>
      </c>
      <c r="K64">
        <v>206</v>
      </c>
      <c r="L64">
        <v>235</v>
      </c>
      <c r="M64" s="6">
        <v>255</v>
      </c>
      <c r="N64" s="6" t="str">
        <f t="shared" si="1"/>
        <v>63: (135, 206, 235, 255, Flooding (excess snow): 22123),</v>
      </c>
      <c r="O64" s="5" t="str">
        <f>VLOOKUP(Australia!B64,Impacts!$A$2:$B$80,2, FALSE)</f>
        <v>Inundation of water over an area.</v>
      </c>
      <c r="P64" s="5" t="str">
        <f>VLOOKUP(E64,Pressures!$A$2:$B$145,2,FALSE)</f>
        <v>Water produced by the melting of snow.</v>
      </c>
      <c r="AE64" s="32">
        <v>112228</v>
      </c>
      <c r="AF64" s="32">
        <v>123228</v>
      </c>
      <c r="AG64" s="32">
        <v>124228</v>
      </c>
      <c r="AH64" s="32">
        <v>215228</v>
      </c>
      <c r="AI64" s="32">
        <v>216228</v>
      </c>
      <c r="AJ64" s="32">
        <v>111220</v>
      </c>
      <c r="AK64" s="32">
        <v>112220</v>
      </c>
      <c r="AL64" s="32">
        <v>123220</v>
      </c>
      <c r="AM64" s="32">
        <v>124220</v>
      </c>
      <c r="AN64" s="32">
        <v>215220</v>
      </c>
      <c r="AO64" s="32">
        <v>216220</v>
      </c>
      <c r="BD64" s="7"/>
      <c r="BE64" s="7"/>
      <c r="BF64" s="7"/>
      <c r="BG64" s="7"/>
      <c r="BH64" s="7"/>
      <c r="BI64" s="7"/>
      <c r="BL64" s="7"/>
      <c r="DK64" s="8"/>
      <c r="DL64" s="8"/>
      <c r="DM64" s="8"/>
      <c r="DN64" s="8"/>
      <c r="DO64" s="50"/>
      <c r="DP64" s="50"/>
      <c r="DQ64" s="50"/>
      <c r="DR64" s="50"/>
      <c r="DS64" s="50"/>
      <c r="DT64" s="50"/>
      <c r="DU64" s="50">
        <v>1</v>
      </c>
      <c r="DV64" s="50"/>
      <c r="DW64" s="50"/>
      <c r="DX64" s="50"/>
      <c r="DY64" s="50">
        <v>1</v>
      </c>
      <c r="DZ64" s="50"/>
      <c r="EA64" s="50"/>
      <c r="EB64" s="50"/>
      <c r="EC64" s="50"/>
      <c r="ED64" s="50"/>
      <c r="EE64" s="50"/>
      <c r="EF64" s="50"/>
      <c r="EG64" s="50"/>
      <c r="EH64" s="50"/>
      <c r="EI64" s="50"/>
      <c r="EJ64" s="50"/>
      <c r="EK64" s="50"/>
      <c r="EL64" s="50"/>
      <c r="EM64" s="50"/>
      <c r="EN64" s="50"/>
      <c r="EO64" s="50"/>
      <c r="EP64" s="50"/>
      <c r="EQ64" s="50"/>
      <c r="ER64" s="50"/>
      <c r="ET64" s="55">
        <f t="shared" si="2"/>
        <v>2</v>
      </c>
    </row>
    <row r="65" spans="1:150" s="5" customFormat="1" ht="16" customHeight="1" x14ac:dyDescent="0.2">
      <c r="A65" s="5">
        <v>23</v>
      </c>
      <c r="B65" s="39" t="s">
        <v>189</v>
      </c>
      <c r="C65" s="39" t="s">
        <v>157</v>
      </c>
      <c r="D65" s="5">
        <v>80</v>
      </c>
      <c r="E65" s="5" t="s">
        <v>158</v>
      </c>
      <c r="F65" s="21" t="s">
        <v>190</v>
      </c>
      <c r="G65" s="21">
        <v>64</v>
      </c>
      <c r="H65" s="5">
        <f t="shared" si="0"/>
        <v>23080</v>
      </c>
      <c r="I65" t="s">
        <v>1096</v>
      </c>
      <c r="J65">
        <v>141</v>
      </c>
      <c r="K65">
        <v>43</v>
      </c>
      <c r="L65">
        <v>11</v>
      </c>
      <c r="M65" s="6">
        <v>255</v>
      </c>
      <c r="N65" s="6" t="str">
        <f t="shared" si="1"/>
        <v>64: (141, 43, 11, 255, Geomorphological change (mining): 23080),</v>
      </c>
      <c r="O65" s="5" t="str">
        <f>VLOOKUP(Australia!B65,Impacts!$A$2:$B$80,2, FALSE)</f>
        <v xml:space="preserve">A geomorphic adjustment that changes the geometry of landforms. </v>
      </c>
      <c r="P65" s="5" t="str">
        <f>VLOOKUP(E65,Pressures!$A$2:$B$145,2,FALSE)</f>
        <v>Extraction of minerals, precious stones or coal, either through open cuts or deep shafts.</v>
      </c>
      <c r="AE65" s="32">
        <v>111215</v>
      </c>
      <c r="AF65" s="32">
        <v>112215</v>
      </c>
      <c r="AG65" s="32">
        <v>123215</v>
      </c>
      <c r="AH65" s="32">
        <v>124215</v>
      </c>
      <c r="AI65" s="32">
        <v>215215</v>
      </c>
      <c r="AW65" s="5">
        <v>1</v>
      </c>
      <c r="AX65" s="5">
        <v>0</v>
      </c>
      <c r="AZ65" s="5">
        <v>1</v>
      </c>
      <c r="BA65" s="5">
        <v>2</v>
      </c>
      <c r="BB65" s="5">
        <v>3</v>
      </c>
      <c r="BI65" s="7">
        <v>216216</v>
      </c>
      <c r="DK65" s="8"/>
      <c r="DL65" s="8"/>
      <c r="DM65" s="8"/>
      <c r="DN65" s="8"/>
      <c r="DO65" s="50"/>
      <c r="DP65" s="50"/>
      <c r="DQ65" s="50"/>
      <c r="DR65" s="50"/>
      <c r="DS65" s="50"/>
      <c r="DT65" s="50"/>
      <c r="DU65" s="50"/>
      <c r="DV65" s="50"/>
      <c r="DW65" s="50"/>
      <c r="DX65" s="50"/>
      <c r="DY65" s="50"/>
      <c r="DZ65" s="50"/>
      <c r="EA65" s="50"/>
      <c r="EB65" s="50"/>
      <c r="EC65" s="50"/>
      <c r="ED65" s="50"/>
      <c r="EE65" s="50"/>
      <c r="EF65" s="50"/>
      <c r="EG65" s="50"/>
      <c r="EH65" s="50"/>
      <c r="EI65" s="50"/>
      <c r="EJ65" s="50"/>
      <c r="EK65" s="50">
        <v>1</v>
      </c>
      <c r="EL65" s="50"/>
      <c r="EM65" s="50"/>
      <c r="EN65" s="50"/>
      <c r="EO65" s="50"/>
      <c r="EP65" s="50"/>
      <c r="EQ65" s="50"/>
      <c r="ER65" s="50"/>
      <c r="ET65" s="55">
        <f t="shared" si="2"/>
        <v>1</v>
      </c>
    </row>
    <row r="66" spans="1:150" s="5" customFormat="1" ht="16" customHeight="1" x14ac:dyDescent="0.2">
      <c r="A66" s="5">
        <v>24</v>
      </c>
      <c r="B66" s="39" t="s">
        <v>191</v>
      </c>
      <c r="C66" s="39" t="s">
        <v>81</v>
      </c>
      <c r="D66" s="5">
        <v>96</v>
      </c>
      <c r="E66" s="5" t="s">
        <v>82</v>
      </c>
      <c r="F66" s="21" t="s">
        <v>192</v>
      </c>
      <c r="G66" s="21">
        <v>65</v>
      </c>
      <c r="H66" s="5">
        <f t="shared" si="0"/>
        <v>24096</v>
      </c>
      <c r="I66" t="s">
        <v>1097</v>
      </c>
      <c r="J66">
        <v>176</v>
      </c>
      <c r="K66">
        <v>224</v>
      </c>
      <c r="L66">
        <v>230</v>
      </c>
      <c r="M66" s="6">
        <v>255</v>
      </c>
      <c r="N66" s="6" t="str">
        <f t="shared" si="1"/>
        <v>65: (176, 224, 230, 255, Glaciation (prolonged temperature decrease): 24096),</v>
      </c>
      <c r="O66" s="5" t="str">
        <f>VLOOKUP(Australia!B66,Impacts!$A$2:$B$80,2, FALSE)</f>
        <v>Expansion of ice or glacier cover.</v>
      </c>
      <c r="P66" s="5" t="str">
        <f>VLOOKUP(E66,Pressures!$A$2:$B$145,2,FALSE)</f>
        <v>Seasonal to multi-annual decreases in temperature compared with past averages.</v>
      </c>
      <c r="AE66" s="32">
        <v>112228</v>
      </c>
      <c r="AF66" s="32">
        <v>123228</v>
      </c>
      <c r="AG66" s="32">
        <v>124228</v>
      </c>
      <c r="AH66" s="32">
        <v>215228</v>
      </c>
      <c r="AI66" s="32">
        <v>216220</v>
      </c>
      <c r="AJ66" s="32">
        <v>111220</v>
      </c>
      <c r="AK66" s="32">
        <v>112220</v>
      </c>
      <c r="AL66" s="32">
        <v>123220</v>
      </c>
      <c r="AM66" s="32">
        <v>124220</v>
      </c>
      <c r="AN66" s="32">
        <v>215220</v>
      </c>
      <c r="AO66" s="32">
        <v>216220</v>
      </c>
      <c r="AW66" s="5">
        <v>1</v>
      </c>
      <c r="AX66" s="5">
        <v>0</v>
      </c>
      <c r="AZ66" s="5">
        <v>1</v>
      </c>
      <c r="BA66" s="5">
        <v>2</v>
      </c>
      <c r="BB66" s="5">
        <v>3</v>
      </c>
      <c r="BH66" s="7">
        <v>215215</v>
      </c>
      <c r="CZ66" s="47">
        <v>3</v>
      </c>
      <c r="DK66" s="8"/>
      <c r="DL66" s="8"/>
      <c r="DM66" s="8"/>
      <c r="DN66" s="8"/>
      <c r="DO66" s="50"/>
      <c r="DP66" s="50"/>
      <c r="DQ66" s="50"/>
      <c r="DR66" s="50"/>
      <c r="DS66" s="50"/>
      <c r="DT66" s="50"/>
      <c r="DU66" s="50"/>
      <c r="DV66" s="50"/>
      <c r="DW66" s="50"/>
      <c r="DX66" s="50"/>
      <c r="DY66" s="50">
        <v>1</v>
      </c>
      <c r="DZ66" s="50">
        <v>1</v>
      </c>
      <c r="EA66" s="50"/>
      <c r="EB66" s="50"/>
      <c r="EC66" s="50"/>
      <c r="ED66" s="50"/>
      <c r="EE66" s="50"/>
      <c r="EF66" s="50"/>
      <c r="EG66" s="50"/>
      <c r="EH66" s="50"/>
      <c r="EI66" s="50"/>
      <c r="EJ66" s="50"/>
      <c r="EK66" s="50"/>
      <c r="EL66" s="50"/>
      <c r="EM66" s="50"/>
      <c r="EN66" s="50"/>
      <c r="EO66" s="50"/>
      <c r="EP66" s="50"/>
      <c r="EQ66" s="50"/>
      <c r="ER66" s="50"/>
      <c r="ET66" s="55">
        <f t="shared" si="2"/>
        <v>2</v>
      </c>
    </row>
    <row r="67" spans="1:150" s="5" customFormat="1" ht="16" customHeight="1" x14ac:dyDescent="0.2">
      <c r="A67" s="5">
        <v>25</v>
      </c>
      <c r="B67" s="8" t="s">
        <v>193</v>
      </c>
      <c r="C67" s="8" t="s">
        <v>194</v>
      </c>
      <c r="D67" s="5">
        <v>63</v>
      </c>
      <c r="E67" s="5" t="s">
        <v>195</v>
      </c>
      <c r="F67" s="21" t="s">
        <v>196</v>
      </c>
      <c r="G67" s="21">
        <v>66</v>
      </c>
      <c r="H67" s="5">
        <f t="shared" ref="H67:H130" si="3">(A67*1000)+D67</f>
        <v>25063</v>
      </c>
      <c r="I67" t="s">
        <v>1098</v>
      </c>
      <c r="J67">
        <v>154</v>
      </c>
      <c r="K67">
        <v>205</v>
      </c>
      <c r="L67">
        <v>50</v>
      </c>
      <c r="M67" s="6">
        <v>255</v>
      </c>
      <c r="N67" s="6" t="str">
        <f t="shared" ref="N67:N130" si="4">G67&amp;": ("&amp;J67&amp;", "&amp;K67&amp;", "&amp;L67&amp;", "&amp;M67&amp;", "&amp;F67&amp;": "&amp;H67&amp;"),"</f>
        <v>66: (154, 205, 50, 255, Greening (increased precipitation): 25063),</v>
      </c>
      <c r="O67" s="5" t="str">
        <f>VLOOKUP(Australia!B67,Impacts!$A$2:$B$80,2, FALSE)</f>
        <v>An increase in the amount of photosynthetically active pigments  in vegetation.</v>
      </c>
      <c r="P67" s="5" t="str">
        <f>VLOOKUP(E67,Pressures!$A$2:$B$145,2,FALSE)</f>
        <v>Increased condensation of water vapour in the atmosphere forming rain, snow, sleet or dew.</v>
      </c>
      <c r="V67" s="29">
        <v>111111</v>
      </c>
      <c r="W67" s="29">
        <v>112112</v>
      </c>
      <c r="X67" s="29">
        <v>123123</v>
      </c>
      <c r="Y67" s="29">
        <v>124124</v>
      </c>
      <c r="AU67" s="31">
        <v>1</v>
      </c>
      <c r="AV67" s="31">
        <v>2</v>
      </c>
      <c r="AW67" s="31">
        <v>0</v>
      </c>
      <c r="AX67" s="31"/>
      <c r="AY67" s="31">
        <v>1</v>
      </c>
      <c r="AZ67" s="31">
        <v>2</v>
      </c>
      <c r="BA67" s="31">
        <v>3</v>
      </c>
      <c r="BB67" s="31"/>
      <c r="BC67" s="31"/>
      <c r="BD67" s="31"/>
      <c r="BE67" s="31"/>
      <c r="BF67" s="31"/>
      <c r="BG67" s="38">
        <v>215215</v>
      </c>
      <c r="BH67" s="31"/>
      <c r="BI67" s="31"/>
      <c r="BJ67" s="31"/>
      <c r="BK67" s="31"/>
      <c r="BL67" s="31"/>
      <c r="BM67" s="31"/>
      <c r="BN67" s="31"/>
      <c r="BO67" s="31"/>
      <c r="BP67" s="31"/>
      <c r="BQ67" s="31"/>
      <c r="BR67" s="31"/>
      <c r="BS67" s="31"/>
      <c r="BT67" s="31"/>
      <c r="BU67" s="31"/>
      <c r="BV67" s="31"/>
      <c r="BW67" s="31"/>
      <c r="BX67" s="31"/>
      <c r="BY67" s="31">
        <v>2</v>
      </c>
      <c r="BZ67" s="31">
        <v>12</v>
      </c>
      <c r="CB67" s="45">
        <v>1615</v>
      </c>
      <c r="CC67" s="45">
        <v>1613</v>
      </c>
      <c r="CD67" s="45">
        <v>1612</v>
      </c>
      <c r="CE67" s="45">
        <v>1610</v>
      </c>
      <c r="CF67" s="45">
        <v>1513</v>
      </c>
      <c r="CG67" s="45">
        <v>1512</v>
      </c>
      <c r="CH67" s="45">
        <v>1510</v>
      </c>
      <c r="CI67" s="45">
        <v>1312</v>
      </c>
      <c r="CJ67" s="45">
        <v>1310</v>
      </c>
      <c r="DK67" s="8"/>
      <c r="DL67" s="8"/>
      <c r="DM67" s="8"/>
      <c r="DN67" s="8"/>
      <c r="DO67" s="50"/>
      <c r="DP67" s="50"/>
      <c r="DQ67" s="50"/>
      <c r="DR67" s="50"/>
      <c r="DS67" s="50"/>
      <c r="DT67" s="50"/>
      <c r="DU67" s="50"/>
      <c r="DV67" s="50"/>
      <c r="DW67" s="50"/>
      <c r="DX67" s="50"/>
      <c r="DY67" s="50"/>
      <c r="DZ67" s="50"/>
      <c r="EA67" s="50"/>
      <c r="EB67" s="50">
        <v>1</v>
      </c>
      <c r="EC67" s="50"/>
      <c r="ED67" s="50"/>
      <c r="EE67" s="50"/>
      <c r="EF67" s="50"/>
      <c r="EG67" s="50"/>
      <c r="EH67" s="50"/>
      <c r="EI67" s="50"/>
      <c r="EJ67" s="50"/>
      <c r="EK67" s="50"/>
      <c r="EL67" s="50"/>
      <c r="EM67" s="50"/>
      <c r="EN67" s="50"/>
      <c r="EO67" s="50"/>
      <c r="EP67" s="50"/>
      <c r="EQ67" s="50"/>
      <c r="ER67" s="50"/>
      <c r="ET67" s="55">
        <f t="shared" ref="ET67:ET130" si="5">SUM(DO67:ES67)</f>
        <v>1</v>
      </c>
    </row>
    <row r="68" spans="1:150" s="5" customFormat="1" ht="16" customHeight="1" x14ac:dyDescent="0.2">
      <c r="A68" s="5">
        <v>26</v>
      </c>
      <c r="B68" s="44" t="s">
        <v>197</v>
      </c>
      <c r="C68" s="44" t="s">
        <v>5</v>
      </c>
      <c r="D68" s="5">
        <v>111</v>
      </c>
      <c r="E68" s="5" t="s">
        <v>6</v>
      </c>
      <c r="F68" s="21" t="s">
        <v>198</v>
      </c>
      <c r="G68" s="21">
        <v>67</v>
      </c>
      <c r="H68" s="5">
        <f t="shared" si="3"/>
        <v>26111</v>
      </c>
      <c r="I68" t="s">
        <v>1038</v>
      </c>
      <c r="J68">
        <v>184</v>
      </c>
      <c r="K68">
        <v>134</v>
      </c>
      <c r="L68">
        <v>11</v>
      </c>
      <c r="M68" s="6">
        <v>255</v>
      </c>
      <c r="N68" s="6" t="str">
        <f t="shared" si="4"/>
        <v>67: (184, 134, 11, 255, Increased sediment load (sediment transport): 26111),</v>
      </c>
      <c r="O68" s="5" t="str">
        <f>VLOOKUP(Australia!B68,Impacts!$A$2:$B$80,2, FALSE)</f>
        <v>Increase in the amount of a substance discharged into a body of water.</v>
      </c>
      <c r="P68" s="5" t="str">
        <f>VLOOKUP(E68,Pressures!$A$2:$B$145,2,FALSE)</f>
        <v>The movement of solid particles (sediment) caused by movement of the water volume within which they are contained and the force of gravity.</v>
      </c>
      <c r="AB68" s="34">
        <v>227227</v>
      </c>
      <c r="AC68" s="34">
        <v>228228</v>
      </c>
      <c r="AD68" s="34">
        <v>220220</v>
      </c>
      <c r="AW68" s="5">
        <v>0</v>
      </c>
      <c r="AY68" s="5">
        <v>1</v>
      </c>
      <c r="AZ68" s="5">
        <v>2</v>
      </c>
      <c r="BA68" s="5">
        <v>3</v>
      </c>
      <c r="BC68" s="7">
        <v>111220</v>
      </c>
      <c r="BD68" s="7">
        <v>112220</v>
      </c>
      <c r="BE68" s="7">
        <v>123220</v>
      </c>
      <c r="BF68" s="7">
        <v>124220</v>
      </c>
      <c r="BG68" s="7">
        <v>215220</v>
      </c>
      <c r="BH68" s="7">
        <v>216220</v>
      </c>
      <c r="CZ68" s="47">
        <v>11</v>
      </c>
      <c r="DA68" s="34">
        <v>11</v>
      </c>
      <c r="DK68" s="8"/>
      <c r="DL68" s="8"/>
      <c r="DM68" s="8"/>
      <c r="DN68" s="8"/>
      <c r="DO68" s="50"/>
      <c r="DP68" s="50"/>
      <c r="DQ68" s="50"/>
      <c r="DR68" s="50"/>
      <c r="DS68" s="50"/>
      <c r="DT68" s="50"/>
      <c r="DU68" s="50"/>
      <c r="DV68" s="50">
        <v>1</v>
      </c>
      <c r="DW68" s="50"/>
      <c r="DX68" s="50"/>
      <c r="DY68" s="50"/>
      <c r="DZ68" s="50"/>
      <c r="EA68" s="50"/>
      <c r="EB68" s="50"/>
      <c r="EC68" s="50"/>
      <c r="ED68" s="50"/>
      <c r="EE68" s="50"/>
      <c r="EF68" s="50"/>
      <c r="EG68" s="50"/>
      <c r="EH68" s="50"/>
      <c r="EI68" s="50"/>
      <c r="EJ68" s="50"/>
      <c r="EK68" s="50"/>
      <c r="EL68" s="50"/>
      <c r="EM68" s="50"/>
      <c r="EN68" s="50"/>
      <c r="EO68" s="50"/>
      <c r="EP68" s="50"/>
      <c r="EQ68" s="50"/>
      <c r="ER68" s="50"/>
      <c r="ET68" s="55">
        <f t="shared" si="5"/>
        <v>1</v>
      </c>
    </row>
    <row r="69" spans="1:150" s="5" customFormat="1" ht="16" customHeight="1" x14ac:dyDescent="0.2">
      <c r="A69" s="5">
        <v>27</v>
      </c>
      <c r="B69" s="39" t="s">
        <v>199</v>
      </c>
      <c r="C69" s="39" t="s">
        <v>42</v>
      </c>
      <c r="D69" s="5">
        <v>44</v>
      </c>
      <c r="E69" s="5" t="s">
        <v>43</v>
      </c>
      <c r="F69" s="21" t="s">
        <v>744</v>
      </c>
      <c r="G69" s="21">
        <v>68</v>
      </c>
      <c r="H69" s="5">
        <f t="shared" si="3"/>
        <v>27044</v>
      </c>
      <c r="I69" t="s">
        <v>1099</v>
      </c>
      <c r="J69">
        <v>30</v>
      </c>
      <c r="K69">
        <v>144</v>
      </c>
      <c r="L69">
        <v>255</v>
      </c>
      <c r="M69" s="6">
        <v>255</v>
      </c>
      <c r="N69" s="6" t="str">
        <f t="shared" si="4"/>
        <v>68: (30, 144, 255, 255, Inundation (flooding): 27044),</v>
      </c>
      <c r="O69" s="5" t="str">
        <f>VLOOKUP(Australia!B69,Impacts!$A$2:$B$80,2, FALSE)</f>
        <v>Progressive submergence of land or structures through flooding.</v>
      </c>
      <c r="P69" s="5" t="str">
        <f>VLOOKUP(E69,Pressures!$A$2:$B$145,2,FALSE)</f>
        <v>The inundation of water over land that is generally dry.</v>
      </c>
      <c r="AE69" s="32">
        <v>112228</v>
      </c>
      <c r="AF69" s="32">
        <v>123228</v>
      </c>
      <c r="AG69" s="32">
        <v>124228</v>
      </c>
      <c r="AH69" s="32">
        <v>215228</v>
      </c>
      <c r="AI69" s="32">
        <v>216228</v>
      </c>
      <c r="AJ69" s="32">
        <v>111220</v>
      </c>
      <c r="AK69" s="32">
        <v>112220</v>
      </c>
      <c r="AL69" s="32">
        <v>123220</v>
      </c>
      <c r="AM69" s="32">
        <v>124220</v>
      </c>
      <c r="AN69" s="32">
        <v>215220</v>
      </c>
      <c r="AO69" s="32">
        <v>216220</v>
      </c>
      <c r="AW69" s="5">
        <v>0</v>
      </c>
      <c r="AY69" s="5">
        <v>1</v>
      </c>
      <c r="AZ69" s="5">
        <v>2</v>
      </c>
      <c r="BA69" s="5">
        <v>3</v>
      </c>
      <c r="BK69" s="7">
        <v>220220</v>
      </c>
      <c r="DK69" s="8"/>
      <c r="DL69" s="8"/>
      <c r="DM69" s="8"/>
      <c r="DN69" s="8"/>
      <c r="DO69" s="50"/>
      <c r="DP69" s="50"/>
      <c r="DQ69" s="50"/>
      <c r="DR69" s="50"/>
      <c r="DS69" s="50">
        <v>1</v>
      </c>
      <c r="DT69" s="50"/>
      <c r="DU69" s="50"/>
      <c r="DV69" s="50"/>
      <c r="DW69" s="50"/>
      <c r="DX69" s="50"/>
      <c r="DY69" s="50"/>
      <c r="DZ69" s="50"/>
      <c r="EA69" s="50"/>
      <c r="EB69" s="50"/>
      <c r="EC69" s="50"/>
      <c r="ED69" s="50"/>
      <c r="EE69" s="50"/>
      <c r="EF69" s="50"/>
      <c r="EG69" s="50"/>
      <c r="EH69" s="50"/>
      <c r="EI69" s="50"/>
      <c r="EJ69" s="50"/>
      <c r="EK69" s="50"/>
      <c r="EL69" s="50"/>
      <c r="EM69" s="50"/>
      <c r="EN69" s="50"/>
      <c r="EO69" s="50"/>
      <c r="EP69" s="50"/>
      <c r="EQ69" s="50"/>
      <c r="ER69" s="50"/>
      <c r="ET69" s="55">
        <f t="shared" si="5"/>
        <v>1</v>
      </c>
    </row>
    <row r="70" spans="1:150" s="5" customFormat="1" ht="16" customHeight="1" x14ac:dyDescent="0.2">
      <c r="A70" s="5">
        <v>27</v>
      </c>
      <c r="B70" s="39" t="s">
        <v>199</v>
      </c>
      <c r="C70" s="39" t="s">
        <v>175</v>
      </c>
      <c r="D70" s="5">
        <v>68</v>
      </c>
      <c r="E70" s="5" t="s">
        <v>176</v>
      </c>
      <c r="F70" s="21" t="s">
        <v>740</v>
      </c>
      <c r="G70" s="21">
        <v>69</v>
      </c>
      <c r="H70" s="5">
        <f t="shared" si="3"/>
        <v>27068</v>
      </c>
      <c r="I70" t="s">
        <v>1100</v>
      </c>
      <c r="J70">
        <v>0</v>
      </c>
      <c r="K70">
        <v>206</v>
      </c>
      <c r="L70">
        <v>209</v>
      </c>
      <c r="M70" s="6">
        <v>255</v>
      </c>
      <c r="N70" s="6" t="str">
        <f t="shared" si="4"/>
        <v>69: (0, 206, 209, 255, Inundation (sea level fluctuation): 27068),</v>
      </c>
      <c r="O70" s="5" t="str">
        <f>VLOOKUP(Australia!B70,Impacts!$A$2:$B$80,2, FALSE)</f>
        <v>Progressive submergence of land or structures through flooding.</v>
      </c>
      <c r="P70" s="5" t="str">
        <f>VLOOKUP(E70,Pressures!$A$2:$B$145,2,FALSE)</f>
        <v>Irregular rise and fall of sea level.</v>
      </c>
      <c r="AE70" s="32">
        <v>112228</v>
      </c>
      <c r="AF70" s="32">
        <v>123228</v>
      </c>
      <c r="AG70" s="32">
        <v>124228</v>
      </c>
      <c r="AH70" s="32">
        <v>215228</v>
      </c>
      <c r="AI70" s="32">
        <v>216228</v>
      </c>
      <c r="AJ70" s="32">
        <v>111220</v>
      </c>
      <c r="AK70" s="32">
        <v>112220</v>
      </c>
      <c r="AL70" s="32">
        <v>123220</v>
      </c>
      <c r="AM70" s="32">
        <v>124220</v>
      </c>
      <c r="AN70" s="32">
        <v>215220</v>
      </c>
      <c r="AO70" s="32">
        <v>216220</v>
      </c>
      <c r="AW70" s="5">
        <v>0</v>
      </c>
      <c r="AY70" s="5">
        <v>1</v>
      </c>
      <c r="AZ70" s="5">
        <v>2</v>
      </c>
      <c r="BA70" s="5">
        <v>3</v>
      </c>
      <c r="BL70" s="7">
        <v>220111</v>
      </c>
      <c r="BM70" s="7">
        <v>220112</v>
      </c>
      <c r="BN70" s="7">
        <v>220123</v>
      </c>
      <c r="BO70" s="7">
        <v>220124</v>
      </c>
      <c r="BP70" s="7">
        <v>220215</v>
      </c>
      <c r="BQ70" s="7">
        <v>220216</v>
      </c>
      <c r="DK70" s="8"/>
      <c r="DL70" s="8"/>
      <c r="DM70" s="8"/>
      <c r="DN70" s="8"/>
      <c r="DO70" s="50"/>
      <c r="DP70" s="50"/>
      <c r="DQ70" s="50"/>
      <c r="DR70" s="50"/>
      <c r="DS70" s="50"/>
      <c r="DT70" s="50"/>
      <c r="DU70" s="50"/>
      <c r="DV70" s="50"/>
      <c r="DW70" s="50"/>
      <c r="DX70" s="50"/>
      <c r="DY70" s="50"/>
      <c r="DZ70" s="50"/>
      <c r="EA70" s="50"/>
      <c r="EB70" s="50"/>
      <c r="EC70" s="50"/>
      <c r="ED70" s="50"/>
      <c r="EE70" s="50">
        <v>1</v>
      </c>
      <c r="EF70" s="50"/>
      <c r="EG70" s="50"/>
      <c r="EH70" s="50"/>
      <c r="EI70" s="50"/>
      <c r="EJ70" s="50"/>
      <c r="EK70" s="50"/>
      <c r="EL70" s="50"/>
      <c r="EM70" s="50"/>
      <c r="EN70" s="50"/>
      <c r="EO70" s="50"/>
      <c r="EP70" s="50"/>
      <c r="EQ70" s="50"/>
      <c r="ER70" s="50"/>
      <c r="ET70" s="55">
        <f t="shared" si="5"/>
        <v>1</v>
      </c>
    </row>
    <row r="71" spans="1:150" s="5" customFormat="1" ht="16" customHeight="1" x14ac:dyDescent="0.2">
      <c r="A71" s="5">
        <v>28</v>
      </c>
      <c r="B71" s="8" t="s">
        <v>200</v>
      </c>
      <c r="C71" s="39" t="s">
        <v>201</v>
      </c>
      <c r="D71" s="5">
        <v>137</v>
      </c>
      <c r="E71" s="5" t="s">
        <v>202</v>
      </c>
      <c r="F71" s="21" t="s">
        <v>203</v>
      </c>
      <c r="G71" s="21">
        <v>70</v>
      </c>
      <c r="H71" s="5">
        <f t="shared" si="3"/>
        <v>28137</v>
      </c>
      <c r="I71" t="s">
        <v>1101</v>
      </c>
      <c r="J71">
        <v>207</v>
      </c>
      <c r="K71">
        <v>16</v>
      </c>
      <c r="L71">
        <v>32</v>
      </c>
      <c r="M71" s="6">
        <v>255</v>
      </c>
      <c r="N71" s="6" t="str">
        <f t="shared" si="4"/>
        <v>70: (207, 16, 32, 255, Lava flow (volcanic eruption): 28137),</v>
      </c>
      <c r="O71" s="5" t="str">
        <f>VLOOKUP(Australia!B71,Impacts!$A$2:$B$80,2, FALSE)</f>
        <v>A mass of molten rock produced during the eruption of a volcano and moving down its sides.</v>
      </c>
      <c r="P71" s="5" t="str">
        <f>VLOOKUP(E71,Pressures!$A$2:$B$145,2,FALSE)</f>
        <v>The discharge (aerially explosive) of fragmentary ejecta, lava and gases from a volcanic vent.</v>
      </c>
      <c r="AA71" s="32">
        <v>216216</v>
      </c>
      <c r="AE71" s="32">
        <v>111216</v>
      </c>
      <c r="AF71" s="32">
        <v>112216</v>
      </c>
      <c r="AG71" s="32">
        <v>123216</v>
      </c>
      <c r="AH71" s="32">
        <v>124216</v>
      </c>
      <c r="AI71" s="32">
        <v>215216</v>
      </c>
      <c r="AW71" s="5">
        <v>0</v>
      </c>
      <c r="AY71" s="5">
        <v>1</v>
      </c>
      <c r="AZ71" s="5">
        <v>2</v>
      </c>
      <c r="BA71" s="5">
        <v>3</v>
      </c>
      <c r="BK71" s="7">
        <v>220220</v>
      </c>
      <c r="BT71" s="5" t="s">
        <v>713</v>
      </c>
      <c r="DK71" s="8"/>
      <c r="DL71" s="8"/>
      <c r="DM71" s="8"/>
      <c r="DN71" s="8"/>
      <c r="DO71" s="50">
        <v>1</v>
      </c>
      <c r="DP71" s="50"/>
      <c r="DQ71" s="50">
        <v>1</v>
      </c>
      <c r="DR71" s="50"/>
      <c r="DS71" s="50"/>
      <c r="DT71" s="50"/>
      <c r="DU71" s="50"/>
      <c r="DV71" s="50"/>
      <c r="DW71" s="50"/>
      <c r="DX71" s="50"/>
      <c r="DY71" s="50"/>
      <c r="DZ71" s="50"/>
      <c r="EA71" s="50"/>
      <c r="EB71" s="50"/>
      <c r="EC71" s="50"/>
      <c r="ED71" s="50"/>
      <c r="EE71" s="50"/>
      <c r="EF71" s="50"/>
      <c r="EG71" s="50"/>
      <c r="EH71" s="50"/>
      <c r="EI71" s="50"/>
      <c r="EJ71" s="50"/>
      <c r="EK71" s="50"/>
      <c r="EL71" s="50"/>
      <c r="EM71" s="50"/>
      <c r="EN71" s="50"/>
      <c r="EO71" s="50"/>
      <c r="EP71" s="50"/>
      <c r="EQ71" s="50"/>
      <c r="ER71" s="50"/>
      <c r="ET71" s="55">
        <f t="shared" si="5"/>
        <v>2</v>
      </c>
    </row>
    <row r="72" spans="1:150" s="5" customFormat="1" ht="16" customHeight="1" x14ac:dyDescent="0.2">
      <c r="A72" s="5">
        <v>29</v>
      </c>
      <c r="B72" s="8" t="s">
        <v>204</v>
      </c>
      <c r="C72" s="8" t="s">
        <v>109</v>
      </c>
      <c r="D72" s="5">
        <v>120</v>
      </c>
      <c r="E72" s="5" t="s">
        <v>110</v>
      </c>
      <c r="F72" s="21" t="s">
        <v>205</v>
      </c>
      <c r="G72" s="21">
        <v>71</v>
      </c>
      <c r="H72" s="5">
        <f t="shared" si="3"/>
        <v>29120</v>
      </c>
      <c r="I72" t="s">
        <v>1102</v>
      </c>
      <c r="J72">
        <v>196</v>
      </c>
      <c r="K72">
        <v>98</v>
      </c>
      <c r="L72">
        <v>16</v>
      </c>
      <c r="M72" s="6">
        <v>255</v>
      </c>
      <c r="N72" s="6" t="str">
        <f t="shared" si="4"/>
        <v>71: (196, 98, 16, 255, Leaf scorch (strong winds): 29120),</v>
      </c>
      <c r="O72" s="5" t="str">
        <f>VLOOKUP(Australia!B72,Impacts!$A$2:$B$80,2, FALSE)</f>
        <v>A non-infectious, physiological condition caused by unfavorable environmental situations.</v>
      </c>
      <c r="P72" s="5" t="str">
        <f>VLOOKUP(E72,Pressures!$A$2:$B$145,2,FALSE)</f>
        <v>A prolonged period of average wind speeds exceeding 40km/h during the day.</v>
      </c>
      <c r="V72" s="29">
        <v>111111</v>
      </c>
      <c r="W72" s="29">
        <v>112112</v>
      </c>
      <c r="X72" s="29">
        <v>123123</v>
      </c>
      <c r="Y72" s="29">
        <v>124124</v>
      </c>
      <c r="AU72" s="31">
        <v>11</v>
      </c>
      <c r="AW72" s="31">
        <v>0</v>
      </c>
      <c r="AX72" s="31"/>
      <c r="AY72" s="31">
        <v>1</v>
      </c>
      <c r="AZ72" s="31">
        <v>2</v>
      </c>
      <c r="BA72" s="31">
        <v>3</v>
      </c>
      <c r="BB72" s="31"/>
      <c r="BC72" s="31"/>
      <c r="BD72" s="31">
        <v>112112</v>
      </c>
      <c r="BE72" s="31"/>
      <c r="BF72" s="31">
        <v>124124</v>
      </c>
      <c r="BG72" s="31"/>
      <c r="BH72" s="31"/>
      <c r="BI72" s="31"/>
      <c r="BJ72" s="31"/>
      <c r="BK72" s="31"/>
      <c r="BL72" s="31"/>
      <c r="BM72" s="31"/>
      <c r="BN72" s="31"/>
      <c r="BO72" s="31"/>
      <c r="BP72" s="31"/>
      <c r="BQ72" s="31"/>
      <c r="BR72" s="31"/>
      <c r="BS72" s="31"/>
      <c r="BT72" s="31"/>
      <c r="BU72" s="31">
        <v>22</v>
      </c>
      <c r="BV72" s="31"/>
      <c r="BW72" s="31"/>
      <c r="BX72" s="31"/>
      <c r="BY72" s="31">
        <v>22</v>
      </c>
      <c r="CB72" s="45">
        <v>1012</v>
      </c>
      <c r="CC72" s="45">
        <v>1013</v>
      </c>
      <c r="CD72" s="45">
        <v>1015</v>
      </c>
      <c r="CE72" s="45">
        <v>1016</v>
      </c>
      <c r="CF72" s="45">
        <v>1213</v>
      </c>
      <c r="CG72" s="45">
        <v>1215</v>
      </c>
      <c r="CH72" s="46">
        <v>1216</v>
      </c>
      <c r="CI72" s="46">
        <v>1315</v>
      </c>
      <c r="CJ72" s="46">
        <v>1316</v>
      </c>
      <c r="CK72" s="46">
        <v>1516</v>
      </c>
      <c r="DK72" s="8"/>
      <c r="DL72" s="8"/>
      <c r="DM72" s="8"/>
      <c r="DN72" s="8"/>
      <c r="DO72" s="50"/>
      <c r="DP72" s="50"/>
      <c r="DQ72" s="50"/>
      <c r="DR72" s="50"/>
      <c r="DS72" s="50"/>
      <c r="DT72" s="50"/>
      <c r="DU72" s="50"/>
      <c r="DV72" s="50"/>
      <c r="DW72" s="50"/>
      <c r="DX72" s="50"/>
      <c r="DY72" s="50"/>
      <c r="DZ72" s="50"/>
      <c r="EA72" s="50"/>
      <c r="EB72" s="50"/>
      <c r="EC72" s="50">
        <v>1</v>
      </c>
      <c r="ED72" s="50"/>
      <c r="EE72" s="50"/>
      <c r="EF72" s="50"/>
      <c r="EG72" s="50"/>
      <c r="EH72" s="50"/>
      <c r="EI72" s="50"/>
      <c r="EJ72" s="50"/>
      <c r="EK72" s="50"/>
      <c r="EL72" s="50"/>
      <c r="EM72" s="50"/>
      <c r="EN72" s="50"/>
      <c r="EO72" s="50"/>
      <c r="EP72" s="50"/>
      <c r="EQ72" s="50"/>
      <c r="ER72" s="50"/>
      <c r="ET72" s="55">
        <f t="shared" si="5"/>
        <v>1</v>
      </c>
    </row>
    <row r="73" spans="1:150" s="5" customFormat="1" ht="16" customHeight="1" x14ac:dyDescent="0.2">
      <c r="A73" s="5">
        <v>30</v>
      </c>
      <c r="B73" s="39" t="s">
        <v>206</v>
      </c>
      <c r="C73" s="39" t="s">
        <v>207</v>
      </c>
      <c r="D73" s="5">
        <v>98</v>
      </c>
      <c r="E73" s="5" t="s">
        <v>208</v>
      </c>
      <c r="F73" s="21" t="s">
        <v>209</v>
      </c>
      <c r="G73" s="21">
        <v>72</v>
      </c>
      <c r="H73" s="5">
        <f t="shared" si="3"/>
        <v>30098</v>
      </c>
      <c r="I73" t="s">
        <v>1103</v>
      </c>
      <c r="J73">
        <v>179</v>
      </c>
      <c r="K73">
        <v>68</v>
      </c>
      <c r="L73">
        <v>108</v>
      </c>
      <c r="M73" s="6">
        <v>255</v>
      </c>
      <c r="N73" s="6" t="str">
        <f t="shared" si="4"/>
        <v>72: (179, 68, 108, 255, Mine abandonment (reduced investment): 30098),</v>
      </c>
      <c r="O73" s="5" t="str">
        <f>VLOOKUP(Australia!B73,Impacts!$A$2:$B$80,2, FALSE)</f>
        <v>Land formally used for extractive industry but no longer in use and no new use observed.</v>
      </c>
      <c r="P73" s="5" t="str">
        <f>VLOOKUP(E73,Pressures!$A$2:$B$145,2,FALSE)</f>
        <v>Sale of an asset or item or removing funding from a service.</v>
      </c>
      <c r="AE73" s="32">
        <v>216112</v>
      </c>
      <c r="AF73" s="32">
        <v>216124</v>
      </c>
      <c r="AG73" s="32">
        <v>216215</v>
      </c>
      <c r="AW73" s="5">
        <v>1</v>
      </c>
      <c r="AX73" s="5">
        <v>0</v>
      </c>
      <c r="AZ73" s="5">
        <v>1</v>
      </c>
      <c r="BA73" s="5">
        <v>2</v>
      </c>
      <c r="BB73" s="5">
        <v>3</v>
      </c>
      <c r="BH73" s="7">
        <v>215215</v>
      </c>
      <c r="BN73" s="7">
        <v>215112</v>
      </c>
      <c r="BP73" s="7">
        <v>215112</v>
      </c>
      <c r="DK73" s="8"/>
      <c r="DL73" s="8"/>
      <c r="DM73" s="8"/>
      <c r="DN73" s="8"/>
      <c r="DO73" s="50"/>
      <c r="DP73" s="50"/>
      <c r="DQ73" s="50"/>
      <c r="DR73" s="50"/>
      <c r="DS73" s="50"/>
      <c r="DT73" s="50"/>
      <c r="DU73" s="50"/>
      <c r="DV73" s="50"/>
      <c r="DW73" s="50"/>
      <c r="DX73" s="50"/>
      <c r="DY73" s="50"/>
      <c r="DZ73" s="50"/>
      <c r="EA73" s="50"/>
      <c r="EB73" s="50"/>
      <c r="EC73" s="50"/>
      <c r="ED73" s="50"/>
      <c r="EE73" s="50"/>
      <c r="EF73" s="50"/>
      <c r="EG73" s="50"/>
      <c r="EH73" s="50"/>
      <c r="EI73" s="50"/>
      <c r="EJ73" s="50"/>
      <c r="EK73" s="50">
        <v>1</v>
      </c>
      <c r="EL73" s="50"/>
      <c r="EM73" s="50"/>
      <c r="EN73" s="50"/>
      <c r="EO73" s="50"/>
      <c r="EP73" s="50"/>
      <c r="EQ73" s="50"/>
      <c r="ER73" s="50"/>
      <c r="ET73" s="55">
        <f t="shared" si="5"/>
        <v>1</v>
      </c>
    </row>
    <row r="74" spans="1:150" s="5" customFormat="1" ht="16" customHeight="1" x14ac:dyDescent="0.2">
      <c r="A74" s="5">
        <v>31</v>
      </c>
      <c r="B74" s="39" t="s">
        <v>210</v>
      </c>
      <c r="C74" s="39" t="s">
        <v>211</v>
      </c>
      <c r="D74" s="5">
        <v>61</v>
      </c>
      <c r="E74" s="5" t="s">
        <v>212</v>
      </c>
      <c r="F74" s="21" t="s">
        <v>213</v>
      </c>
      <c r="G74" s="21">
        <v>73</v>
      </c>
      <c r="H74" s="5">
        <f t="shared" si="3"/>
        <v>31061</v>
      </c>
      <c r="I74" t="s">
        <v>1104</v>
      </c>
      <c r="J74">
        <v>196</v>
      </c>
      <c r="K74">
        <v>174</v>
      </c>
      <c r="L74">
        <v>173</v>
      </c>
      <c r="M74" s="6">
        <v>255</v>
      </c>
      <c r="N74" s="6" t="str">
        <f t="shared" si="4"/>
        <v>73: (196, 174, 173, 255, Mine expansion (increased investment): 31061),</v>
      </c>
      <c r="O74" s="5" t="str">
        <f>VLOOKUP(Australia!B74,Impacts!$A$2:$B$80,2, FALSE)</f>
        <v>Design and construction of landforms as well as the establishment of sustainable ecosystems or alternative vegetation.</v>
      </c>
      <c r="P74" s="5" t="str">
        <f>VLOOKUP(E74,Pressures!$A$2:$B$145,2,FALSE)</f>
        <v>Purchase of an asset, item or service.</v>
      </c>
      <c r="AE74" s="32">
        <v>111215</v>
      </c>
      <c r="AF74" s="32">
        <v>112215</v>
      </c>
      <c r="AG74" s="32">
        <v>123215</v>
      </c>
      <c r="AH74" s="32">
        <v>124215</v>
      </c>
      <c r="AI74" s="32">
        <v>216215</v>
      </c>
      <c r="AW74" s="5">
        <v>1</v>
      </c>
      <c r="AX74" s="5">
        <v>0</v>
      </c>
      <c r="AZ74" s="5">
        <v>1</v>
      </c>
      <c r="BA74" s="5">
        <v>2</v>
      </c>
      <c r="BB74" s="5">
        <v>3</v>
      </c>
      <c r="BD74" s="7">
        <v>111215</v>
      </c>
      <c r="BE74" s="7">
        <v>112215</v>
      </c>
      <c r="BF74" s="7">
        <v>123215</v>
      </c>
      <c r="BG74" s="7">
        <v>124215</v>
      </c>
      <c r="BH74" s="7">
        <v>215215</v>
      </c>
      <c r="BI74" s="7">
        <v>216215</v>
      </c>
      <c r="BL74" s="7">
        <v>220215</v>
      </c>
      <c r="DK74" s="8"/>
      <c r="DL74" s="8"/>
      <c r="DM74" s="8"/>
      <c r="DN74" s="8"/>
      <c r="DO74" s="50"/>
      <c r="DP74" s="50"/>
      <c r="DQ74" s="50"/>
      <c r="DR74" s="50"/>
      <c r="DS74" s="50"/>
      <c r="DT74" s="50"/>
      <c r="DU74" s="50"/>
      <c r="DV74" s="50"/>
      <c r="DW74" s="50"/>
      <c r="DX74" s="50"/>
      <c r="DY74" s="50"/>
      <c r="DZ74" s="50"/>
      <c r="EA74" s="50"/>
      <c r="EB74" s="50"/>
      <c r="EC74" s="50"/>
      <c r="ED74" s="50"/>
      <c r="EE74" s="50"/>
      <c r="EF74" s="50"/>
      <c r="EG74" s="50"/>
      <c r="EH74" s="50"/>
      <c r="EI74" s="50"/>
      <c r="EJ74" s="50"/>
      <c r="EK74" s="50">
        <v>1</v>
      </c>
      <c r="EL74" s="50"/>
      <c r="EM74" s="50"/>
      <c r="EN74" s="50"/>
      <c r="EO74" s="50"/>
      <c r="EP74" s="50"/>
      <c r="EQ74" s="50"/>
      <c r="ER74" s="50"/>
      <c r="ET74" s="55">
        <f t="shared" si="5"/>
        <v>1</v>
      </c>
    </row>
    <row r="75" spans="1:150" s="5" customFormat="1" ht="16" customHeight="1" x14ac:dyDescent="0.2">
      <c r="A75" s="5">
        <v>32</v>
      </c>
      <c r="B75" s="8" t="s">
        <v>215</v>
      </c>
      <c r="C75" s="8" t="s">
        <v>148</v>
      </c>
      <c r="D75" s="5">
        <v>28</v>
      </c>
      <c r="E75" s="5" t="s">
        <v>149</v>
      </c>
      <c r="F75" s="21" t="s">
        <v>216</v>
      </c>
      <c r="G75" s="21">
        <v>74</v>
      </c>
      <c r="H75" s="5">
        <f t="shared" si="3"/>
        <v>32028</v>
      </c>
      <c r="I75" t="s">
        <v>1105</v>
      </c>
      <c r="J75">
        <v>255</v>
      </c>
      <c r="K75">
        <v>218</v>
      </c>
      <c r="L75">
        <v>191</v>
      </c>
      <c r="M75" s="6">
        <v>255</v>
      </c>
      <c r="N75" s="6" t="str">
        <f t="shared" si="4"/>
        <v>74: (255, 218, 191, 255, Natural surface gain (deposition): 32028),</v>
      </c>
      <c r="O75" s="5" t="str">
        <f>VLOOKUP(Australia!B75,Impacts!$A$2:$B$80,2, FALSE)</f>
        <v>Increase in the area occupied by a natural surface.</v>
      </c>
      <c r="P75" s="5" t="str">
        <f>VLOOKUP(E75,Pressures!$A$2:$B$145,2,FALSE)</f>
        <v xml:space="preserve">Deposition is the laying down of sediment carried by wind, water, or ice. </v>
      </c>
      <c r="AA75" s="32">
        <v>216216</v>
      </c>
      <c r="AW75" s="5">
        <v>1</v>
      </c>
      <c r="AX75" s="5">
        <v>0</v>
      </c>
      <c r="AZ75" s="5">
        <v>1</v>
      </c>
      <c r="BA75" s="5">
        <v>2</v>
      </c>
      <c r="BB75" s="5">
        <v>3</v>
      </c>
      <c r="BM75" s="7">
        <v>220111</v>
      </c>
      <c r="BN75" s="7">
        <v>220112</v>
      </c>
      <c r="BO75" s="7">
        <v>220123</v>
      </c>
      <c r="BP75" s="7">
        <v>220214</v>
      </c>
      <c r="BQ75" s="7">
        <v>220215</v>
      </c>
      <c r="BR75" s="7">
        <v>220216</v>
      </c>
      <c r="DK75" s="8"/>
      <c r="DL75" s="8"/>
      <c r="DM75" s="8"/>
      <c r="DN75" s="8"/>
      <c r="DO75" s="50"/>
      <c r="DP75" s="50"/>
      <c r="DQ75" s="50"/>
      <c r="DR75" s="50"/>
      <c r="DS75" s="50"/>
      <c r="DT75" s="50"/>
      <c r="DU75" s="50"/>
      <c r="DV75" s="50">
        <v>1</v>
      </c>
      <c r="DW75" s="50"/>
      <c r="DX75" s="50"/>
      <c r="DY75" s="50"/>
      <c r="DZ75" s="50"/>
      <c r="EA75" s="50"/>
      <c r="EB75" s="50"/>
      <c r="EC75" s="50"/>
      <c r="ED75" s="50"/>
      <c r="EE75" s="50"/>
      <c r="EF75" s="50"/>
      <c r="EG75" s="50"/>
      <c r="EH75" s="50"/>
      <c r="EI75" s="50"/>
      <c r="EJ75" s="50"/>
      <c r="EK75" s="50"/>
      <c r="EL75" s="50"/>
      <c r="EM75" s="50"/>
      <c r="EN75" s="50"/>
      <c r="EO75" s="50"/>
      <c r="EP75" s="50"/>
      <c r="EQ75" s="50"/>
      <c r="ER75" s="50"/>
      <c r="ET75" s="55">
        <f t="shared" si="5"/>
        <v>1</v>
      </c>
    </row>
    <row r="76" spans="1:150" s="5" customFormat="1" ht="16" customHeight="1" x14ac:dyDescent="0.2">
      <c r="A76" s="5">
        <v>32</v>
      </c>
      <c r="B76" s="8" t="s">
        <v>215</v>
      </c>
      <c r="C76" s="8" t="s">
        <v>217</v>
      </c>
      <c r="D76" s="5">
        <v>133</v>
      </c>
      <c r="E76" s="5" t="s">
        <v>218</v>
      </c>
      <c r="F76" s="21" t="s">
        <v>219</v>
      </c>
      <c r="G76" s="21">
        <v>75</v>
      </c>
      <c r="H76" s="5">
        <f t="shared" si="3"/>
        <v>32133</v>
      </c>
      <c r="I76" t="s">
        <v>1106</v>
      </c>
      <c r="J76">
        <v>240</v>
      </c>
      <c r="K76">
        <v>230</v>
      </c>
      <c r="L76">
        <v>140</v>
      </c>
      <c r="M76" s="6">
        <v>255</v>
      </c>
      <c r="N76" s="6" t="str">
        <f t="shared" si="4"/>
        <v>75: (240, 230, 140, 255, Natural surface gain (urban rehabilitation): 32133),</v>
      </c>
      <c r="O76" s="5" t="str">
        <f>VLOOKUP(Australia!B76,Impacts!$A$2:$B$80,2, FALSE)</f>
        <v>Increase in the area occupied by a natural surface.</v>
      </c>
      <c r="P76" s="5" t="str">
        <f>VLOOKUP(E76,Pressures!$A$2:$B$145,2,FALSE)</f>
        <v xml:space="preserve">Area devoted to regenerating and conserving the built heritage or the urban environment, including the ecosystems. </v>
      </c>
      <c r="Z76" s="32">
        <v>215215</v>
      </c>
      <c r="AW76" s="5">
        <v>1</v>
      </c>
      <c r="AX76" s="5">
        <v>0</v>
      </c>
      <c r="AZ76" s="5">
        <v>1</v>
      </c>
      <c r="BA76" s="5">
        <v>2</v>
      </c>
      <c r="BB76" s="5">
        <v>3</v>
      </c>
      <c r="BL76" s="7">
        <v>220220</v>
      </c>
      <c r="DK76" s="8"/>
      <c r="DL76" s="8"/>
      <c r="DM76" s="8"/>
      <c r="DN76" s="8"/>
      <c r="DO76" s="50"/>
      <c r="DP76" s="50"/>
      <c r="DQ76" s="50"/>
      <c r="DR76" s="50"/>
      <c r="DS76" s="50"/>
      <c r="DT76" s="50"/>
      <c r="DU76" s="50"/>
      <c r="DV76" s="50"/>
      <c r="DW76" s="50"/>
      <c r="DX76" s="50"/>
      <c r="DY76" s="50"/>
      <c r="DZ76" s="50"/>
      <c r="EA76" s="50"/>
      <c r="EB76" s="50"/>
      <c r="EC76" s="50"/>
      <c r="ED76" s="50"/>
      <c r="EE76" s="50"/>
      <c r="EF76" s="50"/>
      <c r="EG76" s="50"/>
      <c r="EH76" s="50"/>
      <c r="EI76" s="50"/>
      <c r="EJ76" s="50"/>
      <c r="EK76" s="50"/>
      <c r="EL76" s="50">
        <v>1</v>
      </c>
      <c r="EM76" s="50"/>
      <c r="EN76" s="50"/>
      <c r="EO76" s="50"/>
      <c r="EP76" s="50"/>
      <c r="EQ76" s="50"/>
      <c r="ER76" s="50"/>
      <c r="ET76" s="55">
        <f t="shared" si="5"/>
        <v>1</v>
      </c>
    </row>
    <row r="77" spans="1:150" s="5" customFormat="1" ht="16" customHeight="1" x14ac:dyDescent="0.2">
      <c r="A77" s="5">
        <v>33</v>
      </c>
      <c r="B77" s="8" t="s">
        <v>220</v>
      </c>
      <c r="C77" s="39" t="s">
        <v>157</v>
      </c>
      <c r="D77" s="5">
        <v>80</v>
      </c>
      <c r="E77" s="5" t="s">
        <v>158</v>
      </c>
      <c r="F77" s="21" t="s">
        <v>221</v>
      </c>
      <c r="G77" s="21">
        <v>76</v>
      </c>
      <c r="H77" s="5">
        <f t="shared" si="3"/>
        <v>33080</v>
      </c>
      <c r="I77" t="s">
        <v>1107</v>
      </c>
      <c r="J77">
        <v>102</v>
      </c>
      <c r="K77">
        <v>51</v>
      </c>
      <c r="L77">
        <v>153</v>
      </c>
      <c r="M77" s="6">
        <v>255</v>
      </c>
      <c r="N77" s="6" t="str">
        <f t="shared" si="4"/>
        <v>76: (102, 51, 153, 255, Natural surface loss (mining): 33080),</v>
      </c>
      <c r="O77" s="5" t="str">
        <f>VLOOKUP(Australia!B77,Impacts!$A$2:$B$80,2, FALSE)</f>
        <v>Decrease in area of natural surface.</v>
      </c>
      <c r="P77" s="5" t="str">
        <f>VLOOKUP(E77,Pressures!$A$2:$B$145,2,FALSE)</f>
        <v>Extraction of minerals, precious stones or coal, either through open cuts or deep shafts.</v>
      </c>
      <c r="Z77" s="32">
        <v>215215</v>
      </c>
      <c r="AA77" s="5" t="s">
        <v>713</v>
      </c>
      <c r="AE77" s="32">
        <v>111215</v>
      </c>
      <c r="AF77" s="32">
        <v>112215</v>
      </c>
      <c r="AG77" s="32">
        <v>123215</v>
      </c>
      <c r="AH77" s="32">
        <v>124215</v>
      </c>
      <c r="AI77" s="32">
        <v>216215</v>
      </c>
      <c r="AW77" s="5">
        <v>1</v>
      </c>
      <c r="AX77" s="5">
        <v>0</v>
      </c>
      <c r="AZ77" s="5">
        <v>1</v>
      </c>
      <c r="BA77" s="5">
        <v>2</v>
      </c>
      <c r="BB77" s="5">
        <v>3</v>
      </c>
      <c r="BD77" s="7">
        <v>111111</v>
      </c>
      <c r="BE77" s="7">
        <v>112112</v>
      </c>
      <c r="BF77" s="7" t="s">
        <v>719</v>
      </c>
      <c r="BG77" s="7">
        <v>124124</v>
      </c>
      <c r="BI77" s="7">
        <v>216216</v>
      </c>
      <c r="BV77" s="5">
        <v>22</v>
      </c>
      <c r="BX77" s="5" t="s">
        <v>716</v>
      </c>
      <c r="BY77" s="5" t="s">
        <v>716</v>
      </c>
      <c r="DK77" s="8"/>
      <c r="DL77" s="8"/>
      <c r="DM77" s="8"/>
      <c r="DN77" s="8"/>
      <c r="DO77" s="50"/>
      <c r="DP77" s="50"/>
      <c r="DQ77" s="50"/>
      <c r="DR77" s="50"/>
      <c r="DS77" s="50"/>
      <c r="DT77" s="50"/>
      <c r="DU77" s="50"/>
      <c r="DV77" s="50"/>
      <c r="DW77" s="50"/>
      <c r="DX77" s="50"/>
      <c r="DY77" s="50"/>
      <c r="DZ77" s="50"/>
      <c r="EA77" s="50"/>
      <c r="EB77" s="50"/>
      <c r="EC77" s="50"/>
      <c r="ED77" s="50"/>
      <c r="EE77" s="50"/>
      <c r="EF77" s="50"/>
      <c r="EG77" s="50"/>
      <c r="EH77" s="50"/>
      <c r="EI77" s="50"/>
      <c r="EJ77" s="50"/>
      <c r="EK77" s="50">
        <v>1</v>
      </c>
      <c r="EL77" s="50"/>
      <c r="EM77" s="50"/>
      <c r="EN77" s="50"/>
      <c r="EO77" s="50"/>
      <c r="EP77" s="50"/>
      <c r="EQ77" s="50"/>
      <c r="ER77" s="50"/>
      <c r="ET77" s="55">
        <f t="shared" si="5"/>
        <v>1</v>
      </c>
    </row>
    <row r="78" spans="1:150" s="5" customFormat="1" ht="16" customHeight="1" x14ac:dyDescent="0.2">
      <c r="A78" s="5">
        <v>34</v>
      </c>
      <c r="B78" s="8" t="s">
        <v>745</v>
      </c>
      <c r="C78" s="8" t="s">
        <v>222</v>
      </c>
      <c r="D78" s="5">
        <v>121</v>
      </c>
      <c r="E78" s="5" t="s">
        <v>223</v>
      </c>
      <c r="F78" s="21" t="s">
        <v>741</v>
      </c>
      <c r="G78" s="21">
        <v>77</v>
      </c>
      <c r="H78" s="5">
        <f t="shared" si="3"/>
        <v>34121</v>
      </c>
      <c r="I78" t="s">
        <v>1108</v>
      </c>
      <c r="J78">
        <v>255</v>
      </c>
      <c r="K78">
        <v>250</v>
      </c>
      <c r="L78">
        <v>250</v>
      </c>
      <c r="M78" s="6">
        <v>255</v>
      </c>
      <c r="N78" s="6" t="str">
        <f t="shared" si="4"/>
        <v>77: (255, 250, 250, 255, Net snow gain (amount) (snowfall): 34121),</v>
      </c>
      <c r="O78" s="5" t="str">
        <f>VLOOKUP(Australia!B78,Impacts!$A$2:$B$80,2, FALSE)</f>
        <v>Increase in the quantity of snow</v>
      </c>
      <c r="P78" s="5" t="str">
        <f>VLOOKUP(E78,Pressures!$A$2:$B$145,2,FALSE)</f>
        <v>Where water vapour turns into solid ice crystals and falls as snow.</v>
      </c>
      <c r="AC78" s="32">
        <v>228228</v>
      </c>
      <c r="AD78" s="32">
        <v>220220</v>
      </c>
      <c r="BD78" s="7"/>
      <c r="BE78" s="7"/>
      <c r="BF78" s="7"/>
      <c r="BG78" s="7"/>
      <c r="BI78" s="7"/>
      <c r="CZ78" s="47">
        <v>2</v>
      </c>
      <c r="DK78" s="8"/>
      <c r="DL78" s="8"/>
      <c r="DM78" s="8"/>
      <c r="DN78" s="8"/>
      <c r="DO78" s="50"/>
      <c r="DP78" s="50"/>
      <c r="DQ78" s="50"/>
      <c r="DR78" s="50"/>
      <c r="DS78" s="50"/>
      <c r="DT78" s="50"/>
      <c r="DU78" s="50"/>
      <c r="DV78" s="50"/>
      <c r="DW78" s="50"/>
      <c r="DX78" s="50"/>
      <c r="DY78" s="50"/>
      <c r="DZ78" s="50">
        <v>1</v>
      </c>
      <c r="EA78" s="50"/>
      <c r="EB78" s="50">
        <v>1</v>
      </c>
      <c r="EC78" s="50"/>
      <c r="ED78" s="50"/>
      <c r="EE78" s="50"/>
      <c r="EF78" s="50"/>
      <c r="EG78" s="50"/>
      <c r="EH78" s="50"/>
      <c r="EI78" s="50"/>
      <c r="EJ78" s="50"/>
      <c r="EK78" s="50"/>
      <c r="EL78" s="50"/>
      <c r="EM78" s="50"/>
      <c r="EN78" s="50"/>
      <c r="EO78" s="50"/>
      <c r="EP78" s="50"/>
      <c r="EQ78" s="50"/>
      <c r="ER78" s="50"/>
      <c r="ET78" s="55">
        <f t="shared" si="5"/>
        <v>2</v>
      </c>
    </row>
    <row r="79" spans="1:150" s="5" customFormat="1" ht="16" customHeight="1" x14ac:dyDescent="0.2">
      <c r="A79" s="5">
        <v>35</v>
      </c>
      <c r="B79" s="8" t="s">
        <v>746</v>
      </c>
      <c r="C79" s="8" t="s">
        <v>224</v>
      </c>
      <c r="D79" s="5">
        <v>123</v>
      </c>
      <c r="E79" s="5" t="s">
        <v>225</v>
      </c>
      <c r="F79" s="21" t="s">
        <v>742</v>
      </c>
      <c r="G79" s="21">
        <v>78</v>
      </c>
      <c r="H79" s="5">
        <f t="shared" si="3"/>
        <v>35123</v>
      </c>
      <c r="I79" t="s">
        <v>1109</v>
      </c>
      <c r="J79">
        <v>119</v>
      </c>
      <c r="K79">
        <v>136</v>
      </c>
      <c r="L79">
        <v>153</v>
      </c>
      <c r="M79" s="6">
        <v>255</v>
      </c>
      <c r="N79" s="6" t="str">
        <f t="shared" si="4"/>
        <v>78: (119, 136, 153, 255, Net snow loss (amount) (snowmelt): 35123),</v>
      </c>
      <c r="O79" s="5" t="str">
        <f>VLOOKUP(Australia!B79,Impacts!$A$2:$B$80,2, FALSE)</f>
        <v>Decrease in the quantity of snow</v>
      </c>
      <c r="P79" s="5" t="str">
        <f>VLOOKUP(E79,Pressures!$A$2:$B$145,2,FALSE)</f>
        <v>Water produced by the melting of snow.</v>
      </c>
      <c r="AC79" s="32">
        <v>228228</v>
      </c>
      <c r="AD79" s="32">
        <v>220220</v>
      </c>
      <c r="DK79" s="8"/>
      <c r="DL79" s="8"/>
      <c r="DM79" s="8"/>
      <c r="DN79" s="8"/>
      <c r="DO79" s="50"/>
      <c r="DP79" s="50"/>
      <c r="DQ79" s="50"/>
      <c r="DR79" s="50"/>
      <c r="DS79" s="50"/>
      <c r="DT79" s="50"/>
      <c r="DU79" s="50">
        <v>1</v>
      </c>
      <c r="DV79" s="50"/>
      <c r="DW79" s="50"/>
      <c r="DX79" s="50"/>
      <c r="DY79" s="50">
        <v>1</v>
      </c>
      <c r="DZ79" s="50"/>
      <c r="EA79" s="50"/>
      <c r="EB79" s="50"/>
      <c r="EC79" s="50"/>
      <c r="ED79" s="50"/>
      <c r="EE79" s="50"/>
      <c r="EF79" s="50"/>
      <c r="EG79" s="50"/>
      <c r="EH79" s="50"/>
      <c r="EI79" s="50"/>
      <c r="EJ79" s="50"/>
      <c r="EK79" s="50"/>
      <c r="EL79" s="50"/>
      <c r="EM79" s="50"/>
      <c r="EN79" s="50"/>
      <c r="EO79" s="50"/>
      <c r="EP79" s="50"/>
      <c r="EQ79" s="50"/>
      <c r="ER79" s="50"/>
      <c r="ET79" s="55">
        <f t="shared" si="5"/>
        <v>2</v>
      </c>
    </row>
    <row r="80" spans="1:150" s="5" customFormat="1" ht="16" customHeight="1" x14ac:dyDescent="0.2">
      <c r="A80" s="5">
        <v>36</v>
      </c>
      <c r="B80" s="39" t="s">
        <v>677</v>
      </c>
      <c r="C80" s="39" t="s">
        <v>222</v>
      </c>
      <c r="D80" s="5">
        <v>116</v>
      </c>
      <c r="E80" s="5" t="s">
        <v>223</v>
      </c>
      <c r="F80" s="21" t="s">
        <v>226</v>
      </c>
      <c r="G80" s="21">
        <v>79</v>
      </c>
      <c r="H80" s="5">
        <f t="shared" si="3"/>
        <v>36116</v>
      </c>
      <c r="I80" t="s">
        <v>1110</v>
      </c>
      <c r="J80">
        <v>245</v>
      </c>
      <c r="K80">
        <v>245</v>
      </c>
      <c r="L80">
        <v>245</v>
      </c>
      <c r="M80" s="6">
        <v>255</v>
      </c>
      <c r="N80" s="6" t="str">
        <f t="shared" si="4"/>
        <v>79: (245, 245, 245, 255, Net snow gain (extent) (snowfall): 36116),</v>
      </c>
      <c r="O80" s="5" t="str">
        <f>VLOOKUP(Australia!B80,Impacts!$A$2:$B$80,2, FALSE)</f>
        <v>Progressive gain of snow extent.</v>
      </c>
      <c r="P80" s="5" t="str">
        <f>VLOOKUP(E80,Pressures!$A$2:$B$145,2,FALSE)</f>
        <v>Where water vapour turns into solid ice crystals and falls as snow.</v>
      </c>
      <c r="AE80" s="32">
        <v>112228</v>
      </c>
      <c r="AF80" s="32">
        <v>123228</v>
      </c>
      <c r="AG80" s="32">
        <v>124228</v>
      </c>
      <c r="AH80" s="32">
        <v>215228</v>
      </c>
      <c r="AI80" s="32">
        <v>216228</v>
      </c>
      <c r="AJ80" s="32">
        <v>111220</v>
      </c>
      <c r="AK80" s="32">
        <v>112220</v>
      </c>
      <c r="AL80" s="32">
        <v>123220</v>
      </c>
      <c r="AM80" s="32">
        <v>124220</v>
      </c>
      <c r="AN80" s="32">
        <v>215220</v>
      </c>
      <c r="AO80" s="32">
        <v>216220</v>
      </c>
      <c r="DK80" s="8"/>
      <c r="DL80" s="8"/>
      <c r="DM80" s="8"/>
      <c r="DN80" s="8"/>
      <c r="DO80" s="50"/>
      <c r="DP80" s="50"/>
      <c r="DQ80" s="50"/>
      <c r="DR80" s="50"/>
      <c r="DS80" s="50"/>
      <c r="DT80" s="50"/>
      <c r="DU80" s="50"/>
      <c r="DV80" s="50"/>
      <c r="DW80" s="50"/>
      <c r="DX80" s="50"/>
      <c r="DY80" s="50"/>
      <c r="DZ80" s="50">
        <v>1</v>
      </c>
      <c r="EA80" s="50"/>
      <c r="EB80" s="50">
        <v>1</v>
      </c>
      <c r="EC80" s="50"/>
      <c r="ED80" s="50"/>
      <c r="EE80" s="50"/>
      <c r="EF80" s="50"/>
      <c r="EG80" s="50"/>
      <c r="EH80" s="50"/>
      <c r="EI80" s="50"/>
      <c r="EJ80" s="50"/>
      <c r="EK80" s="50"/>
      <c r="EL80" s="50"/>
      <c r="EM80" s="50"/>
      <c r="EN80" s="50"/>
      <c r="EO80" s="50"/>
      <c r="EP80" s="50"/>
      <c r="EQ80" s="50"/>
      <c r="ER80" s="50"/>
      <c r="ET80" s="55">
        <f t="shared" si="5"/>
        <v>2</v>
      </c>
    </row>
    <row r="81" spans="1:150" s="5" customFormat="1" ht="16" customHeight="1" x14ac:dyDescent="0.2">
      <c r="A81" s="5">
        <v>37</v>
      </c>
      <c r="B81" s="39" t="s">
        <v>675</v>
      </c>
      <c r="C81" s="39" t="s">
        <v>224</v>
      </c>
      <c r="D81" s="5">
        <v>117</v>
      </c>
      <c r="E81" s="5" t="s">
        <v>225</v>
      </c>
      <c r="F81" s="21" t="s">
        <v>227</v>
      </c>
      <c r="G81" s="21">
        <v>80</v>
      </c>
      <c r="H81" s="5">
        <f t="shared" si="3"/>
        <v>37117</v>
      </c>
      <c r="I81" t="s">
        <v>1111</v>
      </c>
      <c r="J81">
        <v>192</v>
      </c>
      <c r="K81">
        <v>192</v>
      </c>
      <c r="L81">
        <v>192</v>
      </c>
      <c r="M81" s="6">
        <v>255</v>
      </c>
      <c r="N81" s="6" t="str">
        <f t="shared" si="4"/>
        <v>80: (192, 192, 192, 255, Net snow loss (extent) (snowmelt): 37117),</v>
      </c>
      <c r="O81" s="5" t="str">
        <f>VLOOKUP(Australia!B81,Impacts!$A$2:$B$80,2, FALSE)</f>
        <v>Loss of snow cover through melt resulting in exposure of the underlying surface.</v>
      </c>
      <c r="P81" s="5" t="str">
        <f>VLOOKUP(E81,Pressures!$A$2:$B$145,2,FALSE)</f>
        <v>Water produced by the melting of snow.</v>
      </c>
      <c r="AE81" s="32">
        <v>228112</v>
      </c>
      <c r="AF81" s="32">
        <v>228123</v>
      </c>
      <c r="AG81" s="32">
        <v>228124</v>
      </c>
      <c r="AH81" s="32">
        <v>228215</v>
      </c>
      <c r="AI81" s="32">
        <v>228216</v>
      </c>
      <c r="AJ81" s="32">
        <v>220111</v>
      </c>
      <c r="AK81" s="32">
        <v>220112</v>
      </c>
      <c r="AL81" s="32">
        <v>220123</v>
      </c>
      <c r="AM81" s="32">
        <v>220124</v>
      </c>
      <c r="AN81" s="32">
        <v>220215</v>
      </c>
      <c r="AO81" s="32">
        <v>220216</v>
      </c>
      <c r="CZ81" s="5" t="s">
        <v>713</v>
      </c>
      <c r="DK81" s="8"/>
      <c r="DL81" s="8"/>
      <c r="DM81" s="8"/>
      <c r="DN81" s="8"/>
      <c r="DO81" s="50"/>
      <c r="DP81" s="50"/>
      <c r="DQ81" s="50"/>
      <c r="DR81" s="50"/>
      <c r="DS81" s="50"/>
      <c r="DT81" s="50"/>
      <c r="DU81" s="50">
        <v>1</v>
      </c>
      <c r="DV81" s="50"/>
      <c r="DW81" s="50"/>
      <c r="DX81" s="50"/>
      <c r="DY81" s="50"/>
      <c r="DZ81" s="50">
        <v>1</v>
      </c>
      <c r="EA81" s="50"/>
      <c r="EB81" s="50"/>
      <c r="EC81" s="50"/>
      <c r="ED81" s="50"/>
      <c r="EE81" s="50"/>
      <c r="EF81" s="50"/>
      <c r="EG81" s="50"/>
      <c r="EH81" s="50"/>
      <c r="EI81" s="50"/>
      <c r="EJ81" s="50"/>
      <c r="EK81" s="50"/>
      <c r="EL81" s="50"/>
      <c r="EM81" s="50"/>
      <c r="EN81" s="50"/>
      <c r="EO81" s="50"/>
      <c r="EP81" s="50"/>
      <c r="EQ81" s="50"/>
      <c r="ER81" s="50"/>
      <c r="ET81" s="55">
        <f t="shared" si="5"/>
        <v>2</v>
      </c>
    </row>
    <row r="82" spans="1:150" s="5" customFormat="1" ht="16" customHeight="1" x14ac:dyDescent="0.2">
      <c r="A82" s="5">
        <v>38</v>
      </c>
      <c r="B82" s="8" t="s">
        <v>674</v>
      </c>
      <c r="C82" s="8" t="s">
        <v>81</v>
      </c>
      <c r="D82" s="5">
        <v>96</v>
      </c>
      <c r="E82" s="5" t="s">
        <v>82</v>
      </c>
      <c r="F82" s="21" t="s">
        <v>228</v>
      </c>
      <c r="G82" s="21">
        <v>81</v>
      </c>
      <c r="H82" s="5">
        <f t="shared" si="3"/>
        <v>38096</v>
      </c>
      <c r="I82" t="s">
        <v>1112</v>
      </c>
      <c r="J82">
        <v>255</v>
      </c>
      <c r="K82">
        <v>250</v>
      </c>
      <c r="L82">
        <v>240</v>
      </c>
      <c r="M82" s="6">
        <v>255</v>
      </c>
      <c r="N82" s="6" t="str">
        <f t="shared" si="4"/>
        <v>81: (255, 250, 240, 255, Net snow gain (hydroperiod) (prolonged temperature decrease): 38096),</v>
      </c>
      <c r="O82" s="5" t="str">
        <f>VLOOKUP(Australia!B82,Impacts!$A$2:$B$80,2, FALSE)</f>
        <v>The increase in the residence time of snow cover, often expressed as a percentage of a year.</v>
      </c>
      <c r="P82" s="5" t="str">
        <f>VLOOKUP(E82,Pressures!$A$2:$B$145,2,FALSE)</f>
        <v>Seasonal to multi-annual decreases in temperature compared with past averages.</v>
      </c>
      <c r="AC82" s="32">
        <v>228228</v>
      </c>
      <c r="AD82" s="32">
        <v>220220</v>
      </c>
      <c r="DA82" s="34">
        <v>98</v>
      </c>
      <c r="DB82" s="34">
        <v>97</v>
      </c>
      <c r="DC82" s="34">
        <v>91</v>
      </c>
      <c r="DD82" s="34">
        <v>87</v>
      </c>
      <c r="DE82" s="34">
        <v>81</v>
      </c>
      <c r="DF82" s="34">
        <v>71</v>
      </c>
      <c r="DK82" s="8"/>
      <c r="DL82" s="8"/>
      <c r="DM82" s="8"/>
      <c r="DN82" s="8"/>
      <c r="DO82" s="50"/>
      <c r="DP82" s="50"/>
      <c r="DQ82" s="50"/>
      <c r="DR82" s="50"/>
      <c r="DS82" s="50"/>
      <c r="DT82" s="50"/>
      <c r="DU82" s="50"/>
      <c r="DV82" s="50"/>
      <c r="DW82" s="50"/>
      <c r="DX82" s="50"/>
      <c r="DY82" s="50">
        <v>1</v>
      </c>
      <c r="DZ82" s="50"/>
      <c r="EA82" s="50"/>
      <c r="EB82" s="50"/>
      <c r="EC82" s="50"/>
      <c r="ED82" s="50"/>
      <c r="EE82" s="50"/>
      <c r="EF82" s="50"/>
      <c r="EG82" s="50"/>
      <c r="EH82" s="50"/>
      <c r="EI82" s="50"/>
      <c r="EJ82" s="50"/>
      <c r="EK82" s="50"/>
      <c r="EL82" s="50"/>
      <c r="EM82" s="50"/>
      <c r="EN82" s="50"/>
      <c r="EO82" s="50"/>
      <c r="EP82" s="50"/>
      <c r="EQ82" s="50"/>
      <c r="ER82" s="50"/>
      <c r="ET82" s="55">
        <f t="shared" si="5"/>
        <v>1</v>
      </c>
    </row>
    <row r="83" spans="1:150" s="5" customFormat="1" ht="16" customHeight="1" x14ac:dyDescent="0.2">
      <c r="A83" s="5">
        <v>39</v>
      </c>
      <c r="B83" s="8" t="s">
        <v>676</v>
      </c>
      <c r="C83" s="8" t="s">
        <v>69</v>
      </c>
      <c r="D83" s="5">
        <v>97</v>
      </c>
      <c r="E83" s="5" t="s">
        <v>70</v>
      </c>
      <c r="F83" s="21" t="s">
        <v>229</v>
      </c>
      <c r="G83" s="21">
        <v>82</v>
      </c>
      <c r="H83" s="5">
        <f t="shared" si="3"/>
        <v>39097</v>
      </c>
      <c r="I83" t="s">
        <v>1113</v>
      </c>
      <c r="J83">
        <v>220</v>
      </c>
      <c r="K83">
        <v>220</v>
      </c>
      <c r="L83">
        <v>220</v>
      </c>
      <c r="M83" s="6">
        <v>255</v>
      </c>
      <c r="N83" s="6" t="str">
        <f t="shared" si="4"/>
        <v>82: (220, 220, 220, 255, Net snow loss (hydroperiod) (prolonged temperature increase): 39097),</v>
      </c>
      <c r="O83" s="5" t="str">
        <f>VLOOKUP(Australia!B83,Impacts!$A$2:$B$80,2, FALSE)</f>
        <v>The decrease in the residence time of snow cover, often expressed as a percentage of a year.</v>
      </c>
      <c r="P83" s="5" t="str">
        <f>VLOOKUP(E83,Pressures!$A$2:$B$145,2,FALSE)</f>
        <v>Seasonal to multi-annual increases in temperature compared with past averages.</v>
      </c>
      <c r="AC83" s="32">
        <v>228228</v>
      </c>
      <c r="AD83" s="32">
        <v>220220</v>
      </c>
      <c r="AU83" s="31">
        <v>1</v>
      </c>
      <c r="AV83" s="31">
        <v>1</v>
      </c>
      <c r="AW83" s="31">
        <v>0</v>
      </c>
      <c r="AX83" s="31"/>
      <c r="AY83" s="31">
        <v>1</v>
      </c>
      <c r="AZ83" s="31">
        <v>2</v>
      </c>
      <c r="BA83" s="31">
        <v>3</v>
      </c>
      <c r="BB83" s="31"/>
      <c r="BC83" s="31"/>
      <c r="BD83" s="31"/>
      <c r="BE83" s="31"/>
      <c r="BF83" s="31"/>
      <c r="BG83" s="31"/>
      <c r="BH83" s="31"/>
      <c r="BI83" s="31"/>
      <c r="BJ83" s="31">
        <v>228228</v>
      </c>
      <c r="BK83" s="31">
        <v>220220</v>
      </c>
      <c r="BL83" s="31"/>
      <c r="BM83" s="31"/>
      <c r="BN83" s="31"/>
      <c r="BO83" s="31"/>
      <c r="BP83" s="31"/>
      <c r="BQ83" s="31"/>
      <c r="BR83" s="31"/>
      <c r="BS83" s="31"/>
      <c r="BT83" s="31"/>
      <c r="BU83" s="31"/>
      <c r="BV83" s="31"/>
      <c r="BW83" s="31"/>
      <c r="BX83" s="31"/>
      <c r="BY83" s="31">
        <v>2</v>
      </c>
      <c r="CA83" s="28"/>
      <c r="CB83" s="45">
        <v>1012</v>
      </c>
      <c r="CC83" s="45">
        <v>1013</v>
      </c>
      <c r="CD83" s="45">
        <v>1015</v>
      </c>
      <c r="CE83" s="45">
        <v>1016</v>
      </c>
      <c r="CF83" s="45">
        <v>1213</v>
      </c>
      <c r="CG83" s="45">
        <v>1215</v>
      </c>
      <c r="CH83" s="46">
        <v>1216</v>
      </c>
      <c r="CI83" s="46">
        <v>1315</v>
      </c>
      <c r="CJ83" s="46">
        <v>1316</v>
      </c>
      <c r="CK83" s="46">
        <v>1516</v>
      </c>
      <c r="CL83" s="46">
        <v>1010</v>
      </c>
      <c r="CM83" s="46">
        <v>1212</v>
      </c>
      <c r="CN83" s="46">
        <v>1313</v>
      </c>
      <c r="CO83" s="46">
        <v>1515</v>
      </c>
      <c r="CP83" s="46">
        <v>1616</v>
      </c>
      <c r="CZ83" s="47">
        <v>2</v>
      </c>
      <c r="DA83" s="34">
        <v>17</v>
      </c>
      <c r="DB83" s="34">
        <v>18</v>
      </c>
      <c r="DC83" s="34">
        <v>19</v>
      </c>
      <c r="DD83" s="34">
        <v>78</v>
      </c>
      <c r="DE83" s="34">
        <v>79</v>
      </c>
      <c r="DF83" s="34">
        <v>89</v>
      </c>
      <c r="DK83" s="8"/>
      <c r="DL83" s="8"/>
      <c r="DM83" s="8"/>
      <c r="DN83" s="8"/>
      <c r="DO83" s="50"/>
      <c r="DP83" s="50"/>
      <c r="DQ83" s="50"/>
      <c r="DR83" s="50"/>
      <c r="DS83" s="50"/>
      <c r="DT83" s="50"/>
      <c r="DU83" s="50"/>
      <c r="DV83" s="50"/>
      <c r="DW83" s="50"/>
      <c r="DX83" s="50"/>
      <c r="DY83" s="50">
        <v>1</v>
      </c>
      <c r="DZ83" s="50"/>
      <c r="EA83" s="50"/>
      <c r="EB83" s="50"/>
      <c r="EC83" s="50"/>
      <c r="ED83" s="50"/>
      <c r="EE83" s="50"/>
      <c r="EF83" s="50"/>
      <c r="EG83" s="50"/>
      <c r="EH83" s="50"/>
      <c r="EI83" s="50"/>
      <c r="EJ83" s="50"/>
      <c r="EK83" s="50"/>
      <c r="EL83" s="50"/>
      <c r="EM83" s="50"/>
      <c r="EN83" s="50"/>
      <c r="EO83" s="50"/>
      <c r="EP83" s="50"/>
      <c r="EQ83" s="50"/>
      <c r="ER83" s="50"/>
      <c r="ET83" s="55">
        <f t="shared" si="5"/>
        <v>1</v>
      </c>
    </row>
    <row r="84" spans="1:150" s="5" customFormat="1" ht="16" customHeight="1" x14ac:dyDescent="0.2">
      <c r="A84" s="5">
        <v>40</v>
      </c>
      <c r="B84" s="8" t="s">
        <v>230</v>
      </c>
      <c r="C84" s="8" t="s">
        <v>231</v>
      </c>
      <c r="D84" s="5">
        <v>82</v>
      </c>
      <c r="E84" s="5" t="s">
        <v>232</v>
      </c>
      <c r="F84" s="21" t="s">
        <v>233</v>
      </c>
      <c r="G84" s="21">
        <v>83</v>
      </c>
      <c r="H84" s="5">
        <f t="shared" si="3"/>
        <v>40082</v>
      </c>
      <c r="I84" t="s">
        <v>1114</v>
      </c>
      <c r="J84">
        <v>218</v>
      </c>
      <c r="K84">
        <v>165</v>
      </c>
      <c r="L84">
        <v>32</v>
      </c>
      <c r="M84" s="6">
        <v>255</v>
      </c>
      <c r="N84" s="6" t="str">
        <f t="shared" si="4"/>
        <v>83: (218, 165, 32, 255, Phenological change (natural diurnal and seasonal cycles): 40082),</v>
      </c>
      <c r="O84" s="5" t="str">
        <f>VLOOKUP(Australia!B84,Impacts!$A$2:$B$80,2, FALSE)</f>
        <v>Alteration in the timing of natural lifecycle events.</v>
      </c>
      <c r="P84" s="5" t="str">
        <f>VLOOKUP(E84,Pressures!$A$2:$B$145,2,FALSE)</f>
        <v>Changes in day length or temperatures over a year.</v>
      </c>
      <c r="V84" s="29">
        <v>111111</v>
      </c>
      <c r="W84" s="29">
        <v>112112</v>
      </c>
      <c r="X84" s="29">
        <v>123123</v>
      </c>
      <c r="Y84" s="29">
        <v>124124</v>
      </c>
      <c r="AW84" s="5">
        <v>1</v>
      </c>
      <c r="AX84" s="5">
        <v>0</v>
      </c>
      <c r="AZ84" s="5">
        <v>1</v>
      </c>
      <c r="BA84" s="5">
        <v>2</v>
      </c>
      <c r="BB84" s="5">
        <v>3</v>
      </c>
      <c r="BK84" s="7">
        <v>228228</v>
      </c>
      <c r="BL84" s="7">
        <v>220220</v>
      </c>
      <c r="DK84" s="8"/>
      <c r="DL84" s="8"/>
      <c r="DM84" s="8"/>
      <c r="DN84" s="8"/>
      <c r="DO84" s="50"/>
      <c r="DP84" s="50"/>
      <c r="DQ84" s="50"/>
      <c r="DR84" s="50"/>
      <c r="DS84" s="50"/>
      <c r="DT84" s="50"/>
      <c r="DU84" s="50"/>
      <c r="DV84" s="50"/>
      <c r="DW84" s="50"/>
      <c r="DX84" s="50"/>
      <c r="DY84" s="50"/>
      <c r="DZ84" s="50"/>
      <c r="EA84" s="50"/>
      <c r="EB84" s="50"/>
      <c r="EC84" s="50"/>
      <c r="ED84" s="50"/>
      <c r="EE84" s="50"/>
      <c r="EF84" s="50"/>
      <c r="EG84" s="50"/>
      <c r="EH84" s="50"/>
      <c r="EI84" s="50">
        <v>1</v>
      </c>
      <c r="EJ84" s="50"/>
      <c r="EK84" s="50"/>
      <c r="EL84" s="50"/>
      <c r="EM84" s="50"/>
      <c r="EN84" s="50"/>
      <c r="EO84" s="50"/>
      <c r="EP84" s="50"/>
      <c r="EQ84" s="50"/>
      <c r="ER84" s="50"/>
      <c r="ET84" s="55">
        <f t="shared" si="5"/>
        <v>1</v>
      </c>
    </row>
    <row r="85" spans="1:150" s="5" customFormat="1" ht="16" customHeight="1" x14ac:dyDescent="0.2">
      <c r="A85" s="5">
        <v>41</v>
      </c>
      <c r="B85" s="8" t="s">
        <v>234</v>
      </c>
      <c r="C85" s="8" t="s">
        <v>207</v>
      </c>
      <c r="D85" s="5">
        <v>98</v>
      </c>
      <c r="E85" s="5" t="s">
        <v>208</v>
      </c>
      <c r="F85" s="21" t="s">
        <v>235</v>
      </c>
      <c r="G85" s="21">
        <v>84</v>
      </c>
      <c r="H85" s="5">
        <f t="shared" si="3"/>
        <v>41098</v>
      </c>
      <c r="I85" t="s">
        <v>1115</v>
      </c>
      <c r="J85">
        <v>75</v>
      </c>
      <c r="K85">
        <v>0</v>
      </c>
      <c r="L85">
        <v>130</v>
      </c>
      <c r="M85" s="6">
        <v>255</v>
      </c>
      <c r="N85" s="6" t="str">
        <f t="shared" si="4"/>
        <v>84: (75, 0, 130, 255, Railway or road abandonment (reduced investment): 41098),</v>
      </c>
      <c r="O85" s="5" t="str">
        <f>VLOOKUP(Australia!B85,Impacts!$A$2:$B$80,2, FALSE)</f>
        <v>Transport infrastructure no longer in use and no new use observed.</v>
      </c>
      <c r="P85" s="5" t="str">
        <f>VLOOKUP(E85,Pressures!$A$2:$B$145,2,FALSE)</f>
        <v>Sale of an asset or item or removing funding from a service.</v>
      </c>
      <c r="Z85" s="32">
        <v>215215</v>
      </c>
      <c r="AW85" s="5">
        <v>1</v>
      </c>
      <c r="AX85" s="5">
        <v>0</v>
      </c>
      <c r="AZ85" s="5">
        <v>1</v>
      </c>
      <c r="BA85" s="5">
        <v>2</v>
      </c>
      <c r="BB85" s="5">
        <v>3</v>
      </c>
      <c r="BL85" s="7">
        <v>220220</v>
      </c>
      <c r="DK85" s="8"/>
      <c r="DL85" s="8"/>
      <c r="DM85" s="8"/>
      <c r="DN85" s="8"/>
      <c r="DO85" s="50"/>
      <c r="DP85" s="50"/>
      <c r="DQ85" s="50"/>
      <c r="DR85" s="50"/>
      <c r="DS85" s="50"/>
      <c r="DT85" s="50"/>
      <c r="DU85" s="50"/>
      <c r="DV85" s="50"/>
      <c r="DW85" s="50"/>
      <c r="DX85" s="50"/>
      <c r="DY85" s="50"/>
      <c r="DZ85" s="50"/>
      <c r="EA85" s="50"/>
      <c r="EB85" s="50"/>
      <c r="EC85" s="50"/>
      <c r="ED85" s="50"/>
      <c r="EE85" s="50"/>
      <c r="EF85" s="50"/>
      <c r="EG85" s="50"/>
      <c r="EH85" s="50"/>
      <c r="EI85" s="50"/>
      <c r="EJ85" s="50"/>
      <c r="EK85" s="50"/>
      <c r="EL85" s="50">
        <v>1</v>
      </c>
      <c r="EM85" s="50"/>
      <c r="EN85" s="50"/>
      <c r="EO85" s="50"/>
      <c r="EP85" s="50"/>
      <c r="EQ85" s="50"/>
      <c r="ER85" s="50"/>
      <c r="ET85" s="55">
        <f t="shared" si="5"/>
        <v>1</v>
      </c>
    </row>
    <row r="86" spans="1:150" s="5" customFormat="1" ht="16" customHeight="1" x14ac:dyDescent="0.2">
      <c r="A86" s="5">
        <v>42</v>
      </c>
      <c r="B86" s="8" t="s">
        <v>236</v>
      </c>
      <c r="C86" s="39" t="s">
        <v>211</v>
      </c>
      <c r="D86" s="5">
        <v>61</v>
      </c>
      <c r="E86" s="5" t="s">
        <v>212</v>
      </c>
      <c r="F86" s="21" t="s">
        <v>237</v>
      </c>
      <c r="G86" s="21">
        <v>85</v>
      </c>
      <c r="H86" s="5">
        <f t="shared" si="3"/>
        <v>42061</v>
      </c>
      <c r="I86" t="s">
        <v>1116</v>
      </c>
      <c r="J86">
        <v>240</v>
      </c>
      <c r="K86">
        <v>128</v>
      </c>
      <c r="L86">
        <v>128</v>
      </c>
      <c r="M86" s="6">
        <v>255</v>
      </c>
      <c r="N86" s="6" t="str">
        <f t="shared" si="4"/>
        <v>85: (240, 128, 128, 255, Railway or road construction (increased investment): 42061),</v>
      </c>
      <c r="O86" s="5" t="str">
        <f>VLOOKUP(Australia!B86,Impacts!$A$2:$B$80,2, FALSE)</f>
        <v>Building of a land cover that consists of a combination of materials to form a linear structure.</v>
      </c>
      <c r="P86" s="5" t="str">
        <f>VLOOKUP(E86,Pressures!$A$2:$B$145,2,FALSE)</f>
        <v>Purchase of an asset, item or service.</v>
      </c>
      <c r="V86" s="5" t="s">
        <v>713</v>
      </c>
      <c r="W86" s="5" t="s">
        <v>713</v>
      </c>
      <c r="Z86" s="32">
        <v>215215</v>
      </c>
      <c r="AE86" s="32">
        <v>111215</v>
      </c>
      <c r="AF86" s="32">
        <v>112215</v>
      </c>
      <c r="AG86" s="32">
        <v>123215</v>
      </c>
      <c r="AH86" s="32">
        <v>124215</v>
      </c>
      <c r="AI86" s="32">
        <v>216215</v>
      </c>
      <c r="AW86" s="5">
        <v>1</v>
      </c>
      <c r="AX86" s="5">
        <v>0</v>
      </c>
      <c r="AZ86" s="5">
        <v>1</v>
      </c>
      <c r="BA86" s="5">
        <v>2</v>
      </c>
      <c r="BB86" s="5">
        <v>3</v>
      </c>
      <c r="BD86" s="7">
        <v>111111</v>
      </c>
      <c r="BE86" s="7">
        <v>112112</v>
      </c>
      <c r="BF86" s="7">
        <v>123123</v>
      </c>
      <c r="BG86" s="7">
        <v>124124</v>
      </c>
      <c r="BH86" s="7">
        <v>215215</v>
      </c>
      <c r="BI86" s="7">
        <v>216216</v>
      </c>
      <c r="BV86" s="5">
        <v>22</v>
      </c>
      <c r="DK86" s="8"/>
      <c r="DL86" s="8"/>
      <c r="DM86" s="8"/>
      <c r="DN86" s="8"/>
      <c r="DO86" s="50"/>
      <c r="DP86" s="50"/>
      <c r="DQ86" s="50"/>
      <c r="DR86" s="50"/>
      <c r="DS86" s="50"/>
      <c r="DT86" s="50"/>
      <c r="DU86" s="50"/>
      <c r="DV86" s="50"/>
      <c r="DW86" s="50"/>
      <c r="DX86" s="50"/>
      <c r="DY86" s="50"/>
      <c r="DZ86" s="50"/>
      <c r="EA86" s="50"/>
      <c r="EB86" s="50"/>
      <c r="EC86" s="50"/>
      <c r="ED86" s="50"/>
      <c r="EE86" s="50"/>
      <c r="EF86" s="50"/>
      <c r="EG86" s="50"/>
      <c r="EH86" s="50"/>
      <c r="EI86" s="50"/>
      <c r="EJ86" s="50"/>
      <c r="EK86" s="50"/>
      <c r="EL86" s="50">
        <v>1</v>
      </c>
      <c r="EM86" s="50"/>
      <c r="EN86" s="50"/>
      <c r="EO86" s="50"/>
      <c r="EP86" s="50"/>
      <c r="EQ86" s="50"/>
      <c r="ER86" s="50"/>
      <c r="ET86" s="55">
        <f t="shared" si="5"/>
        <v>1</v>
      </c>
    </row>
    <row r="87" spans="1:150" s="5" customFormat="1" ht="16" customHeight="1" x14ac:dyDescent="0.2">
      <c r="A87" s="5">
        <v>43</v>
      </c>
      <c r="B87" s="39" t="s">
        <v>238</v>
      </c>
      <c r="C87" s="39" t="s">
        <v>659</v>
      </c>
      <c r="D87" s="5">
        <v>100</v>
      </c>
      <c r="E87" s="5" t="s">
        <v>570</v>
      </c>
      <c r="F87" s="21" t="s">
        <v>743</v>
      </c>
      <c r="G87" s="21">
        <v>86</v>
      </c>
      <c r="H87" s="5">
        <f t="shared" si="3"/>
        <v>43100</v>
      </c>
      <c r="I87" t="s">
        <v>1117</v>
      </c>
      <c r="J87">
        <v>255</v>
      </c>
      <c r="K87">
        <v>165</v>
      </c>
      <c r="L87">
        <v>0</v>
      </c>
      <c r="M87" s="6">
        <v>255</v>
      </c>
      <c r="N87" s="6" t="str">
        <f t="shared" si="4"/>
        <v>86: (255, 165, 0, 255, Receding Flood (reduced runoff post flood): 43100),</v>
      </c>
      <c r="O87" s="5" t="str">
        <f>VLOOKUP(Australia!B87,Impacts!$A$2:$B$80,2, FALSE)</f>
        <v>Movement of water away from an area after a flood.</v>
      </c>
      <c r="P87" s="5" t="str">
        <f>VLOOKUP(E87,Pressures!$A$2:$B$145,2,FALSE)</f>
        <v xml:space="preserve">Reduced quantity of water discharged in surface streams. </v>
      </c>
      <c r="AE87" s="32">
        <v>228112</v>
      </c>
      <c r="AF87" s="32">
        <v>228123</v>
      </c>
      <c r="AG87" s="32">
        <v>228124</v>
      </c>
      <c r="AH87" s="32">
        <v>228215</v>
      </c>
      <c r="AI87" s="32">
        <v>228216</v>
      </c>
      <c r="AJ87" s="32">
        <v>220111</v>
      </c>
      <c r="AK87" s="32">
        <v>220112</v>
      </c>
      <c r="AL87" s="32">
        <v>220123</v>
      </c>
      <c r="AM87" s="32">
        <v>220124</v>
      </c>
      <c r="AN87" s="32">
        <v>220215</v>
      </c>
      <c r="AO87" s="32">
        <v>220216</v>
      </c>
      <c r="AW87" s="5">
        <v>1</v>
      </c>
      <c r="AX87" s="5">
        <v>0</v>
      </c>
      <c r="AZ87" s="5">
        <v>1</v>
      </c>
      <c r="BA87" s="5">
        <v>2</v>
      </c>
      <c r="BB87" s="5">
        <v>3</v>
      </c>
      <c r="BL87" s="7">
        <v>220220</v>
      </c>
      <c r="DK87" s="8"/>
      <c r="DL87" s="8"/>
      <c r="DM87" s="8"/>
      <c r="DN87" s="8"/>
      <c r="DO87" s="50"/>
      <c r="DP87" s="50"/>
      <c r="DQ87" s="50"/>
      <c r="DR87" s="50"/>
      <c r="DS87" s="50">
        <v>1</v>
      </c>
      <c r="DT87" s="50">
        <v>1</v>
      </c>
      <c r="DU87" s="50"/>
      <c r="DV87" s="50"/>
      <c r="DW87" s="50"/>
      <c r="DX87" s="50"/>
      <c r="DY87" s="50"/>
      <c r="DZ87" s="50"/>
      <c r="EA87" s="50"/>
      <c r="EB87" s="50"/>
      <c r="EC87" s="50"/>
      <c r="ED87" s="50"/>
      <c r="EE87" s="50"/>
      <c r="EF87" s="50"/>
      <c r="EG87" s="50"/>
      <c r="EH87" s="50"/>
      <c r="EI87" s="50"/>
      <c r="EJ87" s="50"/>
      <c r="EK87" s="50"/>
      <c r="EL87" s="50"/>
      <c r="EM87" s="50"/>
      <c r="EN87" s="50"/>
      <c r="EO87" s="50"/>
      <c r="EP87" s="50"/>
      <c r="EQ87" s="50"/>
      <c r="ER87" s="50"/>
      <c r="ET87" s="55">
        <f t="shared" si="5"/>
        <v>2</v>
      </c>
    </row>
    <row r="88" spans="1:150" s="5" customFormat="1" ht="16" customHeight="1" x14ac:dyDescent="0.2">
      <c r="A88" s="5">
        <v>44</v>
      </c>
      <c r="B88" s="8" t="s">
        <v>239</v>
      </c>
      <c r="C88" s="8" t="s">
        <v>240</v>
      </c>
      <c r="D88" s="5">
        <v>37</v>
      </c>
      <c r="E88" s="5" t="s">
        <v>241</v>
      </c>
      <c r="F88" s="21" t="s">
        <v>242</v>
      </c>
      <c r="G88" s="21">
        <v>87</v>
      </c>
      <c r="H88" s="5">
        <f t="shared" si="3"/>
        <v>44037</v>
      </c>
      <c r="I88" t="s">
        <v>1118</v>
      </c>
      <c r="J88">
        <v>221</v>
      </c>
      <c r="K88">
        <v>160</v>
      </c>
      <c r="L88">
        <v>221</v>
      </c>
      <c r="M88" s="6">
        <v>255</v>
      </c>
      <c r="N88" s="6" t="str">
        <f t="shared" si="4"/>
        <v>87: (221, 160, 221, 255, Salinisation (evaporation): 44037),</v>
      </c>
      <c r="O88" s="5" t="str">
        <f>VLOOKUP(Australia!B88,Impacts!$A$2:$B$80,2, FALSE)</f>
        <v>The process of soils becoming more salty.</v>
      </c>
      <c r="P88" s="5" t="str">
        <f>VLOOKUP(E88,Pressures!$A$2:$B$145,2,FALSE)</f>
        <v>Water changing from a liquid to a gas.</v>
      </c>
      <c r="AB88" s="32">
        <v>227227</v>
      </c>
      <c r="AC88" s="32">
        <v>228228</v>
      </c>
      <c r="AD88" s="32">
        <v>220220</v>
      </c>
      <c r="AW88" s="5">
        <v>1</v>
      </c>
      <c r="AX88" s="5">
        <v>0</v>
      </c>
      <c r="AZ88" s="5">
        <v>1</v>
      </c>
      <c r="BA88" s="5">
        <v>2</v>
      </c>
      <c r="BB88" s="5">
        <v>3</v>
      </c>
      <c r="BL88" s="7">
        <v>220220</v>
      </c>
      <c r="CZ88" s="48">
        <v>11</v>
      </c>
      <c r="DK88" s="8"/>
      <c r="DL88" s="8"/>
      <c r="DM88" s="8"/>
      <c r="DN88" s="8"/>
      <c r="DO88" s="50"/>
      <c r="DP88" s="50"/>
      <c r="DQ88" s="50"/>
      <c r="DR88" s="50"/>
      <c r="DS88" s="50"/>
      <c r="DT88" s="50"/>
      <c r="DU88" s="50"/>
      <c r="DV88" s="50"/>
      <c r="DW88" s="50"/>
      <c r="DX88" s="50"/>
      <c r="DY88" s="50"/>
      <c r="DZ88" s="50">
        <v>1</v>
      </c>
      <c r="EA88" s="50"/>
      <c r="EB88" s="50">
        <v>1</v>
      </c>
      <c r="EC88" s="50"/>
      <c r="ED88" s="50"/>
      <c r="EE88" s="50"/>
      <c r="EF88" s="50"/>
      <c r="EG88" s="50"/>
      <c r="EH88" s="50"/>
      <c r="EI88" s="50"/>
      <c r="EJ88" s="50"/>
      <c r="EK88" s="50"/>
      <c r="EL88" s="50"/>
      <c r="EM88" s="50"/>
      <c r="EN88" s="50"/>
      <c r="EO88" s="50"/>
      <c r="EP88" s="50"/>
      <c r="EQ88" s="50"/>
      <c r="ER88" s="50"/>
      <c r="ET88" s="55">
        <f t="shared" si="5"/>
        <v>2</v>
      </c>
    </row>
    <row r="89" spans="1:150" s="5" customFormat="1" ht="16" customHeight="1" x14ac:dyDescent="0.2">
      <c r="A89" s="5">
        <v>44</v>
      </c>
      <c r="B89" s="8" t="s">
        <v>239</v>
      </c>
      <c r="C89" s="8" t="s">
        <v>175</v>
      </c>
      <c r="D89" s="5">
        <v>110</v>
      </c>
      <c r="E89" s="5" t="s">
        <v>176</v>
      </c>
      <c r="F89" s="21" t="s">
        <v>720</v>
      </c>
      <c r="G89" s="21">
        <v>88</v>
      </c>
      <c r="H89" s="5">
        <f t="shared" si="3"/>
        <v>44110</v>
      </c>
      <c r="I89" t="s">
        <v>1119</v>
      </c>
      <c r="J89">
        <v>238</v>
      </c>
      <c r="K89">
        <v>130</v>
      </c>
      <c r="L89">
        <v>238</v>
      </c>
      <c r="M89" s="6">
        <v>255</v>
      </c>
      <c r="N89" s="6" t="str">
        <f t="shared" si="4"/>
        <v>88: (238, 130, 238, 255, Salinisation (sea level fluctuation): 44110),</v>
      </c>
      <c r="O89" s="5" t="str">
        <f>VLOOKUP(Australia!B89,Impacts!$A$2:$B$80,2, FALSE)</f>
        <v>The process of soils becoming more salty.</v>
      </c>
      <c r="P89" s="5" t="str">
        <f>VLOOKUP(E89,Pressures!$A$2:$B$145,2,FALSE)</f>
        <v>Irregular rise and fall of sea level.</v>
      </c>
      <c r="AC89" s="32">
        <v>228228</v>
      </c>
      <c r="AD89" s="32">
        <v>220220</v>
      </c>
      <c r="AW89" s="5">
        <v>1</v>
      </c>
      <c r="AX89" s="5">
        <v>0</v>
      </c>
      <c r="AZ89" s="5">
        <v>1</v>
      </c>
      <c r="BA89" s="5">
        <v>2</v>
      </c>
      <c r="BB89" s="5">
        <v>3</v>
      </c>
      <c r="BH89" s="7">
        <v>215216</v>
      </c>
      <c r="DK89" s="8"/>
      <c r="DL89" s="8"/>
      <c r="DM89" s="8"/>
      <c r="DN89" s="8"/>
      <c r="DO89" s="50"/>
      <c r="DP89" s="50"/>
      <c r="DQ89" s="50"/>
      <c r="DR89" s="50"/>
      <c r="DS89" s="50"/>
      <c r="DT89" s="50"/>
      <c r="DU89" s="50"/>
      <c r="DV89" s="50"/>
      <c r="DW89" s="50"/>
      <c r="DX89" s="50"/>
      <c r="DY89" s="50"/>
      <c r="DZ89" s="50"/>
      <c r="EA89" s="50"/>
      <c r="EB89" s="50"/>
      <c r="EC89" s="50"/>
      <c r="ED89" s="50"/>
      <c r="EE89" s="50">
        <v>1</v>
      </c>
      <c r="EF89" s="50"/>
      <c r="EG89" s="50"/>
      <c r="EH89" s="50"/>
      <c r="EI89" s="50"/>
      <c r="EJ89" s="50"/>
      <c r="EK89" s="50"/>
      <c r="EL89" s="50"/>
      <c r="EM89" s="50"/>
      <c r="EN89" s="50"/>
      <c r="EO89" s="50"/>
      <c r="EP89" s="50"/>
      <c r="EQ89" s="50"/>
      <c r="ER89" s="50"/>
      <c r="ET89" s="55">
        <f t="shared" si="5"/>
        <v>1</v>
      </c>
    </row>
    <row r="90" spans="1:150" s="5" customFormat="1" ht="16" customHeight="1" x14ac:dyDescent="0.2">
      <c r="A90" s="5">
        <v>45</v>
      </c>
      <c r="B90" s="8" t="s">
        <v>243</v>
      </c>
      <c r="C90" s="8" t="s">
        <v>69</v>
      </c>
      <c r="D90" s="5">
        <v>97</v>
      </c>
      <c r="E90" s="5" t="s">
        <v>70</v>
      </c>
      <c r="F90" s="21" t="s">
        <v>244</v>
      </c>
      <c r="G90" s="21">
        <v>89</v>
      </c>
      <c r="H90" s="5">
        <f t="shared" si="3"/>
        <v>45097</v>
      </c>
      <c r="I90" t="s">
        <v>1120</v>
      </c>
      <c r="J90">
        <v>176</v>
      </c>
      <c r="K90">
        <v>196</v>
      </c>
      <c r="L90">
        <v>222</v>
      </c>
      <c r="M90" s="6">
        <v>255</v>
      </c>
      <c r="N90" s="6" t="str">
        <f t="shared" si="4"/>
        <v>89: (176, 196, 222, 255, Sea ice decrease (prolonged temperature increase): 45097),</v>
      </c>
      <c r="O90" s="5" t="str">
        <f>VLOOKUP(Australia!B90,Impacts!$A$2:$B$80,2, FALSE)</f>
        <v>Decrease in the extent and/or volume of frozen marine water.</v>
      </c>
      <c r="P90" s="5" t="str">
        <f>VLOOKUP(E90,Pressures!$A$2:$B$145,2,FALSE)</f>
        <v>Seasonal to multi-annual increases in temperature compared with past averages.</v>
      </c>
      <c r="AC90" s="32">
        <v>228228</v>
      </c>
      <c r="AD90" s="32">
        <v>220220</v>
      </c>
      <c r="AW90" s="5">
        <v>1</v>
      </c>
      <c r="AX90" s="5">
        <v>0</v>
      </c>
      <c r="AZ90" s="5">
        <v>1</v>
      </c>
      <c r="BA90" s="5">
        <v>2</v>
      </c>
      <c r="BB90" s="5">
        <v>3</v>
      </c>
      <c r="BH90" s="7">
        <v>215220</v>
      </c>
      <c r="CZ90" s="47">
        <v>31</v>
      </c>
      <c r="DA90" s="34">
        <v>17</v>
      </c>
      <c r="DB90" s="34">
        <v>18</v>
      </c>
      <c r="DC90" s="34">
        <v>19</v>
      </c>
      <c r="DD90" s="34">
        <v>78</v>
      </c>
      <c r="DE90" s="34">
        <v>79</v>
      </c>
      <c r="DF90" s="34">
        <v>89</v>
      </c>
      <c r="DK90" s="8"/>
      <c r="DL90" s="8"/>
      <c r="DM90" s="8"/>
      <c r="DN90" s="8"/>
      <c r="DO90" s="50"/>
      <c r="DP90" s="50"/>
      <c r="DQ90" s="50"/>
      <c r="DR90" s="50"/>
      <c r="DS90" s="50"/>
      <c r="DT90" s="50"/>
      <c r="DU90" s="50"/>
      <c r="DV90" s="50"/>
      <c r="DW90" s="50"/>
      <c r="DX90" s="50">
        <v>1</v>
      </c>
      <c r="DY90" s="50">
        <v>1</v>
      </c>
      <c r="DZ90" s="50"/>
      <c r="EA90" s="50"/>
      <c r="EB90" s="50"/>
      <c r="EC90" s="50"/>
      <c r="ED90" s="50"/>
      <c r="EE90" s="50"/>
      <c r="EF90" s="50"/>
      <c r="EG90" s="50"/>
      <c r="EH90" s="50"/>
      <c r="EI90" s="50"/>
      <c r="EJ90" s="50"/>
      <c r="EK90" s="50"/>
      <c r="EL90" s="50"/>
      <c r="EM90" s="50"/>
      <c r="EN90" s="50"/>
      <c r="EO90" s="50"/>
      <c r="EP90" s="50"/>
      <c r="EQ90" s="50"/>
      <c r="ER90" s="50"/>
      <c r="ET90" s="55">
        <f t="shared" si="5"/>
        <v>2</v>
      </c>
    </row>
    <row r="91" spans="1:150" s="5" customFormat="1" ht="16" customHeight="1" x14ac:dyDescent="0.2">
      <c r="A91" s="5">
        <v>46</v>
      </c>
      <c r="B91" s="8" t="s">
        <v>245</v>
      </c>
      <c r="C91" s="8" t="s">
        <v>81</v>
      </c>
      <c r="D91" s="5">
        <v>96</v>
      </c>
      <c r="E91" s="5" t="s">
        <v>82</v>
      </c>
      <c r="F91" s="21" t="s">
        <v>246</v>
      </c>
      <c r="G91" s="21">
        <v>90</v>
      </c>
      <c r="H91" s="5">
        <f t="shared" si="3"/>
        <v>46096</v>
      </c>
      <c r="I91" t="s">
        <v>1121</v>
      </c>
      <c r="J91">
        <v>255</v>
      </c>
      <c r="K91">
        <v>255</v>
      </c>
      <c r="L91">
        <v>255</v>
      </c>
      <c r="M91" s="6">
        <v>255</v>
      </c>
      <c r="N91" s="6" t="str">
        <f t="shared" si="4"/>
        <v>90: (255, 255, 255, 255, Sea ice increase (prolonged temperature decrease): 46096),</v>
      </c>
      <c r="O91" s="5" t="str">
        <f>VLOOKUP(Australia!B91,Impacts!$A$2:$B$80,2, FALSE)</f>
        <v>Increae in the extent and/or volume of frozen marine water.</v>
      </c>
      <c r="P91" s="5" t="str">
        <f>VLOOKUP(E91,Pressures!$A$2:$B$145,2,FALSE)</f>
        <v>Seasonal to multi-annual decreases in temperature compared with past averages.</v>
      </c>
      <c r="AC91" s="32">
        <v>228228</v>
      </c>
      <c r="AD91" s="32">
        <v>220220</v>
      </c>
      <c r="AW91" s="5">
        <v>1</v>
      </c>
      <c r="AX91" s="5">
        <v>0</v>
      </c>
      <c r="AZ91" s="5">
        <v>1</v>
      </c>
      <c r="BA91" s="5">
        <v>2</v>
      </c>
      <c r="BB91" s="5">
        <v>3</v>
      </c>
      <c r="BH91" s="7">
        <v>215216</v>
      </c>
      <c r="CZ91" s="47">
        <v>13</v>
      </c>
      <c r="DA91" s="34">
        <v>98</v>
      </c>
      <c r="DB91" s="34">
        <v>97</v>
      </c>
      <c r="DC91" s="34">
        <v>91</v>
      </c>
      <c r="DD91" s="34">
        <v>87</v>
      </c>
      <c r="DE91" s="34">
        <v>81</v>
      </c>
      <c r="DF91" s="34">
        <v>71</v>
      </c>
      <c r="DK91" s="8"/>
      <c r="DL91" s="8"/>
      <c r="DM91" s="8"/>
      <c r="DN91" s="8"/>
      <c r="DO91" s="50"/>
      <c r="DP91" s="50"/>
      <c r="DQ91" s="50"/>
      <c r="DR91" s="50"/>
      <c r="DS91" s="50"/>
      <c r="DT91" s="50"/>
      <c r="DU91" s="50"/>
      <c r="DV91" s="50"/>
      <c r="DW91" s="50"/>
      <c r="DX91" s="50">
        <v>1</v>
      </c>
      <c r="DY91" s="50">
        <v>1</v>
      </c>
      <c r="DZ91" s="50"/>
      <c r="EA91" s="50"/>
      <c r="EB91" s="50"/>
      <c r="EC91" s="50"/>
      <c r="ED91" s="50"/>
      <c r="EE91" s="50"/>
      <c r="EF91" s="50"/>
      <c r="EG91" s="50"/>
      <c r="EH91" s="50"/>
      <c r="EI91" s="50"/>
      <c r="EJ91" s="50"/>
      <c r="EK91" s="50"/>
      <c r="EL91" s="50"/>
      <c r="EM91" s="50"/>
      <c r="EN91" s="50"/>
      <c r="EO91" s="50"/>
      <c r="EP91" s="50"/>
      <c r="EQ91" s="50"/>
      <c r="ER91" s="50"/>
      <c r="ET91" s="55">
        <f t="shared" si="5"/>
        <v>2</v>
      </c>
    </row>
    <row r="92" spans="1:150" s="5" customFormat="1" ht="16" customHeight="1" x14ac:dyDescent="0.2">
      <c r="A92" s="5">
        <v>47</v>
      </c>
      <c r="B92" s="39" t="s">
        <v>247</v>
      </c>
      <c r="C92" s="39" t="s">
        <v>248</v>
      </c>
      <c r="D92" s="5">
        <v>85</v>
      </c>
      <c r="E92" s="5" t="s">
        <v>249</v>
      </c>
      <c r="F92" s="21" t="s">
        <v>250</v>
      </c>
      <c r="G92" s="21">
        <v>91</v>
      </c>
      <c r="H92" s="5">
        <f t="shared" si="3"/>
        <v>47085</v>
      </c>
      <c r="I92" t="s">
        <v>1122</v>
      </c>
      <c r="J92">
        <v>0</v>
      </c>
      <c r="K92">
        <v>139</v>
      </c>
      <c r="L92">
        <v>139</v>
      </c>
      <c r="M92" s="6">
        <v>255</v>
      </c>
      <c r="N92" s="6" t="str">
        <f t="shared" si="4"/>
        <v>91: (0, 139, 139, 255, Sea level fall (ocean-atmosphere oscillations): 47085),</v>
      </c>
      <c r="O92" s="5" t="str">
        <f>VLOOKUP(Australia!B92,Impacts!$A$2:$B$80,2, FALSE)</f>
        <v>An decrease in the mean level of the oceans.</v>
      </c>
      <c r="P92" s="5" t="str">
        <f>VLOOKUP(E92,Pressures!$A$2:$B$145,2,FALSE)</f>
        <v>Naturally occurring cycles affecting sea surface temperature and precipitation</v>
      </c>
      <c r="AE92" s="32">
        <v>228112</v>
      </c>
      <c r="AF92" s="32">
        <v>228124</v>
      </c>
      <c r="AG92" s="32">
        <v>228216</v>
      </c>
      <c r="AH92" s="32">
        <v>220112</v>
      </c>
      <c r="AI92" s="32">
        <v>220124</v>
      </c>
      <c r="AJ92" s="32">
        <v>220216</v>
      </c>
      <c r="AW92" s="5">
        <v>1</v>
      </c>
      <c r="AX92" s="5">
        <v>0</v>
      </c>
      <c r="AZ92" s="5">
        <v>1</v>
      </c>
      <c r="BA92" s="5">
        <v>2</v>
      </c>
      <c r="BB92" s="5">
        <v>3</v>
      </c>
      <c r="BH92" s="7">
        <v>215215</v>
      </c>
      <c r="DK92" s="8"/>
      <c r="DL92" s="8"/>
      <c r="DM92" s="8"/>
      <c r="DN92" s="8"/>
      <c r="DO92" s="50"/>
      <c r="DP92" s="50"/>
      <c r="DQ92" s="50"/>
      <c r="DR92" s="50"/>
      <c r="DS92" s="50"/>
      <c r="DT92" s="50"/>
      <c r="DU92" s="50"/>
      <c r="DV92" s="50"/>
      <c r="DW92" s="50"/>
      <c r="DX92" s="50"/>
      <c r="DY92" s="50"/>
      <c r="DZ92" s="50"/>
      <c r="EA92" s="50">
        <v>1</v>
      </c>
      <c r="EB92" s="50"/>
      <c r="EC92" s="50"/>
      <c r="ED92" s="50"/>
      <c r="EE92" s="50"/>
      <c r="EF92" s="50"/>
      <c r="EG92" s="50"/>
      <c r="EH92" s="50"/>
      <c r="EI92" s="50"/>
      <c r="EJ92" s="50"/>
      <c r="EK92" s="50"/>
      <c r="EL92" s="50"/>
      <c r="EM92" s="50"/>
      <c r="EN92" s="50"/>
      <c r="EO92" s="50"/>
      <c r="EP92" s="50"/>
      <c r="EQ92" s="50"/>
      <c r="ER92" s="50"/>
      <c r="ET92" s="55">
        <f t="shared" si="5"/>
        <v>1</v>
      </c>
    </row>
    <row r="93" spans="1:150" s="5" customFormat="1" ht="16" customHeight="1" x14ac:dyDescent="0.2">
      <c r="A93" s="5">
        <v>48</v>
      </c>
      <c r="B93" s="39" t="s">
        <v>251</v>
      </c>
      <c r="C93" s="39" t="s">
        <v>252</v>
      </c>
      <c r="D93" s="5">
        <v>76</v>
      </c>
      <c r="E93" s="5" t="s">
        <v>253</v>
      </c>
      <c r="F93" s="21" t="s">
        <v>254</v>
      </c>
      <c r="G93" s="21">
        <v>92</v>
      </c>
      <c r="H93" s="5">
        <f t="shared" si="3"/>
        <v>48076</v>
      </c>
      <c r="I93" t="s">
        <v>1123</v>
      </c>
      <c r="J93">
        <v>0</v>
      </c>
      <c r="K93">
        <v>191</v>
      </c>
      <c r="L93">
        <v>255</v>
      </c>
      <c r="M93" s="6">
        <v>255</v>
      </c>
      <c r="N93" s="6" t="str">
        <f t="shared" si="4"/>
        <v>92: (0, 191, 255, 255, Sea level rise (melting ice sheets/glaciers): 48076),</v>
      </c>
      <c r="O93" s="5" t="str">
        <f>VLOOKUP(Australia!B93,Impacts!$A$2:$B$80,2, FALSE)</f>
        <v>An increase in the mean level of the oceans.</v>
      </c>
      <c r="P93" s="5" t="str">
        <f>VLOOKUP(E93,Pressures!$A$2:$B$145,2,FALSE)</f>
        <v>Loss in the extent and volume of frozen water floating on or within sea water.</v>
      </c>
      <c r="AW93" s="5">
        <v>1</v>
      </c>
      <c r="AX93" s="5">
        <v>0</v>
      </c>
      <c r="AZ93" s="5">
        <v>1</v>
      </c>
      <c r="BA93" s="5">
        <v>2</v>
      </c>
      <c r="BB93" s="5">
        <v>3</v>
      </c>
      <c r="BH93" s="7">
        <v>215215</v>
      </c>
      <c r="DK93" s="8"/>
      <c r="DL93" s="8"/>
      <c r="DM93" s="8"/>
      <c r="DN93" s="8"/>
      <c r="DO93" s="50"/>
      <c r="DP93" s="50"/>
      <c r="DQ93" s="50"/>
      <c r="DR93" s="50"/>
      <c r="DS93" s="50"/>
      <c r="DT93" s="50"/>
      <c r="DU93" s="50">
        <v>1</v>
      </c>
      <c r="DV93" s="50"/>
      <c r="DW93" s="50"/>
      <c r="DX93" s="50"/>
      <c r="DY93" s="50"/>
      <c r="DZ93" s="50"/>
      <c r="EA93" s="50"/>
      <c r="EB93" s="50"/>
      <c r="EC93" s="50"/>
      <c r="ED93" s="50"/>
      <c r="EE93" s="50"/>
      <c r="EF93" s="50"/>
      <c r="EG93" s="50"/>
      <c r="EH93" s="50"/>
      <c r="EI93" s="50"/>
      <c r="EJ93" s="50"/>
      <c r="EK93" s="50"/>
      <c r="EL93" s="50"/>
      <c r="EM93" s="50"/>
      <c r="EN93" s="50"/>
      <c r="EO93" s="50"/>
      <c r="EP93" s="50"/>
      <c r="EQ93" s="50"/>
      <c r="ER93" s="50"/>
      <c r="ET93" s="55">
        <f t="shared" si="5"/>
        <v>1</v>
      </c>
    </row>
    <row r="94" spans="1:150" s="5" customFormat="1" ht="16" customHeight="1" x14ac:dyDescent="0.2">
      <c r="A94" s="5">
        <v>48</v>
      </c>
      <c r="B94" s="39" t="s">
        <v>251</v>
      </c>
      <c r="C94" s="39" t="s">
        <v>255</v>
      </c>
      <c r="D94" s="5">
        <v>124</v>
      </c>
      <c r="E94" s="5" t="s">
        <v>256</v>
      </c>
      <c r="F94" s="21" t="s">
        <v>257</v>
      </c>
      <c r="G94" s="21">
        <v>93</v>
      </c>
      <c r="H94" s="5">
        <f t="shared" si="3"/>
        <v>48124</v>
      </c>
      <c r="I94" t="s">
        <v>1052</v>
      </c>
      <c r="J94">
        <v>32</v>
      </c>
      <c r="K94">
        <v>178</v>
      </c>
      <c r="L94">
        <v>170</v>
      </c>
      <c r="M94" s="6">
        <v>255</v>
      </c>
      <c r="N94" s="6" t="str">
        <f t="shared" si="4"/>
        <v>93: (32, 178, 170, 255, Sea level rise (thermal expansion): 48124),</v>
      </c>
      <c r="O94" s="5" t="str">
        <f>VLOOKUP(Australia!B94,Impacts!$A$2:$B$80,2, FALSE)</f>
        <v>An increase in the mean level of the oceans.</v>
      </c>
      <c r="P94" s="5" t="str">
        <f>VLOOKUP(E94,Pressures!$A$2:$B$145,2,FALSE)</f>
        <v>Increase in linear dimensions of a solid or in volume of a fluid because of rise in temperature.</v>
      </c>
      <c r="AE94" s="32">
        <v>112228</v>
      </c>
      <c r="AF94" s="32">
        <v>123228</v>
      </c>
      <c r="AG94" s="32">
        <v>124228</v>
      </c>
      <c r="AH94" s="32">
        <v>215228</v>
      </c>
      <c r="AI94" s="32">
        <v>216228</v>
      </c>
      <c r="AJ94" s="32">
        <v>111220</v>
      </c>
      <c r="AK94" s="32">
        <v>112220</v>
      </c>
      <c r="AL94" s="32">
        <v>123220</v>
      </c>
      <c r="AM94" s="32">
        <v>124220</v>
      </c>
      <c r="AN94" s="32">
        <v>215220</v>
      </c>
      <c r="AO94" s="32">
        <v>216220</v>
      </c>
      <c r="AW94" s="5">
        <v>1</v>
      </c>
      <c r="AX94" s="5">
        <v>0</v>
      </c>
      <c r="AZ94" s="5">
        <v>1</v>
      </c>
      <c r="BA94" s="5">
        <v>2</v>
      </c>
      <c r="BB94" s="5">
        <v>3</v>
      </c>
      <c r="BH94" s="7">
        <v>215215</v>
      </c>
      <c r="DK94" s="8"/>
      <c r="DL94" s="8"/>
      <c r="DM94" s="8"/>
      <c r="DN94" s="8"/>
      <c r="DO94" s="50"/>
      <c r="DP94" s="50"/>
      <c r="DQ94" s="50"/>
      <c r="DR94" s="50"/>
      <c r="DS94" s="50">
        <v>1</v>
      </c>
      <c r="DT94" s="50"/>
      <c r="DU94" s="50"/>
      <c r="DV94" s="50"/>
      <c r="DW94" s="50"/>
      <c r="DX94" s="50">
        <v>1</v>
      </c>
      <c r="DY94" s="50"/>
      <c r="DZ94" s="50"/>
      <c r="EA94" s="50"/>
      <c r="EB94" s="50"/>
      <c r="EC94" s="50"/>
      <c r="ED94" s="50"/>
      <c r="EE94" s="50"/>
      <c r="EF94" s="50"/>
      <c r="EG94" s="50"/>
      <c r="EH94" s="50"/>
      <c r="EI94" s="50"/>
      <c r="EJ94" s="50"/>
      <c r="EK94" s="50"/>
      <c r="EL94" s="50"/>
      <c r="EM94" s="50"/>
      <c r="EN94" s="50"/>
      <c r="EO94" s="50"/>
      <c r="EP94" s="50"/>
      <c r="EQ94" s="50"/>
      <c r="ER94" s="50"/>
      <c r="ET94" s="55">
        <f t="shared" si="5"/>
        <v>2</v>
      </c>
    </row>
    <row r="95" spans="1:150" s="5" customFormat="1" ht="16" customHeight="1" x14ac:dyDescent="0.2">
      <c r="A95" s="5">
        <v>49</v>
      </c>
      <c r="B95" s="8" t="s">
        <v>73</v>
      </c>
      <c r="C95" s="8" t="s">
        <v>258</v>
      </c>
      <c r="D95" s="5">
        <v>29</v>
      </c>
      <c r="E95" s="5" t="s">
        <v>259</v>
      </c>
      <c r="F95" s="21" t="s">
        <v>260</v>
      </c>
      <c r="G95" s="21">
        <v>94</v>
      </c>
      <c r="H95" s="5">
        <f t="shared" si="3"/>
        <v>49029</v>
      </c>
      <c r="I95" t="s">
        <v>1037</v>
      </c>
      <c r="J95">
        <v>233</v>
      </c>
      <c r="K95">
        <v>150</v>
      </c>
      <c r="L95">
        <v>122</v>
      </c>
      <c r="M95" s="6">
        <v>255</v>
      </c>
      <c r="N95" s="6" t="str">
        <f t="shared" si="4"/>
        <v>94: (233, 150, 122, 255, Sedimentation (dredging): 49029),</v>
      </c>
      <c r="O95" s="5" t="str">
        <f>VLOOKUP(Australia!B95,Impacts!$A$2:$B$80,2, FALSE)</f>
        <v>Deposition of sediment from  flowing or standing water</v>
      </c>
      <c r="P95" s="5" t="str">
        <f>VLOOKUP(E95,Pressures!$A$2:$B$145,2,FALSE)</f>
        <v>Removing silt and other material from the bottom of bodies of water</v>
      </c>
      <c r="AC95" s="32">
        <v>228228</v>
      </c>
      <c r="AD95" s="32">
        <v>220220</v>
      </c>
      <c r="AW95" s="5">
        <v>1</v>
      </c>
      <c r="AX95" s="5">
        <v>0</v>
      </c>
      <c r="AZ95" s="5">
        <v>1</v>
      </c>
      <c r="BA95" s="5">
        <v>2</v>
      </c>
      <c r="BB95" s="5">
        <v>3</v>
      </c>
      <c r="BH95" s="7">
        <v>215215</v>
      </c>
      <c r="DK95" s="8"/>
      <c r="DL95" s="8"/>
      <c r="DM95" s="8"/>
      <c r="DN95" s="8"/>
      <c r="DO95" s="50"/>
      <c r="DP95" s="50"/>
      <c r="DQ95" s="50"/>
      <c r="DR95" s="50">
        <v>1</v>
      </c>
      <c r="DS95" s="50"/>
      <c r="DT95" s="50"/>
      <c r="DU95" s="50"/>
      <c r="DV95" s="50">
        <v>1</v>
      </c>
      <c r="DW95" s="50"/>
      <c r="DX95" s="50"/>
      <c r="DY95" s="50"/>
      <c r="DZ95" s="50"/>
      <c r="EA95" s="50"/>
      <c r="EB95" s="50"/>
      <c r="EC95" s="50"/>
      <c r="ED95" s="50"/>
      <c r="EE95" s="50"/>
      <c r="EF95" s="50"/>
      <c r="EG95" s="50"/>
      <c r="EH95" s="50"/>
      <c r="EI95" s="50"/>
      <c r="EJ95" s="50"/>
      <c r="EK95" s="50">
        <v>1</v>
      </c>
      <c r="EL95" s="50"/>
      <c r="EM95" s="50"/>
      <c r="EN95" s="50"/>
      <c r="EO95" s="50"/>
      <c r="EP95" s="50"/>
      <c r="EQ95" s="50"/>
      <c r="ER95" s="50"/>
      <c r="ET95" s="55">
        <f t="shared" si="5"/>
        <v>3</v>
      </c>
    </row>
    <row r="96" spans="1:150" s="5" customFormat="1" ht="16" customHeight="1" x14ac:dyDescent="0.2">
      <c r="A96" s="5">
        <v>50</v>
      </c>
      <c r="B96" s="8" t="s">
        <v>1611</v>
      </c>
      <c r="C96" s="8" t="s">
        <v>160</v>
      </c>
      <c r="D96" s="5">
        <v>122</v>
      </c>
      <c r="E96" s="5" t="s">
        <v>161</v>
      </c>
      <c r="F96" s="21" t="s">
        <v>261</v>
      </c>
      <c r="G96" s="21">
        <v>95</v>
      </c>
      <c r="H96" s="5">
        <f t="shared" si="3"/>
        <v>50122</v>
      </c>
      <c r="I96" t="s">
        <v>1124</v>
      </c>
      <c r="J96">
        <v>240</v>
      </c>
      <c r="K96">
        <v>255</v>
      </c>
      <c r="L96">
        <v>240</v>
      </c>
      <c r="M96" s="6">
        <v>255</v>
      </c>
      <c r="N96" s="6" t="str">
        <f t="shared" si="4"/>
        <v>95: (240, 255, 240, 255, Sink hole (subsidence): 50122),</v>
      </c>
      <c r="O96" s="5" t="str">
        <f>VLOOKUP(Australia!B96,Impacts!$A$2:$B$80,2, FALSE)</f>
        <v>A closed natural depression in the ground surface.</v>
      </c>
      <c r="P96" s="5" t="str">
        <f>VLOOKUP(E96,Pressures!$A$2:$B$145,2,FALSE)</f>
        <v>The lowering of the Earth's surface, caused by factors such as compaction, a decrease in ground water or earthquakes.</v>
      </c>
      <c r="V96" s="29">
        <v>111111</v>
      </c>
      <c r="W96" s="29">
        <v>112112</v>
      </c>
      <c r="X96" s="29">
        <v>123123</v>
      </c>
      <c r="Y96" s="29">
        <v>124124</v>
      </c>
      <c r="Z96" s="32">
        <v>215215</v>
      </c>
      <c r="AA96" s="32">
        <v>216216</v>
      </c>
      <c r="AB96" s="32">
        <v>227227</v>
      </c>
      <c r="AC96" s="32">
        <v>228228</v>
      </c>
      <c r="AD96" s="32">
        <v>220220</v>
      </c>
      <c r="AW96" s="5">
        <v>1</v>
      </c>
      <c r="AX96" s="5">
        <v>0</v>
      </c>
      <c r="AZ96" s="5">
        <v>1</v>
      </c>
      <c r="BA96" s="5">
        <v>2</v>
      </c>
      <c r="BB96" s="5">
        <v>3</v>
      </c>
      <c r="BH96" s="7">
        <v>215215</v>
      </c>
      <c r="DK96" s="8"/>
      <c r="DL96" s="8"/>
      <c r="DM96" s="8"/>
      <c r="DN96" s="8"/>
      <c r="DO96" s="50"/>
      <c r="DP96" s="50"/>
      <c r="DQ96" s="50"/>
      <c r="DR96" s="50"/>
      <c r="DS96" s="50"/>
      <c r="DT96" s="50"/>
      <c r="DU96" s="50"/>
      <c r="DV96" s="50"/>
      <c r="DW96" s="50"/>
      <c r="DX96" s="50"/>
      <c r="DY96" s="50"/>
      <c r="DZ96" s="50"/>
      <c r="EA96" s="50"/>
      <c r="EB96" s="50"/>
      <c r="EC96" s="50"/>
      <c r="ED96" s="50"/>
      <c r="EE96" s="50"/>
      <c r="EF96" s="50">
        <v>1</v>
      </c>
      <c r="EG96" s="50"/>
      <c r="EH96" s="50"/>
      <c r="EI96" s="50"/>
      <c r="EJ96" s="50"/>
      <c r="EK96" s="50"/>
      <c r="EL96" s="50"/>
      <c r="EM96" s="50"/>
      <c r="EN96" s="50"/>
      <c r="EO96" s="50"/>
      <c r="EP96" s="50"/>
      <c r="EQ96" s="50"/>
      <c r="ER96" s="50"/>
      <c r="ET96" s="55">
        <f t="shared" si="5"/>
        <v>1</v>
      </c>
    </row>
    <row r="97" spans="1:150" s="5" customFormat="1" ht="16" customHeight="1" x14ac:dyDescent="0.2">
      <c r="A97" s="5">
        <v>51</v>
      </c>
      <c r="B97" s="39" t="s">
        <v>262</v>
      </c>
      <c r="C97" s="39" t="s">
        <v>222</v>
      </c>
      <c r="D97" s="5">
        <v>116</v>
      </c>
      <c r="E97" s="5" t="s">
        <v>223</v>
      </c>
      <c r="F97" s="21" t="s">
        <v>263</v>
      </c>
      <c r="G97" s="21">
        <v>96</v>
      </c>
      <c r="H97" s="5">
        <f t="shared" si="3"/>
        <v>51116</v>
      </c>
      <c r="I97" t="s">
        <v>1035</v>
      </c>
      <c r="J97">
        <v>240</v>
      </c>
      <c r="K97">
        <v>248</v>
      </c>
      <c r="L97">
        <v>255</v>
      </c>
      <c r="M97" s="6">
        <v>255</v>
      </c>
      <c r="N97" s="6" t="str">
        <f t="shared" si="4"/>
        <v>96: (240, 248, 255, 255, Snow accumulation (snowfall): 51116),</v>
      </c>
      <c r="O97" s="5" t="str">
        <f>VLOOKUP(Australia!B97,Impacts!$A$2:$B$80,2, FALSE)</f>
        <v>Gradual gathering of snow over an area already covered in snow.</v>
      </c>
      <c r="P97" s="5" t="str">
        <f>VLOOKUP(E97,Pressures!$A$2:$B$145,2,FALSE)</f>
        <v>Where water vapour turns into solid ice crystals and falls as snow.</v>
      </c>
      <c r="AE97" s="32">
        <v>112228</v>
      </c>
      <c r="AF97" s="32">
        <v>123228</v>
      </c>
      <c r="AG97" s="32">
        <v>124228</v>
      </c>
      <c r="AH97" s="32">
        <v>215228</v>
      </c>
      <c r="AI97" s="32">
        <v>216228</v>
      </c>
      <c r="AJ97" s="32">
        <v>111220</v>
      </c>
      <c r="AK97" s="32">
        <v>112220</v>
      </c>
      <c r="AL97" s="32">
        <v>123220</v>
      </c>
      <c r="AM97" s="32">
        <v>124220</v>
      </c>
      <c r="AN97" s="32">
        <v>215220</v>
      </c>
      <c r="AO97" s="32">
        <v>216220</v>
      </c>
      <c r="AW97" s="5">
        <v>1</v>
      </c>
      <c r="AX97" s="5">
        <v>0</v>
      </c>
      <c r="AZ97" s="5">
        <v>1</v>
      </c>
      <c r="BA97" s="5">
        <v>2</v>
      </c>
      <c r="BB97" s="5">
        <v>3</v>
      </c>
      <c r="BH97" s="7">
        <v>215215</v>
      </c>
      <c r="CZ97" s="47">
        <v>22</v>
      </c>
      <c r="DK97" s="8"/>
      <c r="DL97" s="8"/>
      <c r="DM97" s="8"/>
      <c r="DN97" s="8"/>
      <c r="DO97" s="50"/>
      <c r="DP97" s="50"/>
      <c r="DQ97" s="50"/>
      <c r="DR97" s="50"/>
      <c r="DS97" s="50"/>
      <c r="DT97" s="50"/>
      <c r="DU97" s="50">
        <v>1</v>
      </c>
      <c r="DV97" s="50"/>
      <c r="DW97" s="50"/>
      <c r="DX97" s="50"/>
      <c r="DY97" s="50"/>
      <c r="DZ97" s="50"/>
      <c r="EA97" s="50">
        <v>1</v>
      </c>
      <c r="EB97" s="50">
        <v>1</v>
      </c>
      <c r="EC97" s="50"/>
      <c r="ED97" s="50"/>
      <c r="EE97" s="50"/>
      <c r="EF97" s="50"/>
      <c r="EG97" s="50"/>
      <c r="EH97" s="50"/>
      <c r="EI97" s="50"/>
      <c r="EJ97" s="50"/>
      <c r="EK97" s="50"/>
      <c r="EL97" s="50"/>
      <c r="EM97" s="50"/>
      <c r="EN97" s="50"/>
      <c r="EO97" s="50"/>
      <c r="EP97" s="50"/>
      <c r="EQ97" s="50"/>
      <c r="ER97" s="50"/>
      <c r="ET97" s="55">
        <f t="shared" si="5"/>
        <v>3</v>
      </c>
    </row>
    <row r="98" spans="1:150" s="5" customFormat="1" ht="16" customHeight="1" x14ac:dyDescent="0.2">
      <c r="A98" s="5">
        <v>52</v>
      </c>
      <c r="B98" s="39" t="s">
        <v>264</v>
      </c>
      <c r="C98" s="39" t="s">
        <v>15</v>
      </c>
      <c r="D98" s="5">
        <v>64</v>
      </c>
      <c r="E98" s="5" t="s">
        <v>16</v>
      </c>
      <c r="F98" s="21" t="s">
        <v>265</v>
      </c>
      <c r="G98" s="21">
        <v>97</v>
      </c>
      <c r="H98" s="5">
        <f t="shared" si="3"/>
        <v>52064</v>
      </c>
      <c r="I98" t="s">
        <v>1040</v>
      </c>
      <c r="J98">
        <v>169</v>
      </c>
      <c r="K98">
        <v>169</v>
      </c>
      <c r="L98">
        <v>169</v>
      </c>
      <c r="M98" s="6">
        <v>255</v>
      </c>
      <c r="N98" s="6" t="str">
        <f t="shared" si="4"/>
        <v>97: (169, 169, 169, 255, Snow melt (increased temperature): 52064),</v>
      </c>
      <c r="O98" s="5" t="str">
        <f>VLOOKUP(Australia!B98,Impacts!$A$2:$B$80,2, FALSE)</f>
        <v>Loss of snow cover due to heat.</v>
      </c>
      <c r="P98" s="5" t="str">
        <f>VLOOKUP(E98,Pressures!$A$2:$B$145,2,FALSE)</f>
        <v>Increased amount of heat in a place.</v>
      </c>
      <c r="AE98" s="32">
        <v>228112</v>
      </c>
      <c r="AF98" s="32">
        <v>228123</v>
      </c>
      <c r="AG98" s="32">
        <v>228124</v>
      </c>
      <c r="AH98" s="32">
        <v>228215</v>
      </c>
      <c r="AI98" s="32">
        <v>228216</v>
      </c>
      <c r="AJ98" s="32">
        <v>220111</v>
      </c>
      <c r="AK98" s="32">
        <v>220112</v>
      </c>
      <c r="AL98" s="32">
        <v>220123</v>
      </c>
      <c r="AM98" s="32">
        <v>220124</v>
      </c>
      <c r="AN98" s="32">
        <v>220215</v>
      </c>
      <c r="AO98" s="32">
        <v>220216</v>
      </c>
      <c r="AW98" s="5">
        <v>1</v>
      </c>
      <c r="AX98" s="5">
        <v>0</v>
      </c>
      <c r="AZ98" s="5">
        <v>1</v>
      </c>
      <c r="BA98" s="5">
        <v>2</v>
      </c>
      <c r="BB98" s="5">
        <v>3</v>
      </c>
      <c r="BH98" s="7">
        <v>215215</v>
      </c>
      <c r="CZ98" s="47">
        <v>21</v>
      </c>
      <c r="DK98" s="8"/>
      <c r="DL98" s="8"/>
      <c r="DM98" s="8"/>
      <c r="DN98" s="8"/>
      <c r="DO98" s="50"/>
      <c r="DP98" s="50"/>
      <c r="DQ98" s="50"/>
      <c r="DR98" s="50"/>
      <c r="DS98" s="50"/>
      <c r="DT98" s="50"/>
      <c r="DU98" s="50"/>
      <c r="DV98" s="50"/>
      <c r="DW98" s="50"/>
      <c r="DX98" s="50"/>
      <c r="DY98" s="50">
        <v>1</v>
      </c>
      <c r="DZ98" s="50"/>
      <c r="EA98" s="50"/>
      <c r="EB98" s="50"/>
      <c r="EC98" s="50"/>
      <c r="ED98" s="50"/>
      <c r="EE98" s="50"/>
      <c r="EF98" s="50"/>
      <c r="EG98" s="50"/>
      <c r="EH98" s="50"/>
      <c r="EI98" s="50"/>
      <c r="EJ98" s="50"/>
      <c r="EK98" s="50"/>
      <c r="EL98" s="50"/>
      <c r="EM98" s="50"/>
      <c r="EN98" s="50"/>
      <c r="EO98" s="50"/>
      <c r="EP98" s="50"/>
      <c r="EQ98" s="50"/>
      <c r="ER98" s="50"/>
      <c r="ET98" s="55">
        <f t="shared" si="5"/>
        <v>1</v>
      </c>
    </row>
    <row r="99" spans="1:150" s="5" customFormat="1" ht="16" customHeight="1" x14ac:dyDescent="0.2">
      <c r="A99" s="5">
        <v>53</v>
      </c>
      <c r="B99" s="39" t="s">
        <v>266</v>
      </c>
      <c r="C99" s="39" t="s">
        <v>151</v>
      </c>
      <c r="D99" s="5">
        <v>32</v>
      </c>
      <c r="E99" s="5" t="s">
        <v>152</v>
      </c>
      <c r="F99" s="21" t="s">
        <v>267</v>
      </c>
      <c r="G99" s="21">
        <v>98</v>
      </c>
      <c r="H99" s="5">
        <f t="shared" si="3"/>
        <v>53032</v>
      </c>
      <c r="I99" t="s">
        <v>1048</v>
      </c>
      <c r="J99">
        <v>199</v>
      </c>
      <c r="K99">
        <v>21</v>
      </c>
      <c r="L99">
        <v>133</v>
      </c>
      <c r="M99" s="6">
        <v>255</v>
      </c>
      <c r="N99" s="6" t="str">
        <f t="shared" si="4"/>
        <v>98: (199, 21, 133, 255, Urban area loss (earthquake): 53032),</v>
      </c>
      <c r="O99" s="5" t="str">
        <f>VLOOKUP(Australia!B99,Impacts!$A$2:$B$80,2, FALSE)</f>
        <v xml:space="preserve">Removal of all settlements above a certain minimum population size and density. </v>
      </c>
      <c r="P99" s="5" t="str">
        <f>VLOOKUP(E99,Pressures!$A$2:$B$145,2,FALSE)</f>
        <v>The vibrations of the Earth caused by the passage of seismic waves radiating from some source of elastic energy.</v>
      </c>
      <c r="AE99" s="32">
        <v>215216</v>
      </c>
      <c r="AW99" s="5">
        <v>0</v>
      </c>
      <c r="AX99" s="5">
        <v>0</v>
      </c>
      <c r="AZ99" s="5">
        <v>1</v>
      </c>
      <c r="BA99" s="5">
        <v>2</v>
      </c>
      <c r="BB99" s="5">
        <v>3</v>
      </c>
      <c r="BD99" s="7">
        <v>111111</v>
      </c>
      <c r="BE99" s="7">
        <v>112112</v>
      </c>
      <c r="BF99" s="7">
        <v>123123</v>
      </c>
      <c r="BG99" s="7">
        <v>124124</v>
      </c>
      <c r="BV99" s="5">
        <v>22</v>
      </c>
      <c r="BY99" s="5" t="s">
        <v>714</v>
      </c>
      <c r="DK99" s="8"/>
      <c r="DL99" s="8"/>
      <c r="DM99" s="8"/>
      <c r="DN99" s="8"/>
      <c r="DO99" s="50"/>
      <c r="DP99" s="50"/>
      <c r="DQ99" s="50"/>
      <c r="DR99" s="50"/>
      <c r="DS99" s="50"/>
      <c r="DT99" s="50"/>
      <c r="DU99" s="50"/>
      <c r="DV99" s="50"/>
      <c r="DW99" s="50"/>
      <c r="DX99" s="50"/>
      <c r="DY99" s="50"/>
      <c r="DZ99" s="50"/>
      <c r="EA99" s="50"/>
      <c r="EB99" s="50"/>
      <c r="EC99" s="50"/>
      <c r="ED99" s="50"/>
      <c r="EE99" s="50"/>
      <c r="EF99" s="50">
        <v>1</v>
      </c>
      <c r="EG99" s="50"/>
      <c r="EH99" s="50"/>
      <c r="EI99" s="50"/>
      <c r="EJ99" s="50"/>
      <c r="EK99" s="50"/>
      <c r="EL99" s="50"/>
      <c r="EM99" s="50"/>
      <c r="EN99" s="50"/>
      <c r="EO99" s="50"/>
      <c r="EP99" s="50"/>
      <c r="EQ99" s="50"/>
      <c r="ER99" s="50"/>
      <c r="ET99" s="55">
        <f t="shared" si="5"/>
        <v>1</v>
      </c>
    </row>
    <row r="100" spans="1:150" s="5" customFormat="1" ht="16" customHeight="1" x14ac:dyDescent="0.2">
      <c r="A100" s="5">
        <v>53</v>
      </c>
      <c r="B100" s="39" t="s">
        <v>266</v>
      </c>
      <c r="C100" s="39" t="s">
        <v>42</v>
      </c>
      <c r="D100" s="5">
        <v>44</v>
      </c>
      <c r="E100" s="5" t="s">
        <v>43</v>
      </c>
      <c r="F100" s="21" t="s">
        <v>268</v>
      </c>
      <c r="G100" s="21">
        <v>99</v>
      </c>
      <c r="H100" s="5">
        <f t="shared" si="3"/>
        <v>53044</v>
      </c>
      <c r="I100" t="s">
        <v>1125</v>
      </c>
      <c r="J100">
        <v>90</v>
      </c>
      <c r="K100">
        <v>79</v>
      </c>
      <c r="L100">
        <v>207</v>
      </c>
      <c r="M100" s="6">
        <v>255</v>
      </c>
      <c r="N100" s="6" t="str">
        <f t="shared" si="4"/>
        <v>99: (90, 79, 207, 255, Urban area loss (flooding): 53044),</v>
      </c>
      <c r="O100" s="5" t="str">
        <f>VLOOKUP(Australia!B100,Impacts!$A$2:$B$80,2, FALSE)</f>
        <v xml:space="preserve">Removal of all settlements above a certain minimum population size and density. </v>
      </c>
      <c r="P100" s="5" t="str">
        <f>VLOOKUP(E100,Pressures!$A$2:$B$145,2,FALSE)</f>
        <v>The inundation of water over land that is generally dry.</v>
      </c>
      <c r="AE100" s="32">
        <v>215228</v>
      </c>
      <c r="AF100" s="32">
        <v>215220</v>
      </c>
      <c r="AW100" s="5">
        <v>0</v>
      </c>
      <c r="AX100" s="5">
        <v>0</v>
      </c>
      <c r="AZ100" s="5">
        <v>1</v>
      </c>
      <c r="BA100" s="5">
        <v>2</v>
      </c>
      <c r="BB100" s="5">
        <v>3</v>
      </c>
      <c r="BD100" s="7">
        <v>111111</v>
      </c>
      <c r="BE100" s="7">
        <v>112112</v>
      </c>
      <c r="BF100" s="7">
        <v>123123</v>
      </c>
      <c r="BG100" s="7">
        <v>124124</v>
      </c>
      <c r="BV100" s="5">
        <v>22</v>
      </c>
      <c r="BY100" s="5" t="s">
        <v>717</v>
      </c>
      <c r="DK100" s="8"/>
      <c r="DL100" s="8"/>
      <c r="DM100" s="8"/>
      <c r="DN100" s="8"/>
      <c r="DO100" s="50"/>
      <c r="DP100" s="50"/>
      <c r="DQ100" s="50"/>
      <c r="DR100" s="50"/>
      <c r="DS100" s="50">
        <v>1</v>
      </c>
      <c r="DT100" s="50"/>
      <c r="DU100" s="50"/>
      <c r="DV100" s="50"/>
      <c r="DW100" s="50"/>
      <c r="DX100" s="50"/>
      <c r="DY100" s="50"/>
      <c r="DZ100" s="50"/>
      <c r="EA100" s="50"/>
      <c r="EB100" s="50"/>
      <c r="EC100" s="50"/>
      <c r="ED100" s="50"/>
      <c r="EE100" s="50"/>
      <c r="EF100" s="50"/>
      <c r="EG100" s="50"/>
      <c r="EH100" s="50"/>
      <c r="EI100" s="50"/>
      <c r="EJ100" s="50"/>
      <c r="EK100" s="50"/>
      <c r="EL100" s="50"/>
      <c r="EM100" s="50"/>
      <c r="EN100" s="50"/>
      <c r="EO100" s="50"/>
      <c r="EP100" s="50"/>
      <c r="EQ100" s="50"/>
      <c r="ER100" s="50"/>
      <c r="ET100" s="55">
        <f t="shared" si="5"/>
        <v>1</v>
      </c>
    </row>
    <row r="101" spans="1:150" s="5" customFormat="1" ht="16" customHeight="1" x14ac:dyDescent="0.2">
      <c r="A101" s="5">
        <v>53</v>
      </c>
      <c r="B101" s="39" t="s">
        <v>266</v>
      </c>
      <c r="C101" s="39" t="s">
        <v>269</v>
      </c>
      <c r="D101" s="5">
        <v>128</v>
      </c>
      <c r="E101" s="5" t="s">
        <v>270</v>
      </c>
      <c r="F101" s="21" t="s">
        <v>271</v>
      </c>
      <c r="G101" s="21">
        <v>100</v>
      </c>
      <c r="H101" s="5">
        <f t="shared" si="3"/>
        <v>53128</v>
      </c>
      <c r="I101" t="s">
        <v>1126</v>
      </c>
      <c r="J101">
        <v>70</v>
      </c>
      <c r="K101">
        <v>130</v>
      </c>
      <c r="L101">
        <v>180</v>
      </c>
      <c r="M101" s="6">
        <v>255</v>
      </c>
      <c r="N101" s="6" t="str">
        <f t="shared" si="4"/>
        <v>100: (70, 130, 180, 255, Urban area loss (tropical cyclone): 53128),</v>
      </c>
      <c r="O101" s="5" t="str">
        <f>VLOOKUP(Australia!B101,Impacts!$A$2:$B$80,2, FALSE)</f>
        <v xml:space="preserve">Removal of all settlements above a certain minimum population size and density. </v>
      </c>
      <c r="P101" s="5" t="str">
        <f>VLOOKUP(E101,Pressures!$A$2:$B$145,2,FALSE)</f>
        <v>A non-frontal low pressure system of synoptic scale developing over warm waters.</v>
      </c>
      <c r="AE101" s="32">
        <v>215216</v>
      </c>
      <c r="AF101" s="32">
        <v>215220</v>
      </c>
      <c r="AW101" s="5">
        <v>0</v>
      </c>
      <c r="AX101" s="5">
        <v>0</v>
      </c>
      <c r="AZ101" s="5">
        <v>1</v>
      </c>
      <c r="BA101" s="5">
        <v>2</v>
      </c>
      <c r="BB101" s="5">
        <v>3</v>
      </c>
      <c r="BD101" s="7">
        <v>111111</v>
      </c>
      <c r="BE101" s="7">
        <v>112112</v>
      </c>
      <c r="BF101" s="7">
        <v>123123</v>
      </c>
      <c r="BG101" s="7">
        <v>124124</v>
      </c>
      <c r="BV101" s="5">
        <v>22</v>
      </c>
      <c r="BX101" s="5" t="s">
        <v>714</v>
      </c>
      <c r="BY101" s="5" t="s">
        <v>717</v>
      </c>
      <c r="DK101" s="8"/>
      <c r="DL101" s="8"/>
      <c r="DM101" s="8"/>
      <c r="DN101" s="8"/>
      <c r="DO101" s="50"/>
      <c r="DP101" s="50"/>
      <c r="DQ101" s="50"/>
      <c r="DR101" s="50"/>
      <c r="DS101" s="50"/>
      <c r="DT101" s="50"/>
      <c r="DU101" s="50"/>
      <c r="DV101" s="50"/>
      <c r="DW101" s="50"/>
      <c r="DX101" s="50"/>
      <c r="DY101" s="50"/>
      <c r="DZ101" s="50"/>
      <c r="EA101" s="50">
        <v>1</v>
      </c>
      <c r="EB101" s="50"/>
      <c r="EC101" s="50">
        <v>1</v>
      </c>
      <c r="ED101" s="50"/>
      <c r="EE101" s="50"/>
      <c r="EF101" s="50"/>
      <c r="EG101" s="50"/>
      <c r="EH101" s="50"/>
      <c r="EI101" s="50"/>
      <c r="EJ101" s="50"/>
      <c r="EK101" s="50"/>
      <c r="EL101" s="50"/>
      <c r="EM101" s="50"/>
      <c r="EN101" s="50"/>
      <c r="EO101" s="50"/>
      <c r="EP101" s="50"/>
      <c r="EQ101" s="50"/>
      <c r="ER101" s="50"/>
      <c r="ET101" s="55">
        <f t="shared" si="5"/>
        <v>2</v>
      </c>
    </row>
    <row r="102" spans="1:150" s="5" customFormat="1" ht="16" customHeight="1" x14ac:dyDescent="0.2">
      <c r="A102" s="5">
        <v>54</v>
      </c>
      <c r="B102" s="8" t="s">
        <v>272</v>
      </c>
      <c r="C102" s="8" t="s">
        <v>42</v>
      </c>
      <c r="D102" s="5">
        <v>44</v>
      </c>
      <c r="E102" s="5" t="s">
        <v>43</v>
      </c>
      <c r="F102" s="21" t="s">
        <v>273</v>
      </c>
      <c r="G102" s="21">
        <v>101</v>
      </c>
      <c r="H102" s="5">
        <f t="shared" si="3"/>
        <v>54044</v>
      </c>
      <c r="I102" t="s">
        <v>1127</v>
      </c>
      <c r="J102">
        <v>159</v>
      </c>
      <c r="K102">
        <v>0</v>
      </c>
      <c r="L102">
        <v>255</v>
      </c>
      <c r="M102" s="6">
        <v>255</v>
      </c>
      <c r="N102" s="6" t="str">
        <f t="shared" si="4"/>
        <v>101: (159, 0, 255, 255, Urban damage (flooding): 54044),</v>
      </c>
      <c r="O102" s="5" t="str">
        <f>VLOOKUP(Australia!B102,Impacts!$A$2:$B$80,2, FALSE)</f>
        <v>Damage to urban buildings and infrastructure.</v>
      </c>
      <c r="P102" s="5" t="str">
        <f>VLOOKUP(E102,Pressures!$A$2:$B$145,2,FALSE)</f>
        <v>The inundation of water over land that is generally dry.</v>
      </c>
      <c r="Z102" s="32">
        <v>215215</v>
      </c>
      <c r="AW102" s="5">
        <v>1</v>
      </c>
      <c r="AX102" s="5">
        <v>0</v>
      </c>
      <c r="AZ102" s="5">
        <v>1</v>
      </c>
      <c r="BA102" s="5">
        <v>2</v>
      </c>
      <c r="BB102" s="5">
        <v>3</v>
      </c>
      <c r="BH102" s="7">
        <v>215215</v>
      </c>
      <c r="DK102" s="8"/>
      <c r="DL102" s="8"/>
      <c r="DM102" s="8"/>
      <c r="DN102" s="8"/>
      <c r="DO102" s="50"/>
      <c r="DP102" s="50"/>
      <c r="DQ102" s="50"/>
      <c r="DR102" s="50"/>
      <c r="DS102" s="50">
        <v>1</v>
      </c>
      <c r="DT102" s="50"/>
      <c r="DU102" s="50"/>
      <c r="DV102" s="50"/>
      <c r="DW102" s="50"/>
      <c r="DX102" s="50"/>
      <c r="DY102" s="50"/>
      <c r="DZ102" s="50"/>
      <c r="EA102" s="50"/>
      <c r="EB102" s="50"/>
      <c r="EC102" s="50"/>
      <c r="ED102" s="50"/>
      <c r="EE102" s="50"/>
      <c r="EF102" s="50"/>
      <c r="EG102" s="50"/>
      <c r="EH102" s="50"/>
      <c r="EI102" s="50"/>
      <c r="EJ102" s="50"/>
      <c r="EK102" s="50"/>
      <c r="EL102" s="50"/>
      <c r="EM102" s="50"/>
      <c r="EN102" s="50"/>
      <c r="EO102" s="50"/>
      <c r="EP102" s="50"/>
      <c r="EQ102" s="50"/>
      <c r="ER102" s="50"/>
      <c r="ET102" s="55">
        <f t="shared" si="5"/>
        <v>1</v>
      </c>
    </row>
    <row r="103" spans="1:150" s="5" customFormat="1" ht="16" customHeight="1" x14ac:dyDescent="0.2">
      <c r="A103" s="5">
        <v>54</v>
      </c>
      <c r="B103" s="8" t="s">
        <v>272</v>
      </c>
      <c r="C103" s="8" t="s">
        <v>45</v>
      </c>
      <c r="D103" s="5">
        <v>66</v>
      </c>
      <c r="E103" s="5" t="s">
        <v>46</v>
      </c>
      <c r="F103" s="21" t="s">
        <v>274</v>
      </c>
      <c r="G103" s="21">
        <v>102</v>
      </c>
      <c r="H103" s="5">
        <f t="shared" si="3"/>
        <v>54066</v>
      </c>
      <c r="I103" t="s">
        <v>1128</v>
      </c>
      <c r="J103">
        <v>200</v>
      </c>
      <c r="K103">
        <v>80</v>
      </c>
      <c r="L103">
        <v>155</v>
      </c>
      <c r="M103" s="6">
        <v>255</v>
      </c>
      <c r="N103" s="6" t="str">
        <f t="shared" si="4"/>
        <v>102: (200, 80, 155, 255, Urban damage (increased wind): 54066),</v>
      </c>
      <c r="O103" s="5" t="str">
        <f>VLOOKUP(Australia!B103,Impacts!$A$2:$B$80,2, FALSE)</f>
        <v>Damage to urban buildings and infrastructure.</v>
      </c>
      <c r="P103" s="5" t="str">
        <f>VLOOKUP(E103,Pressures!$A$2:$B$145,2,FALSE)</f>
        <v>A higher velocity of air movement into an area associated with, for example, cyclones, hurricans, typhoons, tornados, thunderstorms, storms or ice storms.</v>
      </c>
      <c r="Z103" s="32">
        <v>215215</v>
      </c>
      <c r="AW103" s="5">
        <v>1</v>
      </c>
      <c r="AX103" s="5">
        <v>0</v>
      </c>
      <c r="AZ103" s="5">
        <v>1</v>
      </c>
      <c r="BA103" s="5">
        <v>2</v>
      </c>
      <c r="BB103" s="5">
        <v>3</v>
      </c>
      <c r="BD103" s="7">
        <v>111215</v>
      </c>
      <c r="BE103" s="7">
        <v>112215</v>
      </c>
      <c r="BF103" s="7">
        <v>123215</v>
      </c>
      <c r="BG103" s="7">
        <v>124215</v>
      </c>
      <c r="BI103" s="7">
        <v>216215</v>
      </c>
      <c r="BL103" s="7">
        <v>220215</v>
      </c>
      <c r="DK103" s="8"/>
      <c r="DL103" s="8"/>
      <c r="DM103" s="8"/>
      <c r="DN103" s="8"/>
      <c r="DO103" s="50"/>
      <c r="DP103" s="50"/>
      <c r="DQ103" s="50"/>
      <c r="DR103" s="50"/>
      <c r="DS103" s="50"/>
      <c r="DT103" s="50"/>
      <c r="DU103" s="50"/>
      <c r="DV103" s="50"/>
      <c r="DW103" s="50"/>
      <c r="DX103" s="50"/>
      <c r="DY103" s="50"/>
      <c r="DZ103" s="50"/>
      <c r="EA103" s="50"/>
      <c r="EB103" s="50"/>
      <c r="EC103" s="50">
        <v>1</v>
      </c>
      <c r="ED103" s="50"/>
      <c r="EE103" s="50"/>
      <c r="EF103" s="50"/>
      <c r="EG103" s="50"/>
      <c r="EH103" s="50"/>
      <c r="EI103" s="50"/>
      <c r="EJ103" s="50"/>
      <c r="EK103" s="50"/>
      <c r="EL103" s="50"/>
      <c r="EM103" s="50"/>
      <c r="EN103" s="50"/>
      <c r="EO103" s="50"/>
      <c r="EP103" s="50"/>
      <c r="EQ103" s="50"/>
      <c r="ER103" s="50"/>
      <c r="ET103" s="55">
        <f t="shared" si="5"/>
        <v>1</v>
      </c>
    </row>
    <row r="104" spans="1:150" s="5" customFormat="1" ht="16" customHeight="1" x14ac:dyDescent="0.2">
      <c r="A104" s="5">
        <v>54</v>
      </c>
      <c r="B104" s="8" t="s">
        <v>272</v>
      </c>
      <c r="C104" s="8" t="s">
        <v>48</v>
      </c>
      <c r="D104" s="5">
        <v>131</v>
      </c>
      <c r="E104" s="5" t="s">
        <v>49</v>
      </c>
      <c r="F104" s="21" t="s">
        <v>275</v>
      </c>
      <c r="G104" s="21">
        <v>103</v>
      </c>
      <c r="H104" s="5">
        <f t="shared" si="3"/>
        <v>54131</v>
      </c>
      <c r="I104" t="s">
        <v>1051</v>
      </c>
      <c r="J104">
        <v>90</v>
      </c>
      <c r="K104">
        <v>79</v>
      </c>
      <c r="L104">
        <v>207</v>
      </c>
      <c r="M104" s="6">
        <v>255</v>
      </c>
      <c r="N104" s="6" t="str">
        <f t="shared" si="4"/>
        <v>103: (90, 79, 207, 255, Urban damage (urban fire): 54131),</v>
      </c>
      <c r="O104" s="5" t="str">
        <f>VLOOKUP(Australia!B104,Impacts!$A$2:$B$80,2, FALSE)</f>
        <v>Damage to urban buildings and infrastructure.</v>
      </c>
      <c r="P104" s="5" t="str">
        <f>VLOOKUP(E104,Pressures!$A$2:$B$145,2,FALSE)</f>
        <v xml:space="preserve">Urban fire occurs primarily in cities or towns with the potential to rapidly spread to adjoining structures. </v>
      </c>
      <c r="Z104" s="32">
        <v>215215</v>
      </c>
      <c r="AW104" s="5">
        <v>1</v>
      </c>
      <c r="AX104" s="5">
        <v>0</v>
      </c>
      <c r="AZ104" s="5">
        <v>1</v>
      </c>
      <c r="BA104" s="5">
        <v>2</v>
      </c>
      <c r="BB104" s="5">
        <v>3</v>
      </c>
      <c r="BH104" s="7">
        <v>215215</v>
      </c>
      <c r="DK104" s="8"/>
      <c r="DL104" s="8"/>
      <c r="DM104" s="8"/>
      <c r="DN104" s="8"/>
      <c r="DO104" s="50">
        <v>1</v>
      </c>
      <c r="DP104" s="50"/>
      <c r="DQ104" s="50">
        <v>1</v>
      </c>
      <c r="DR104" s="50"/>
      <c r="DS104" s="50"/>
      <c r="DT104" s="50"/>
      <c r="DU104" s="50"/>
      <c r="DV104" s="50"/>
      <c r="DW104" s="50"/>
      <c r="DX104" s="50"/>
      <c r="DY104" s="50"/>
      <c r="DZ104" s="50"/>
      <c r="EA104" s="50"/>
      <c r="EB104" s="50"/>
      <c r="EC104" s="50"/>
      <c r="ED104" s="50"/>
      <c r="EE104" s="50"/>
      <c r="EF104" s="50"/>
      <c r="EG104" s="50"/>
      <c r="EH104" s="50"/>
      <c r="EI104" s="50"/>
      <c r="EJ104" s="50"/>
      <c r="EK104" s="50"/>
      <c r="EL104" s="50"/>
      <c r="EM104" s="50"/>
      <c r="EN104" s="50"/>
      <c r="EO104" s="50"/>
      <c r="EP104" s="50"/>
      <c r="EQ104" s="50"/>
      <c r="ER104" s="50"/>
      <c r="ET104" s="55">
        <f t="shared" si="5"/>
        <v>2</v>
      </c>
    </row>
    <row r="105" spans="1:150" s="5" customFormat="1" ht="16" customHeight="1" x14ac:dyDescent="0.2">
      <c r="A105" s="5">
        <v>55</v>
      </c>
      <c r="B105" s="8" t="s">
        <v>276</v>
      </c>
      <c r="C105" s="8" t="s">
        <v>277</v>
      </c>
      <c r="D105" s="5">
        <v>20</v>
      </c>
      <c r="E105" s="5" t="s">
        <v>278</v>
      </c>
      <c r="F105" s="21" t="s">
        <v>279</v>
      </c>
      <c r="G105" s="21">
        <v>104</v>
      </c>
      <c r="H105" s="5">
        <f t="shared" si="3"/>
        <v>55020</v>
      </c>
      <c r="I105" t="s">
        <v>1129</v>
      </c>
      <c r="J105">
        <v>156</v>
      </c>
      <c r="K105">
        <v>81</v>
      </c>
      <c r="L105">
        <v>182</v>
      </c>
      <c r="M105" s="6">
        <v>255</v>
      </c>
      <c r="N105" s="6" t="str">
        <f t="shared" si="4"/>
        <v>104: (156, 81, 182, 255, Urban decay (dam failure): 55020),</v>
      </c>
      <c r="O105" s="5" t="str">
        <f>VLOOKUP(Australia!B105,Impacts!$A$2:$B$80,2, FALSE)</f>
        <v>The process of deterioration in the integrity of buildings and infrastructure.</v>
      </c>
      <c r="P105" s="5" t="str">
        <f>VLOOKUP(E105,Pressures!$A$2:$B$145,2,FALSE)</f>
        <v>The uncontrolled release of a water storage. The failure may consist of the collapse of the dam or some part of it, or excessive seepage or discharges.</v>
      </c>
      <c r="Z105" s="32">
        <v>215215</v>
      </c>
      <c r="AW105" s="5">
        <v>1</v>
      </c>
      <c r="AX105" s="5">
        <v>0</v>
      </c>
      <c r="AZ105" s="5">
        <v>1</v>
      </c>
      <c r="BA105" s="5">
        <v>2</v>
      </c>
      <c r="BB105" s="5">
        <v>3</v>
      </c>
      <c r="BD105" s="7">
        <v>111215</v>
      </c>
      <c r="BE105" s="7">
        <v>112215</v>
      </c>
      <c r="BF105" s="7">
        <v>123215</v>
      </c>
      <c r="BG105" s="7">
        <v>124215</v>
      </c>
      <c r="BI105" s="7">
        <v>216215</v>
      </c>
      <c r="BL105" s="7">
        <v>220215</v>
      </c>
      <c r="DK105" s="8"/>
      <c r="DL105" s="8"/>
      <c r="DM105" s="8"/>
      <c r="DN105" s="8"/>
      <c r="DO105" s="50"/>
      <c r="DP105" s="50"/>
      <c r="DQ105" s="50"/>
      <c r="DR105" s="50"/>
      <c r="DS105" s="50">
        <v>1</v>
      </c>
      <c r="DT105" s="50"/>
      <c r="DU105" s="50"/>
      <c r="DV105" s="50"/>
      <c r="DW105" s="50"/>
      <c r="DX105" s="50"/>
      <c r="DY105" s="50"/>
      <c r="DZ105" s="50"/>
      <c r="EA105" s="50"/>
      <c r="EB105" s="50"/>
      <c r="EC105" s="50"/>
      <c r="ED105" s="50"/>
      <c r="EE105" s="50"/>
      <c r="EF105" s="50"/>
      <c r="EG105" s="50"/>
      <c r="EH105" s="50"/>
      <c r="EI105" s="50"/>
      <c r="EJ105" s="50"/>
      <c r="EK105" s="50"/>
      <c r="EL105" s="50"/>
      <c r="EM105" s="50"/>
      <c r="EN105" s="50"/>
      <c r="EO105" s="50"/>
      <c r="EP105" s="50"/>
      <c r="EQ105" s="50"/>
      <c r="ER105" s="50"/>
      <c r="ET105" s="55">
        <f t="shared" si="5"/>
        <v>1</v>
      </c>
    </row>
    <row r="106" spans="1:150" s="5" customFormat="1" ht="16" customHeight="1" x14ac:dyDescent="0.2">
      <c r="A106" s="5">
        <v>55</v>
      </c>
      <c r="B106" s="8" t="s">
        <v>276</v>
      </c>
      <c r="C106" s="8" t="s">
        <v>280</v>
      </c>
      <c r="D106" s="5">
        <v>77</v>
      </c>
      <c r="E106" s="5" t="s">
        <v>206</v>
      </c>
      <c r="F106" s="21" t="s">
        <v>281</v>
      </c>
      <c r="G106" s="21">
        <v>105</v>
      </c>
      <c r="H106" s="5">
        <f t="shared" si="3"/>
        <v>55077</v>
      </c>
      <c r="I106" t="s">
        <v>1041</v>
      </c>
      <c r="J106">
        <v>147</v>
      </c>
      <c r="K106">
        <v>112</v>
      </c>
      <c r="L106">
        <v>219</v>
      </c>
      <c r="M106" s="6">
        <v>255</v>
      </c>
      <c r="N106" s="6" t="str">
        <f t="shared" si="4"/>
        <v>105: (147, 112, 219, 255, Urban decay (mine abandonment): 55077),</v>
      </c>
      <c r="O106" s="5" t="str">
        <f>VLOOKUP(Australia!B106,Impacts!$A$2:$B$80,2, FALSE)</f>
        <v>The process of deterioration in the integrity of buildings and infrastructure.</v>
      </c>
      <c r="P106" s="5" t="str">
        <f>VLOOKUP(E106,Pressures!$A$2:$B$145,2,FALSE)</f>
        <v>Land formally used for extractive industry but no longer in use and no new use observed.</v>
      </c>
      <c r="Z106" s="32">
        <v>215215</v>
      </c>
      <c r="AX106" s="7">
        <v>0</v>
      </c>
      <c r="BD106" s="7">
        <v>111111</v>
      </c>
      <c r="BE106" s="7">
        <v>112112</v>
      </c>
      <c r="BF106" s="7">
        <v>123123</v>
      </c>
      <c r="BG106" s="7">
        <v>124124</v>
      </c>
      <c r="BV106" s="7">
        <v>22</v>
      </c>
      <c r="BX106" s="7" t="s">
        <v>714</v>
      </c>
      <c r="BY106" s="7" t="s">
        <v>714</v>
      </c>
      <c r="DK106" s="8"/>
      <c r="DL106" s="8"/>
      <c r="DM106" s="8"/>
      <c r="DN106" s="8"/>
      <c r="DO106" s="50"/>
      <c r="DP106" s="50"/>
      <c r="DQ106" s="50"/>
      <c r="DR106" s="50"/>
      <c r="DS106" s="50"/>
      <c r="DT106" s="50"/>
      <c r="DU106" s="50"/>
      <c r="DV106" s="50"/>
      <c r="DW106" s="50"/>
      <c r="DX106" s="50"/>
      <c r="DY106" s="50"/>
      <c r="DZ106" s="50"/>
      <c r="EA106" s="50"/>
      <c r="EB106" s="50"/>
      <c r="EC106" s="50"/>
      <c r="ED106" s="50"/>
      <c r="EE106" s="50"/>
      <c r="EF106" s="50"/>
      <c r="EG106" s="50"/>
      <c r="EH106" s="50"/>
      <c r="EI106" s="50"/>
      <c r="EJ106" s="50"/>
      <c r="EK106" s="50">
        <v>1</v>
      </c>
      <c r="EL106" s="50"/>
      <c r="EM106" s="50"/>
      <c r="EN106" s="50"/>
      <c r="EO106" s="50"/>
      <c r="EP106" s="50"/>
      <c r="EQ106" s="50"/>
      <c r="ER106" s="50"/>
      <c r="ET106" s="55">
        <f t="shared" si="5"/>
        <v>1</v>
      </c>
    </row>
    <row r="107" spans="1:150" s="5" customFormat="1" ht="16" customHeight="1" x14ac:dyDescent="0.2">
      <c r="A107" s="5">
        <v>55</v>
      </c>
      <c r="B107" s="8" t="s">
        <v>276</v>
      </c>
      <c r="C107" s="8" t="s">
        <v>160</v>
      </c>
      <c r="D107" s="5">
        <v>122</v>
      </c>
      <c r="E107" s="5" t="s">
        <v>161</v>
      </c>
      <c r="F107" s="21" t="s">
        <v>282</v>
      </c>
      <c r="G107" s="21">
        <v>106</v>
      </c>
      <c r="H107" s="5">
        <f t="shared" si="3"/>
        <v>55122</v>
      </c>
      <c r="I107" t="s">
        <v>1130</v>
      </c>
      <c r="J107">
        <v>105</v>
      </c>
      <c r="K107">
        <v>53</v>
      </c>
      <c r="L107">
        <v>156</v>
      </c>
      <c r="M107" s="6">
        <v>255</v>
      </c>
      <c r="N107" s="6" t="str">
        <f t="shared" si="4"/>
        <v>106: (105, 53, 156, 255, Urban decay (subsidence): 55122),</v>
      </c>
      <c r="O107" s="5" t="str">
        <f>VLOOKUP(Australia!B107,Impacts!$A$2:$B$80,2, FALSE)</f>
        <v>The process of deterioration in the integrity of buildings and infrastructure.</v>
      </c>
      <c r="P107" s="5" t="str">
        <f>VLOOKUP(E107,Pressures!$A$2:$B$145,2,FALSE)</f>
        <v>The lowering of the Earth's surface, caused by factors such as compaction, a decrease in ground water or earthquakes.</v>
      </c>
      <c r="Z107" s="32">
        <v>215215</v>
      </c>
      <c r="AW107" s="7">
        <v>1</v>
      </c>
      <c r="AX107" s="7">
        <v>0</v>
      </c>
      <c r="AZ107" s="7">
        <v>1</v>
      </c>
      <c r="BA107" s="7">
        <v>2</v>
      </c>
      <c r="BB107" s="7">
        <v>3</v>
      </c>
      <c r="DK107" s="8"/>
      <c r="DL107" s="8"/>
      <c r="DM107" s="8"/>
      <c r="DN107" s="8"/>
      <c r="DO107" s="50"/>
      <c r="DP107" s="50"/>
      <c r="DQ107" s="50"/>
      <c r="DR107" s="50"/>
      <c r="DS107" s="50"/>
      <c r="DT107" s="50"/>
      <c r="DU107" s="50"/>
      <c r="DV107" s="50"/>
      <c r="DW107" s="50"/>
      <c r="DX107" s="50"/>
      <c r="DY107" s="50"/>
      <c r="DZ107" s="50"/>
      <c r="EA107" s="50"/>
      <c r="EB107" s="50"/>
      <c r="EC107" s="50"/>
      <c r="ED107" s="50"/>
      <c r="EE107" s="50"/>
      <c r="EF107" s="50"/>
      <c r="EG107" s="50">
        <v>1</v>
      </c>
      <c r="EH107" s="50"/>
      <c r="EI107" s="50"/>
      <c r="EJ107" s="50"/>
      <c r="EK107" s="50"/>
      <c r="EL107" s="50"/>
      <c r="EM107" s="50"/>
      <c r="EN107" s="50"/>
      <c r="EO107" s="50"/>
      <c r="EP107" s="50"/>
      <c r="EQ107" s="50"/>
      <c r="ER107" s="50"/>
      <c r="ET107" s="55">
        <f t="shared" si="5"/>
        <v>1</v>
      </c>
    </row>
    <row r="108" spans="1:150" s="5" customFormat="1" ht="16" customHeight="1" x14ac:dyDescent="0.2">
      <c r="A108" s="5">
        <v>56</v>
      </c>
      <c r="B108" s="8" t="s">
        <v>283</v>
      </c>
      <c r="C108" s="8" t="s">
        <v>166</v>
      </c>
      <c r="D108" s="5">
        <v>16</v>
      </c>
      <c r="E108" s="5" t="s">
        <v>167</v>
      </c>
      <c r="F108" s="21" t="s">
        <v>284</v>
      </c>
      <c r="G108" s="21">
        <v>107</v>
      </c>
      <c r="H108" s="5">
        <f t="shared" si="3"/>
        <v>56016</v>
      </c>
      <c r="I108" t="s">
        <v>1034</v>
      </c>
      <c r="J108">
        <v>229</v>
      </c>
      <c r="K108">
        <v>43</v>
      </c>
      <c r="L108">
        <v>80</v>
      </c>
      <c r="M108" s="6">
        <v>255</v>
      </c>
      <c r="N108" s="6" t="str">
        <f t="shared" si="4"/>
        <v>107: (229, 43, 80, 255, Urban densification (construction): 56016),</v>
      </c>
      <c r="O108" s="5" t="str">
        <f>VLOOKUP(Australia!B108,Impacts!$A$2:$B$80,2, FALSE)</f>
        <v>Increases in the number of buildings and associated infrastructure.</v>
      </c>
      <c r="P108" s="5" t="str">
        <f>VLOOKUP(E108,Pressures!$A$2:$B$145,2,FALSE)</f>
        <v>Creation of infrastructure such as railways, roads, mines, buildings, agricultural farms, aquaculture farms or dams.</v>
      </c>
      <c r="Z108" s="32">
        <v>215215</v>
      </c>
      <c r="AW108" s="7">
        <v>1</v>
      </c>
      <c r="AX108" s="7">
        <v>0</v>
      </c>
      <c r="AZ108" s="7">
        <v>1</v>
      </c>
      <c r="BA108" s="7">
        <v>2</v>
      </c>
      <c r="BB108" s="7">
        <v>3</v>
      </c>
      <c r="BD108" s="7">
        <v>111111</v>
      </c>
      <c r="BE108" s="7">
        <v>112112</v>
      </c>
      <c r="BF108" s="7">
        <v>123123</v>
      </c>
      <c r="BG108" s="7">
        <v>124124</v>
      </c>
      <c r="BV108" s="7">
        <v>22</v>
      </c>
      <c r="BX108" s="7" t="s">
        <v>714</v>
      </c>
      <c r="BY108" s="7" t="s">
        <v>717</v>
      </c>
      <c r="DK108" s="8"/>
      <c r="DL108" s="8"/>
      <c r="DM108" s="8"/>
      <c r="DN108" s="8"/>
      <c r="DO108" s="50"/>
      <c r="DP108" s="50"/>
      <c r="DQ108" s="50"/>
      <c r="DR108" s="50"/>
      <c r="DS108" s="50"/>
      <c r="DT108" s="50"/>
      <c r="DU108" s="50"/>
      <c r="DV108" s="50"/>
      <c r="DW108" s="50"/>
      <c r="DX108" s="50"/>
      <c r="DY108" s="50"/>
      <c r="DZ108" s="50"/>
      <c r="EA108" s="50"/>
      <c r="EB108" s="50"/>
      <c r="EC108" s="50"/>
      <c r="ED108" s="50"/>
      <c r="EE108" s="50"/>
      <c r="EF108" s="50"/>
      <c r="EG108" s="50"/>
      <c r="EH108" s="50"/>
      <c r="EI108" s="50"/>
      <c r="EJ108" s="50"/>
      <c r="EK108" s="50"/>
      <c r="EL108" s="50">
        <v>1</v>
      </c>
      <c r="EM108" s="50"/>
      <c r="EN108" s="50"/>
      <c r="EO108" s="50"/>
      <c r="EP108" s="50"/>
      <c r="EQ108" s="50"/>
      <c r="ER108" s="50"/>
      <c r="ET108" s="55">
        <f t="shared" si="5"/>
        <v>1</v>
      </c>
    </row>
    <row r="109" spans="1:150" s="5" customFormat="1" ht="16" customHeight="1" x14ac:dyDescent="0.2">
      <c r="A109" s="5">
        <v>57</v>
      </c>
      <c r="B109" s="39" t="s">
        <v>285</v>
      </c>
      <c r="C109" s="39" t="s">
        <v>286</v>
      </c>
      <c r="D109" s="5">
        <v>74</v>
      </c>
      <c r="E109" s="5" t="s">
        <v>287</v>
      </c>
      <c r="F109" s="21" t="s">
        <v>288</v>
      </c>
      <c r="G109" s="21">
        <v>108</v>
      </c>
      <c r="H109" s="5">
        <f t="shared" si="3"/>
        <v>57074</v>
      </c>
      <c r="I109" t="s">
        <v>1131</v>
      </c>
      <c r="J109">
        <v>254</v>
      </c>
      <c r="K109">
        <v>111</v>
      </c>
      <c r="L109">
        <v>94</v>
      </c>
      <c r="M109" s="6">
        <v>255</v>
      </c>
      <c r="N109" s="6" t="str">
        <f t="shared" si="4"/>
        <v>108: (254, 111, 94, 255, Urban development (levelling): 57074),</v>
      </c>
      <c r="O109" s="5" t="str">
        <f>VLOOKUP(Australia!B109,Impacts!$A$2:$B$80,2, FALSE)</f>
        <v>Economic, social and political changes that improve the wellbeing of people in an urban setting.</v>
      </c>
      <c r="P109" s="5" t="str">
        <f>VLOOKUP(E109,Pressures!$A$2:$B$145,2,FALSE)</f>
        <v>Flattening ground by infilling or cutting the surface. Used to create a straight base for a new development including some forms of agriculture.</v>
      </c>
      <c r="AE109" s="32">
        <v>215216</v>
      </c>
      <c r="AW109" s="5">
        <v>1</v>
      </c>
      <c r="AX109" s="5">
        <v>0</v>
      </c>
      <c r="AZ109" s="5">
        <v>1</v>
      </c>
      <c r="BA109" s="5">
        <v>2</v>
      </c>
      <c r="BB109" s="5">
        <v>3</v>
      </c>
      <c r="BD109" s="7">
        <v>111111</v>
      </c>
      <c r="BE109" s="7">
        <v>112112</v>
      </c>
      <c r="BF109" s="7">
        <v>123123</v>
      </c>
      <c r="BG109" s="7">
        <v>124124</v>
      </c>
      <c r="BV109" s="5">
        <v>22</v>
      </c>
      <c r="BX109" s="5" t="s">
        <v>714</v>
      </c>
      <c r="BY109" s="5" t="s">
        <v>717</v>
      </c>
      <c r="DK109" s="8"/>
      <c r="DL109" s="8"/>
      <c r="DM109" s="8"/>
      <c r="DN109" s="8"/>
      <c r="DO109" s="50"/>
      <c r="DP109" s="50"/>
      <c r="DQ109" s="50"/>
      <c r="DR109" s="50"/>
      <c r="DS109" s="50"/>
      <c r="DT109" s="50"/>
      <c r="DU109" s="50"/>
      <c r="DV109" s="50"/>
      <c r="DW109" s="50"/>
      <c r="DX109" s="50"/>
      <c r="DY109" s="50"/>
      <c r="DZ109" s="50"/>
      <c r="EA109" s="50"/>
      <c r="EB109" s="50"/>
      <c r="EC109" s="50"/>
      <c r="ED109" s="50"/>
      <c r="EE109" s="50"/>
      <c r="EF109" s="50"/>
      <c r="EG109" s="50">
        <v>1</v>
      </c>
      <c r="EH109" s="50"/>
      <c r="EI109" s="50"/>
      <c r="EJ109" s="50"/>
      <c r="EK109" s="50"/>
      <c r="EL109" s="50">
        <v>1</v>
      </c>
      <c r="EM109" s="50"/>
      <c r="EN109" s="50"/>
      <c r="EO109" s="50"/>
      <c r="EP109" s="50"/>
      <c r="EQ109" s="50"/>
      <c r="ER109" s="50"/>
      <c r="ET109" s="55">
        <f t="shared" si="5"/>
        <v>2</v>
      </c>
    </row>
    <row r="110" spans="1:150" s="5" customFormat="1" ht="16" customHeight="1" x14ac:dyDescent="0.2">
      <c r="A110" s="5">
        <v>58</v>
      </c>
      <c r="B110" s="39" t="s">
        <v>289</v>
      </c>
      <c r="C110" s="39" t="s">
        <v>166</v>
      </c>
      <c r="D110" s="5">
        <v>16</v>
      </c>
      <c r="E110" s="5" t="s">
        <v>167</v>
      </c>
      <c r="F110" s="21" t="s">
        <v>290</v>
      </c>
      <c r="G110" s="21">
        <v>109</v>
      </c>
      <c r="H110" s="5">
        <f t="shared" si="3"/>
        <v>58016</v>
      </c>
      <c r="I110" t="s">
        <v>1132</v>
      </c>
      <c r="J110">
        <v>227</v>
      </c>
      <c r="K110">
        <v>66</v>
      </c>
      <c r="L110">
        <v>52</v>
      </c>
      <c r="M110" s="6">
        <v>255</v>
      </c>
      <c r="N110" s="6" t="str">
        <f t="shared" si="4"/>
        <v>109: (227, 66, 52, 255, Urban growth (construction): 58016),</v>
      </c>
      <c r="O110" s="5" t="str">
        <f>VLOOKUP(Australia!B110,Impacts!$A$2:$B$80,2, FALSE)</f>
        <v>Increase urban area through the construction of buildings and associated infrastructure.</v>
      </c>
      <c r="P110" s="5" t="str">
        <f>VLOOKUP(E110,Pressures!$A$2:$B$145,2,FALSE)</f>
        <v>Creation of infrastructure such as railways, roads, mines, buildings, agricultural farms, aquaculture farms or dams.</v>
      </c>
      <c r="AE110" s="32">
        <v>111215</v>
      </c>
      <c r="AF110" s="32">
        <v>112215</v>
      </c>
      <c r="AG110" s="32">
        <v>123215</v>
      </c>
      <c r="AH110" s="32">
        <v>124215</v>
      </c>
      <c r="AI110" s="32">
        <v>216215</v>
      </c>
      <c r="AW110" s="5">
        <v>1</v>
      </c>
      <c r="AX110" s="5">
        <v>0</v>
      </c>
      <c r="AZ110" s="5">
        <v>1</v>
      </c>
      <c r="BA110" s="5">
        <v>2</v>
      </c>
      <c r="BB110" s="5">
        <v>3</v>
      </c>
      <c r="BD110" s="7">
        <v>111111</v>
      </c>
      <c r="BE110" s="7">
        <v>112112</v>
      </c>
      <c r="BF110" s="7">
        <v>123123</v>
      </c>
      <c r="BG110" s="7">
        <v>124124</v>
      </c>
      <c r="BL110" s="7" t="s">
        <v>721</v>
      </c>
      <c r="BV110" s="5">
        <v>22</v>
      </c>
      <c r="BX110" s="5" t="s">
        <v>714</v>
      </c>
      <c r="BY110" s="5" t="s">
        <v>714</v>
      </c>
      <c r="DK110" s="8"/>
      <c r="DL110" s="8"/>
      <c r="DM110" s="8"/>
      <c r="DN110" s="8"/>
      <c r="DO110" s="50"/>
      <c r="DP110" s="50"/>
      <c r="DQ110" s="50"/>
      <c r="DR110" s="50"/>
      <c r="DS110" s="50"/>
      <c r="DT110" s="50"/>
      <c r="DU110" s="50"/>
      <c r="DV110" s="50"/>
      <c r="DW110" s="50"/>
      <c r="DX110" s="50"/>
      <c r="DY110" s="50"/>
      <c r="DZ110" s="50"/>
      <c r="EA110" s="50"/>
      <c r="EB110" s="50"/>
      <c r="EC110" s="50"/>
      <c r="ED110" s="50"/>
      <c r="EE110" s="50"/>
      <c r="EF110" s="50"/>
      <c r="EG110" s="50"/>
      <c r="EH110" s="50"/>
      <c r="EI110" s="50"/>
      <c r="EJ110" s="50"/>
      <c r="EK110" s="50"/>
      <c r="EL110" s="50">
        <v>1</v>
      </c>
      <c r="EM110" s="50"/>
      <c r="EN110" s="50"/>
      <c r="EO110" s="50"/>
      <c r="EP110" s="50"/>
      <c r="EQ110" s="50"/>
      <c r="ER110" s="50"/>
      <c r="ET110" s="55">
        <f t="shared" si="5"/>
        <v>1</v>
      </c>
    </row>
    <row r="111" spans="1:150" s="5" customFormat="1" ht="16" customHeight="1" x14ac:dyDescent="0.2">
      <c r="A111" s="5">
        <v>59</v>
      </c>
      <c r="B111" s="8" t="s">
        <v>291</v>
      </c>
      <c r="C111" s="8" t="s">
        <v>292</v>
      </c>
      <c r="D111" s="5">
        <v>107</v>
      </c>
      <c r="E111" s="5" t="s">
        <v>293</v>
      </c>
      <c r="F111" s="21" t="s">
        <v>294</v>
      </c>
      <c r="G111" s="21">
        <v>110</v>
      </c>
      <c r="H111" s="5">
        <f t="shared" si="3"/>
        <v>59107</v>
      </c>
      <c r="I111" t="s">
        <v>1133</v>
      </c>
      <c r="J111">
        <v>255</v>
      </c>
      <c r="K111">
        <v>182</v>
      </c>
      <c r="L111">
        <v>193</v>
      </c>
      <c r="M111" s="6">
        <v>255</v>
      </c>
      <c r="N111" s="6" t="str">
        <f t="shared" si="4"/>
        <v>110: (255, 182, 193, 255, Urban renewal (repairing damage): 59107),</v>
      </c>
      <c r="O111" s="5" t="str">
        <f>VLOOKUP(Australia!B111,Impacts!$A$2:$B$80,2, FALSE)</f>
        <v>Redevelopment of a built environment to address urban decay.</v>
      </c>
      <c r="P111" s="5" t="str">
        <f>VLOOKUP(E111,Pressures!$A$2:$B$145,2,FALSE)</f>
        <v>Improvement in condition of infrastructure or an increase in amount of construction following damage repair.</v>
      </c>
      <c r="Z111" s="32">
        <v>215215</v>
      </c>
      <c r="AW111" s="5">
        <v>0</v>
      </c>
      <c r="AX111" s="5">
        <v>0</v>
      </c>
      <c r="AZ111" s="5">
        <v>1</v>
      </c>
      <c r="BA111" s="5">
        <v>2</v>
      </c>
      <c r="BB111" s="5">
        <v>3</v>
      </c>
      <c r="DK111" s="8"/>
      <c r="DL111" s="8"/>
      <c r="DM111" s="8"/>
      <c r="DN111" s="8"/>
      <c r="DO111" s="50"/>
      <c r="DP111" s="50"/>
      <c r="DQ111" s="50"/>
      <c r="DR111" s="50"/>
      <c r="DS111" s="50"/>
      <c r="DT111" s="50"/>
      <c r="DU111" s="50"/>
      <c r="DV111" s="50"/>
      <c r="DW111" s="50"/>
      <c r="DX111" s="50"/>
      <c r="DY111" s="50"/>
      <c r="DZ111" s="50"/>
      <c r="EA111" s="50"/>
      <c r="EB111" s="50"/>
      <c r="EC111" s="50"/>
      <c r="ED111" s="50"/>
      <c r="EE111" s="50"/>
      <c r="EF111" s="50"/>
      <c r="EG111" s="50"/>
      <c r="EH111" s="50"/>
      <c r="EI111" s="50"/>
      <c r="EJ111" s="50"/>
      <c r="EK111" s="50"/>
      <c r="EL111" s="50">
        <v>1</v>
      </c>
      <c r="EM111" s="50"/>
      <c r="EN111" s="50"/>
      <c r="EO111" s="50"/>
      <c r="EP111" s="50"/>
      <c r="EQ111" s="50"/>
      <c r="ER111" s="50"/>
      <c r="ET111" s="55">
        <f t="shared" si="5"/>
        <v>1</v>
      </c>
    </row>
    <row r="112" spans="1:150" s="5" customFormat="1" ht="16" customHeight="1" x14ac:dyDescent="0.2">
      <c r="A112" s="5">
        <v>60</v>
      </c>
      <c r="B112" s="8" t="s">
        <v>295</v>
      </c>
      <c r="C112" s="39" t="s">
        <v>166</v>
      </c>
      <c r="D112" s="5">
        <v>16</v>
      </c>
      <c r="E112" s="5" t="s">
        <v>167</v>
      </c>
      <c r="F112" s="21" t="s">
        <v>296</v>
      </c>
      <c r="G112" s="21">
        <v>111</v>
      </c>
      <c r="H112" s="5">
        <f t="shared" si="3"/>
        <v>60016</v>
      </c>
      <c r="I112" t="s">
        <v>1134</v>
      </c>
      <c r="J112">
        <v>204</v>
      </c>
      <c r="K112">
        <v>51</v>
      </c>
      <c r="L112">
        <v>51</v>
      </c>
      <c r="M112" s="6">
        <v>255</v>
      </c>
      <c r="N112" s="6" t="str">
        <f t="shared" si="4"/>
        <v>111: (204, 51, 51, 255, Urban sprawl (construction): 60016),</v>
      </c>
      <c r="O112" s="5" t="str">
        <f>VLOOKUP(Australia!B112,Impacts!$A$2:$B$80,2, FALSE)</f>
        <v>Unplanned low-density development surrounding an urban area.</v>
      </c>
      <c r="P112" s="5" t="str">
        <f>VLOOKUP(E112,Pressures!$A$2:$B$145,2,FALSE)</f>
        <v>Creation of infrastructure such as railways, roads, mines, buildings, agricultural farms, aquaculture farms or dams.</v>
      </c>
      <c r="V112" s="29">
        <v>111111</v>
      </c>
      <c r="W112" s="29">
        <v>112112</v>
      </c>
      <c r="X112" s="29">
        <v>123123</v>
      </c>
      <c r="Y112" s="29">
        <v>124124</v>
      </c>
      <c r="AE112" s="32">
        <v>111215</v>
      </c>
      <c r="AF112" s="32">
        <v>112215</v>
      </c>
      <c r="AG112" s="32">
        <v>123215</v>
      </c>
      <c r="AH112" s="32">
        <v>124215</v>
      </c>
      <c r="AI112" s="32">
        <v>216215</v>
      </c>
      <c r="AW112" s="5">
        <v>0</v>
      </c>
      <c r="AX112" s="5">
        <v>0</v>
      </c>
      <c r="AZ112" s="5">
        <v>1</v>
      </c>
      <c r="BA112" s="5">
        <v>2</v>
      </c>
      <c r="BB112" s="5">
        <v>3</v>
      </c>
      <c r="BD112" s="7">
        <v>111111</v>
      </c>
      <c r="BE112" s="7">
        <v>112112</v>
      </c>
      <c r="BF112" s="7">
        <v>123123</v>
      </c>
      <c r="BG112" s="7">
        <v>124124</v>
      </c>
      <c r="BV112" s="5">
        <v>22</v>
      </c>
      <c r="BY112" s="5" t="s">
        <v>717</v>
      </c>
      <c r="DK112" s="8"/>
      <c r="DL112" s="8"/>
      <c r="DM112" s="8"/>
      <c r="DN112" s="8"/>
      <c r="DO112" s="50"/>
      <c r="DP112" s="50"/>
      <c r="DQ112" s="50"/>
      <c r="DR112" s="50"/>
      <c r="DS112" s="50"/>
      <c r="DT112" s="50"/>
      <c r="DU112" s="50"/>
      <c r="DV112" s="50"/>
      <c r="DW112" s="50"/>
      <c r="DX112" s="50"/>
      <c r="DY112" s="50"/>
      <c r="DZ112" s="50"/>
      <c r="EA112" s="50"/>
      <c r="EB112" s="50"/>
      <c r="EC112" s="50"/>
      <c r="ED112" s="50"/>
      <c r="EE112" s="50"/>
      <c r="EF112" s="50"/>
      <c r="EG112" s="50"/>
      <c r="EH112" s="50"/>
      <c r="EI112" s="50"/>
      <c r="EJ112" s="50"/>
      <c r="EK112" s="50"/>
      <c r="EL112" s="50">
        <v>1</v>
      </c>
      <c r="EM112" s="50"/>
      <c r="EN112" s="50"/>
      <c r="EO112" s="50"/>
      <c r="EP112" s="50"/>
      <c r="EQ112" s="50"/>
      <c r="ER112" s="50"/>
      <c r="ET112" s="55">
        <f t="shared" si="5"/>
        <v>1</v>
      </c>
    </row>
    <row r="113" spans="1:150" s="5" customFormat="1" ht="16" customHeight="1" x14ac:dyDescent="0.2">
      <c r="A113" s="5">
        <v>61</v>
      </c>
      <c r="B113" s="8" t="s">
        <v>297</v>
      </c>
      <c r="C113" s="8" t="s">
        <v>298</v>
      </c>
      <c r="D113" s="5">
        <v>12</v>
      </c>
      <c r="E113" s="5" t="s">
        <v>299</v>
      </c>
      <c r="F113" s="21" t="s">
        <v>300</v>
      </c>
      <c r="G113" s="21">
        <v>112</v>
      </c>
      <c r="H113" s="5">
        <f t="shared" si="3"/>
        <v>61012</v>
      </c>
      <c r="I113" t="s">
        <v>1135</v>
      </c>
      <c r="J113">
        <v>236</v>
      </c>
      <c r="K113">
        <v>88</v>
      </c>
      <c r="L113">
        <v>0</v>
      </c>
      <c r="M113" s="6">
        <v>255</v>
      </c>
      <c r="N113" s="6" t="str">
        <f t="shared" si="4"/>
        <v>112: (236, 88, 0, 255, Vegetation damage (bushfire): 61012),</v>
      </c>
      <c r="O113" s="5" t="str">
        <f>VLOOKUP(Australia!B113,Impacts!$A$2:$B$80,2, FALSE)</f>
        <v>Physical harm that impairs the value, usefulness, or normal function of plants or plant communities.</v>
      </c>
      <c r="P113" s="5" t="str">
        <f>VLOOKUP(E113,Pressures!$A$2:$B$145,2,FALSE)</f>
        <v>Grass fires, forest fires and/or scrub fires started naturally, accidentally, or deliberately.</v>
      </c>
      <c r="V113" s="29">
        <v>111111</v>
      </c>
      <c r="W113" s="29">
        <v>112112</v>
      </c>
      <c r="X113" s="29">
        <v>123123</v>
      </c>
      <c r="Y113" s="29">
        <v>124124</v>
      </c>
      <c r="AU113" s="31">
        <v>11</v>
      </c>
      <c r="AV113" s="31">
        <v>22</v>
      </c>
      <c r="AW113" s="5">
        <v>0</v>
      </c>
      <c r="AX113" s="5">
        <v>0</v>
      </c>
      <c r="AZ113" s="5">
        <v>1</v>
      </c>
      <c r="BA113" s="5">
        <v>2</v>
      </c>
      <c r="BB113" s="5">
        <v>3</v>
      </c>
      <c r="BD113" s="7">
        <v>111111</v>
      </c>
      <c r="BE113" s="7">
        <v>112112</v>
      </c>
      <c r="BF113" s="7">
        <v>123123</v>
      </c>
      <c r="BG113" s="7">
        <v>124124</v>
      </c>
      <c r="BV113" s="5">
        <v>22</v>
      </c>
      <c r="BX113" s="5" t="s">
        <v>717</v>
      </c>
      <c r="CB113" s="45">
        <v>1012</v>
      </c>
      <c r="CC113" s="45">
        <v>1013</v>
      </c>
      <c r="CD113" s="45">
        <v>1015</v>
      </c>
      <c r="CE113" s="45">
        <v>1016</v>
      </c>
      <c r="CF113" s="45">
        <v>1213</v>
      </c>
      <c r="CG113" s="45">
        <v>1215</v>
      </c>
      <c r="CH113" s="46">
        <v>1216</v>
      </c>
      <c r="CI113" s="46">
        <v>1315</v>
      </c>
      <c r="CJ113" s="46">
        <v>1316</v>
      </c>
      <c r="CK113" s="46">
        <v>1516</v>
      </c>
      <c r="DK113" s="8"/>
      <c r="DL113" s="8"/>
      <c r="DM113" s="8"/>
      <c r="DN113" s="8"/>
      <c r="DO113" s="50">
        <v>1</v>
      </c>
      <c r="DP113" s="50">
        <v>1</v>
      </c>
      <c r="DQ113" s="50">
        <v>1</v>
      </c>
      <c r="DR113" s="50"/>
      <c r="DS113" s="50"/>
      <c r="DT113" s="50"/>
      <c r="DU113" s="50"/>
      <c r="DV113" s="50"/>
      <c r="DW113" s="50"/>
      <c r="DX113" s="50"/>
      <c r="DY113" s="50"/>
      <c r="DZ113" s="50"/>
      <c r="EA113" s="50"/>
      <c r="EB113" s="50"/>
      <c r="EC113" s="50"/>
      <c r="ED113" s="50"/>
      <c r="EE113" s="50"/>
      <c r="EF113" s="50"/>
      <c r="EG113" s="50"/>
      <c r="EH113" s="50"/>
      <c r="EI113" s="50"/>
      <c r="EJ113" s="50"/>
      <c r="EK113" s="50"/>
      <c r="EL113" s="50"/>
      <c r="EM113" s="50"/>
      <c r="EN113" s="50"/>
      <c r="EO113" s="50"/>
      <c r="EP113" s="50"/>
      <c r="EQ113" s="50"/>
      <c r="ER113" s="50"/>
      <c r="ET113" s="55">
        <f t="shared" si="5"/>
        <v>3</v>
      </c>
    </row>
    <row r="114" spans="1:150" s="5" customFormat="1" ht="16" customHeight="1" x14ac:dyDescent="0.2">
      <c r="A114" s="5">
        <v>61</v>
      </c>
      <c r="B114" s="8" t="s">
        <v>297</v>
      </c>
      <c r="C114" s="8" t="s">
        <v>92</v>
      </c>
      <c r="D114" s="5">
        <v>38</v>
      </c>
      <c r="E114" s="5" t="s">
        <v>93</v>
      </c>
      <c r="F114" s="21" t="s">
        <v>301</v>
      </c>
      <c r="G114" s="21">
        <v>113</v>
      </c>
      <c r="H114" s="5">
        <f t="shared" si="3"/>
        <v>61038</v>
      </c>
      <c r="I114" t="s">
        <v>1136</v>
      </c>
      <c r="J114">
        <v>21</v>
      </c>
      <c r="K114">
        <v>96</v>
      </c>
      <c r="L114">
        <v>189</v>
      </c>
      <c r="M114" s="6">
        <v>255</v>
      </c>
      <c r="N114" s="6" t="str">
        <f t="shared" si="4"/>
        <v>113: (21, 96, 189, 255, Vegetation damage (excess precipitation): 61038),</v>
      </c>
      <c r="O114" s="5" t="str">
        <f>VLOOKUP(Australia!B114,Impacts!$A$2:$B$80,2, FALSE)</f>
        <v>Physical harm that impairs the value, usefulness, or normal function of plants or plant communities.</v>
      </c>
      <c r="P114" s="5" t="str">
        <f>VLOOKUP(E114,Pressures!$A$2:$B$145,2,FALSE)</f>
        <v>Above-normal increase in the amount of rain or snowfall.</v>
      </c>
      <c r="V114" s="29">
        <v>111111</v>
      </c>
      <c r="W114" s="29">
        <v>112112</v>
      </c>
      <c r="X114" s="29">
        <v>123123</v>
      </c>
      <c r="Y114" s="29">
        <v>124124</v>
      </c>
      <c r="AU114" s="31">
        <v>11</v>
      </c>
      <c r="AV114" s="31">
        <v>22</v>
      </c>
      <c r="AW114" s="5">
        <v>0</v>
      </c>
      <c r="AX114" s="5">
        <v>0</v>
      </c>
      <c r="AZ114" s="5">
        <v>1</v>
      </c>
      <c r="BA114" s="5">
        <v>2</v>
      </c>
      <c r="BB114" s="5">
        <v>3</v>
      </c>
      <c r="BF114" s="7" t="s">
        <v>713</v>
      </c>
      <c r="BG114" s="7">
        <v>124124</v>
      </c>
      <c r="BV114" s="5">
        <v>22</v>
      </c>
      <c r="BX114" s="5" t="s">
        <v>717</v>
      </c>
      <c r="BY114" s="5" t="s">
        <v>717</v>
      </c>
      <c r="CB114" s="45">
        <v>1012</v>
      </c>
      <c r="CC114" s="45">
        <v>1013</v>
      </c>
      <c r="CD114" s="45">
        <v>1015</v>
      </c>
      <c r="CE114" s="45">
        <v>1016</v>
      </c>
      <c r="CF114" s="45">
        <v>1213</v>
      </c>
      <c r="CG114" s="45">
        <v>1215</v>
      </c>
      <c r="CH114" s="46">
        <v>1216</v>
      </c>
      <c r="CI114" s="46">
        <v>1315</v>
      </c>
      <c r="CJ114" s="46">
        <v>1316</v>
      </c>
      <c r="CK114" s="46">
        <v>1516</v>
      </c>
      <c r="DK114" s="8"/>
      <c r="DL114" s="8"/>
      <c r="DM114" s="8"/>
      <c r="DN114" s="8"/>
      <c r="DO114" s="50"/>
      <c r="DP114" s="50"/>
      <c r="DQ114" s="50"/>
      <c r="DR114" s="50"/>
      <c r="DS114" s="50"/>
      <c r="DT114" s="50"/>
      <c r="DU114" s="50"/>
      <c r="DV114" s="50"/>
      <c r="DW114" s="50"/>
      <c r="DX114" s="50"/>
      <c r="DY114" s="50"/>
      <c r="DZ114" s="50"/>
      <c r="EA114" s="50"/>
      <c r="EB114" s="50">
        <v>1</v>
      </c>
      <c r="EC114" s="50"/>
      <c r="ED114" s="50"/>
      <c r="EE114" s="50"/>
      <c r="EF114" s="50"/>
      <c r="EG114" s="50"/>
      <c r="EH114" s="50"/>
      <c r="EI114" s="50"/>
      <c r="EJ114" s="50"/>
      <c r="EK114" s="50"/>
      <c r="EL114" s="50"/>
      <c r="EM114" s="50"/>
      <c r="EN114" s="50"/>
      <c r="EO114" s="50"/>
      <c r="EP114" s="50"/>
      <c r="EQ114" s="50"/>
      <c r="ER114" s="50"/>
      <c r="ET114" s="55">
        <f t="shared" si="5"/>
        <v>1</v>
      </c>
    </row>
    <row r="115" spans="1:150" s="5" customFormat="1" ht="16" customHeight="1" x14ac:dyDescent="0.2">
      <c r="A115" s="5">
        <v>61</v>
      </c>
      <c r="B115" s="8" t="s">
        <v>297</v>
      </c>
      <c r="C115" s="8" t="s">
        <v>95</v>
      </c>
      <c r="D115" s="5">
        <v>39</v>
      </c>
      <c r="E115" s="5" t="s">
        <v>96</v>
      </c>
      <c r="F115" s="21" t="s">
        <v>302</v>
      </c>
      <c r="G115" s="21">
        <v>114</v>
      </c>
      <c r="H115" s="5">
        <f t="shared" si="3"/>
        <v>61039</v>
      </c>
      <c r="I115" t="s">
        <v>1137</v>
      </c>
      <c r="J115">
        <v>25</v>
      </c>
      <c r="K115">
        <v>25</v>
      </c>
      <c r="L115">
        <v>112</v>
      </c>
      <c r="M115" s="6">
        <v>255</v>
      </c>
      <c r="N115" s="6" t="str">
        <f t="shared" si="4"/>
        <v>114: (25, 25, 112, 255, Vegetation damage (excess rain): 61039),</v>
      </c>
      <c r="O115" s="5" t="str">
        <f>VLOOKUP(Australia!B115,Impacts!$A$2:$B$80,2, FALSE)</f>
        <v>Physical harm that impairs the value, usefulness, or normal function of plants or plant communities.</v>
      </c>
      <c r="P115" s="5" t="str">
        <f>VLOOKUP(E115,Pressures!$A$2:$B$145,2,FALSE)</f>
        <v>Heavy rainfall associated with the passage of a storm or tropical cyclone than can produce extensive flooding.</v>
      </c>
      <c r="V115" s="29">
        <v>111111</v>
      </c>
      <c r="W115" s="29">
        <v>112112</v>
      </c>
      <c r="X115" s="29">
        <v>123123</v>
      </c>
      <c r="Y115" s="29">
        <v>124124</v>
      </c>
      <c r="AU115" s="31">
        <v>11</v>
      </c>
      <c r="AV115" s="31">
        <v>22</v>
      </c>
      <c r="AW115" s="5">
        <v>0</v>
      </c>
      <c r="AX115" s="5">
        <v>0</v>
      </c>
      <c r="AZ115" s="5">
        <v>1</v>
      </c>
      <c r="BA115" s="5">
        <v>2</v>
      </c>
      <c r="BB115" s="5">
        <v>3</v>
      </c>
      <c r="BD115" s="7">
        <v>111111</v>
      </c>
      <c r="BE115" s="7">
        <v>112112</v>
      </c>
      <c r="BF115" s="7">
        <v>123123</v>
      </c>
      <c r="BG115" s="7">
        <v>124124</v>
      </c>
      <c r="BV115" s="5">
        <v>22</v>
      </c>
      <c r="BX115" s="5" t="s">
        <v>714</v>
      </c>
      <c r="CB115" s="45">
        <v>1012</v>
      </c>
      <c r="CC115" s="45">
        <v>1013</v>
      </c>
      <c r="CD115" s="45">
        <v>1015</v>
      </c>
      <c r="CE115" s="45">
        <v>1016</v>
      </c>
      <c r="CF115" s="45">
        <v>1213</v>
      </c>
      <c r="CG115" s="45">
        <v>1215</v>
      </c>
      <c r="CH115" s="46">
        <v>1216</v>
      </c>
      <c r="CI115" s="46">
        <v>1315</v>
      </c>
      <c r="CJ115" s="46">
        <v>1316</v>
      </c>
      <c r="CK115" s="46">
        <v>1516</v>
      </c>
      <c r="DK115" s="8"/>
      <c r="DL115" s="8"/>
      <c r="DM115" s="8"/>
      <c r="DN115" s="8"/>
      <c r="DO115" s="50"/>
      <c r="DP115" s="50"/>
      <c r="DQ115" s="50"/>
      <c r="DR115" s="50"/>
      <c r="DS115" s="50"/>
      <c r="DT115" s="50"/>
      <c r="DU115" s="50"/>
      <c r="DV115" s="50"/>
      <c r="DW115" s="50"/>
      <c r="DX115" s="50"/>
      <c r="DY115" s="50"/>
      <c r="DZ115" s="50"/>
      <c r="EA115" s="50"/>
      <c r="EB115" s="50">
        <v>1</v>
      </c>
      <c r="EC115" s="50"/>
      <c r="ED115" s="50"/>
      <c r="EE115" s="50"/>
      <c r="EF115" s="50"/>
      <c r="EG115" s="50"/>
      <c r="EH115" s="50"/>
      <c r="EI115" s="50"/>
      <c r="EJ115" s="50"/>
      <c r="EK115" s="50"/>
      <c r="EL115" s="50"/>
      <c r="EM115" s="50"/>
      <c r="EN115" s="50"/>
      <c r="EO115" s="50"/>
      <c r="EP115" s="50"/>
      <c r="EQ115" s="50"/>
      <c r="ER115" s="50"/>
      <c r="ET115" s="55">
        <f t="shared" si="5"/>
        <v>1</v>
      </c>
    </row>
    <row r="116" spans="1:150" s="5" customFormat="1" ht="16" customHeight="1" x14ac:dyDescent="0.2">
      <c r="A116" s="5">
        <v>61</v>
      </c>
      <c r="B116" s="8" t="s">
        <v>297</v>
      </c>
      <c r="C116" s="8" t="s">
        <v>42</v>
      </c>
      <c r="D116" s="5">
        <v>44</v>
      </c>
      <c r="E116" s="5" t="s">
        <v>43</v>
      </c>
      <c r="F116" s="21" t="s">
        <v>303</v>
      </c>
      <c r="G116" s="21">
        <v>115</v>
      </c>
      <c r="H116" s="5">
        <f t="shared" si="3"/>
        <v>61044</v>
      </c>
      <c r="I116" t="s">
        <v>1138</v>
      </c>
      <c r="J116">
        <v>216</v>
      </c>
      <c r="K116">
        <v>191</v>
      </c>
      <c r="L116">
        <v>216</v>
      </c>
      <c r="M116" s="6">
        <v>255</v>
      </c>
      <c r="N116" s="6" t="str">
        <f t="shared" si="4"/>
        <v>115: (216, 191, 216, 255, Vegetation damage (flooding): 61044),</v>
      </c>
      <c r="O116" s="5" t="str">
        <f>VLOOKUP(Australia!B116,Impacts!$A$2:$B$80,2, FALSE)</f>
        <v>Physical harm that impairs the value, usefulness, or normal function of plants or plant communities.</v>
      </c>
      <c r="P116" s="5" t="str">
        <f>VLOOKUP(E116,Pressures!$A$2:$B$145,2,FALSE)</f>
        <v>The inundation of water over land that is generally dry.</v>
      </c>
      <c r="V116" s="29">
        <v>111111</v>
      </c>
      <c r="W116" s="29">
        <v>112112</v>
      </c>
      <c r="X116" s="29">
        <v>123123</v>
      </c>
      <c r="Y116" s="29">
        <v>124124</v>
      </c>
      <c r="AU116" s="31">
        <v>11</v>
      </c>
      <c r="AV116" s="31">
        <v>22</v>
      </c>
      <c r="AW116" s="5">
        <v>0</v>
      </c>
      <c r="AX116" s="5">
        <v>0</v>
      </c>
      <c r="AZ116" s="5">
        <v>1</v>
      </c>
      <c r="BA116" s="5">
        <v>2</v>
      </c>
      <c r="BB116" s="5">
        <v>3</v>
      </c>
      <c r="BD116" s="7">
        <v>111111</v>
      </c>
      <c r="BE116" s="7">
        <v>112112</v>
      </c>
      <c r="BF116" s="7">
        <v>123123</v>
      </c>
      <c r="BG116" s="7">
        <v>124124</v>
      </c>
      <c r="BV116" s="5">
        <v>22</v>
      </c>
      <c r="BX116" s="5" t="s">
        <v>717</v>
      </c>
      <c r="BY116" s="5" t="s">
        <v>714</v>
      </c>
      <c r="CB116" s="45">
        <v>1012</v>
      </c>
      <c r="CC116" s="45">
        <v>1013</v>
      </c>
      <c r="CD116" s="45">
        <v>1015</v>
      </c>
      <c r="CE116" s="45">
        <v>1016</v>
      </c>
      <c r="CF116" s="45">
        <v>1213</v>
      </c>
      <c r="CG116" s="45">
        <v>1215</v>
      </c>
      <c r="CH116" s="46">
        <v>1216</v>
      </c>
      <c r="CI116" s="46">
        <v>1315</v>
      </c>
      <c r="CJ116" s="46">
        <v>1316</v>
      </c>
      <c r="CK116" s="46">
        <v>1516</v>
      </c>
      <c r="DK116" s="8"/>
      <c r="DL116" s="8"/>
      <c r="DM116" s="8"/>
      <c r="DN116" s="8"/>
      <c r="DO116" s="50"/>
      <c r="DP116" s="50"/>
      <c r="DQ116" s="50"/>
      <c r="DR116" s="50"/>
      <c r="DS116" s="50">
        <v>1</v>
      </c>
      <c r="DT116" s="50"/>
      <c r="DU116" s="50"/>
      <c r="DV116" s="50"/>
      <c r="DW116" s="50"/>
      <c r="DX116" s="50"/>
      <c r="DY116" s="50"/>
      <c r="DZ116" s="50"/>
      <c r="EA116" s="50"/>
      <c r="EB116" s="50"/>
      <c r="EC116" s="50"/>
      <c r="ED116" s="50"/>
      <c r="EE116" s="50"/>
      <c r="EF116" s="50"/>
      <c r="EG116" s="50"/>
      <c r="EH116" s="50"/>
      <c r="EI116" s="50"/>
      <c r="EJ116" s="50"/>
      <c r="EK116" s="50"/>
      <c r="EL116" s="50"/>
      <c r="EM116" s="50"/>
      <c r="EN116" s="50"/>
      <c r="EO116" s="50"/>
      <c r="EP116" s="50"/>
      <c r="EQ116" s="50"/>
      <c r="ER116" s="50"/>
      <c r="ET116" s="55">
        <f t="shared" si="5"/>
        <v>1</v>
      </c>
    </row>
    <row r="117" spans="1:150" s="5" customFormat="1" ht="16" customHeight="1" x14ac:dyDescent="0.2">
      <c r="A117" s="5">
        <v>61</v>
      </c>
      <c r="B117" s="8" t="s">
        <v>297</v>
      </c>
      <c r="C117" s="8" t="s">
        <v>170</v>
      </c>
      <c r="D117" s="5">
        <v>46</v>
      </c>
      <c r="E117" s="5" t="s">
        <v>171</v>
      </c>
      <c r="F117" s="21" t="s">
        <v>304</v>
      </c>
      <c r="G117" s="21">
        <v>116</v>
      </c>
      <c r="H117" s="5">
        <f t="shared" si="3"/>
        <v>61046</v>
      </c>
      <c r="I117" t="s">
        <v>1139</v>
      </c>
      <c r="J117">
        <v>124</v>
      </c>
      <c r="K117">
        <v>185</v>
      </c>
      <c r="L117">
        <v>232</v>
      </c>
      <c r="M117" s="6">
        <v>255</v>
      </c>
      <c r="N117" s="6" t="str">
        <f t="shared" si="4"/>
        <v>116: (124, 185, 232, 255, Vegetation damage (frost): 61046),</v>
      </c>
      <c r="O117" s="5" t="str">
        <f>VLOOKUP(Australia!B117,Impacts!$A$2:$B$80,2, FALSE)</f>
        <v>Physical harm that impairs the value, usefulness, or normal function of plants or plant communities.</v>
      </c>
      <c r="P117" s="5" t="str">
        <f>VLOOKUP(E117,Pressures!$A$2:$B$145,2,FALSE)</f>
        <v>Deposit of soft white ice crystals or frozen dew drops on objects near the ground; formed when surface temperature falls below freezing point.</v>
      </c>
      <c r="V117" s="29">
        <v>111111</v>
      </c>
      <c r="W117" s="29">
        <v>112112</v>
      </c>
      <c r="X117" s="29">
        <v>123123</v>
      </c>
      <c r="Y117" s="29">
        <v>124124</v>
      </c>
      <c r="AU117" s="31">
        <v>11</v>
      </c>
      <c r="AV117" s="31">
        <v>22</v>
      </c>
      <c r="AW117" s="5">
        <v>0</v>
      </c>
      <c r="AX117" s="5">
        <v>0</v>
      </c>
      <c r="AZ117" s="5">
        <v>1</v>
      </c>
      <c r="BA117" s="5">
        <v>2</v>
      </c>
      <c r="BB117" s="5">
        <v>3</v>
      </c>
      <c r="BD117" s="7">
        <v>111111</v>
      </c>
      <c r="BE117" s="7">
        <v>112112</v>
      </c>
      <c r="BF117" s="7">
        <v>123123</v>
      </c>
      <c r="BG117" s="7">
        <v>124124</v>
      </c>
      <c r="BV117" s="5">
        <v>22</v>
      </c>
      <c r="BX117" s="5" t="s">
        <v>714</v>
      </c>
      <c r="BY117" s="5" t="s">
        <v>714</v>
      </c>
      <c r="CB117" s="45">
        <v>1012</v>
      </c>
      <c r="CC117" s="45">
        <v>1013</v>
      </c>
      <c r="CD117" s="45">
        <v>1015</v>
      </c>
      <c r="CE117" s="45">
        <v>1016</v>
      </c>
      <c r="CF117" s="45">
        <v>1213</v>
      </c>
      <c r="CG117" s="45">
        <v>1215</v>
      </c>
      <c r="CH117" s="46">
        <v>1216</v>
      </c>
      <c r="CI117" s="46">
        <v>1315</v>
      </c>
      <c r="CJ117" s="46">
        <v>1316</v>
      </c>
      <c r="CK117" s="46">
        <v>1516</v>
      </c>
      <c r="DK117" s="8"/>
      <c r="DL117" s="8"/>
      <c r="DM117" s="8"/>
      <c r="DN117" s="8"/>
      <c r="DO117" s="50"/>
      <c r="DP117" s="50"/>
      <c r="DQ117" s="50"/>
      <c r="DR117" s="50"/>
      <c r="DS117" s="50"/>
      <c r="DT117" s="50"/>
      <c r="DU117" s="50"/>
      <c r="DV117" s="50"/>
      <c r="DW117" s="50"/>
      <c r="DX117" s="50"/>
      <c r="DY117" s="50"/>
      <c r="DZ117" s="50">
        <v>1</v>
      </c>
      <c r="EA117" s="50"/>
      <c r="EB117" s="50"/>
      <c r="EC117" s="50"/>
      <c r="ED117" s="50"/>
      <c r="EE117" s="50"/>
      <c r="EF117" s="50"/>
      <c r="EG117" s="50"/>
      <c r="EH117" s="50"/>
      <c r="EI117" s="50"/>
      <c r="EJ117" s="50"/>
      <c r="EK117" s="50"/>
      <c r="EL117" s="50"/>
      <c r="EM117" s="50"/>
      <c r="EN117" s="50"/>
      <c r="EO117" s="50"/>
      <c r="EP117" s="50"/>
      <c r="EQ117" s="50"/>
      <c r="ER117" s="50"/>
      <c r="ET117" s="55">
        <f t="shared" si="5"/>
        <v>1</v>
      </c>
    </row>
    <row r="118" spans="1:150" s="5" customFormat="1" ht="16" customHeight="1" x14ac:dyDescent="0.2">
      <c r="A118" s="5">
        <v>61</v>
      </c>
      <c r="B118" s="8" t="s">
        <v>297</v>
      </c>
      <c r="C118" s="8" t="s">
        <v>45</v>
      </c>
      <c r="D118" s="5">
        <v>66</v>
      </c>
      <c r="E118" s="5" t="s">
        <v>46</v>
      </c>
      <c r="F118" s="21" t="s">
        <v>305</v>
      </c>
      <c r="G118" s="21">
        <v>117</v>
      </c>
      <c r="H118" s="5">
        <f t="shared" si="3"/>
        <v>61066</v>
      </c>
      <c r="I118" t="s">
        <v>1140</v>
      </c>
      <c r="J118">
        <v>110</v>
      </c>
      <c r="K118">
        <v>174</v>
      </c>
      <c r="L118">
        <v>161</v>
      </c>
      <c r="M118" s="6">
        <v>255</v>
      </c>
      <c r="N118" s="6" t="str">
        <f t="shared" si="4"/>
        <v>117: (110, 174, 161, 255, Vegetation damage (increased wind): 61066),</v>
      </c>
      <c r="O118" s="5" t="str">
        <f>VLOOKUP(Australia!B118,Impacts!$A$2:$B$80,2, FALSE)</f>
        <v>Physical harm that impairs the value, usefulness, or normal function of plants or plant communities.</v>
      </c>
      <c r="P118" s="5" t="str">
        <f>VLOOKUP(E118,Pressures!$A$2:$B$145,2,FALSE)</f>
        <v>A higher velocity of air movement into an area associated with, for example, cyclones, hurricans, typhoons, tornados, thunderstorms, storms or ice storms.</v>
      </c>
      <c r="V118" s="29">
        <v>111111</v>
      </c>
      <c r="W118" s="29">
        <v>112112</v>
      </c>
      <c r="X118" s="29">
        <v>123123</v>
      </c>
      <c r="Y118" s="29">
        <v>124124</v>
      </c>
      <c r="AU118" s="31">
        <v>11</v>
      </c>
      <c r="AV118" s="31">
        <v>22</v>
      </c>
      <c r="AW118" s="5">
        <v>0</v>
      </c>
      <c r="AX118" s="5">
        <v>0</v>
      </c>
      <c r="AZ118" s="5">
        <v>1</v>
      </c>
      <c r="BA118" s="5">
        <v>2</v>
      </c>
      <c r="BB118" s="5">
        <v>3</v>
      </c>
      <c r="BD118" s="7">
        <v>111111</v>
      </c>
      <c r="BE118" s="7">
        <v>112112</v>
      </c>
      <c r="BF118" s="7">
        <v>123123</v>
      </c>
      <c r="BG118" s="7">
        <v>124124</v>
      </c>
      <c r="BV118" s="5">
        <v>22</v>
      </c>
      <c r="BX118" s="5" t="s">
        <v>714</v>
      </c>
      <c r="CB118" s="45">
        <v>1012</v>
      </c>
      <c r="CC118" s="45">
        <v>1013</v>
      </c>
      <c r="CD118" s="45">
        <v>1015</v>
      </c>
      <c r="CE118" s="45">
        <v>1016</v>
      </c>
      <c r="CF118" s="45">
        <v>1213</v>
      </c>
      <c r="CG118" s="45">
        <v>1215</v>
      </c>
      <c r="CH118" s="46">
        <v>1216</v>
      </c>
      <c r="CI118" s="46">
        <v>1315</v>
      </c>
      <c r="CJ118" s="46">
        <v>1316</v>
      </c>
      <c r="CK118" s="46">
        <v>1516</v>
      </c>
      <c r="DK118" s="8"/>
      <c r="DL118" s="8"/>
      <c r="DM118" s="8"/>
      <c r="DN118" s="8"/>
      <c r="DO118" s="50"/>
      <c r="DP118" s="50"/>
      <c r="DQ118" s="50"/>
      <c r="DR118" s="50"/>
      <c r="DS118" s="50"/>
      <c r="DT118" s="50"/>
      <c r="DU118" s="50"/>
      <c r="DV118" s="50"/>
      <c r="DW118" s="50"/>
      <c r="DX118" s="50"/>
      <c r="DY118" s="50"/>
      <c r="DZ118" s="50"/>
      <c r="EA118" s="50"/>
      <c r="EB118" s="50"/>
      <c r="EC118" s="50">
        <v>1</v>
      </c>
      <c r="ED118" s="50"/>
      <c r="EE118" s="50"/>
      <c r="EF118" s="50"/>
      <c r="EG118" s="50"/>
      <c r="EH118" s="50"/>
      <c r="EI118" s="50"/>
      <c r="EJ118" s="50"/>
      <c r="EK118" s="50"/>
      <c r="EL118" s="50"/>
      <c r="EM118" s="50"/>
      <c r="EN118" s="50"/>
      <c r="EO118" s="50"/>
      <c r="EP118" s="50"/>
      <c r="EQ118" s="50"/>
      <c r="ER118" s="50"/>
      <c r="ET118" s="55">
        <f t="shared" si="5"/>
        <v>1</v>
      </c>
    </row>
    <row r="119" spans="1:150" s="5" customFormat="1" ht="16" customHeight="1" x14ac:dyDescent="0.2">
      <c r="A119" s="5">
        <v>61</v>
      </c>
      <c r="B119" s="8" t="s">
        <v>297</v>
      </c>
      <c r="C119" s="8" t="s">
        <v>306</v>
      </c>
      <c r="D119" s="5">
        <v>75</v>
      </c>
      <c r="E119" s="5" t="s">
        <v>307</v>
      </c>
      <c r="F119" s="21" t="s">
        <v>308</v>
      </c>
      <c r="G119" s="21">
        <v>118</v>
      </c>
      <c r="H119" s="5">
        <f t="shared" si="3"/>
        <v>61075</v>
      </c>
      <c r="I119" t="s">
        <v>1141</v>
      </c>
      <c r="J119">
        <v>220</v>
      </c>
      <c r="K119">
        <v>20</v>
      </c>
      <c r="L119">
        <v>60</v>
      </c>
      <c r="M119" s="6">
        <v>255</v>
      </c>
      <c r="N119" s="6" t="str">
        <f t="shared" si="4"/>
        <v>118: (220, 20, 60, 255, Vegetation damage (mechanical intervention): 61075),</v>
      </c>
      <c r="O119" s="5" t="str">
        <f>VLOOKUP(Australia!B119,Impacts!$A$2:$B$80,2, FALSE)</f>
        <v>Physical harm that impairs the value, usefulness, or normal function of plants or plant communities.</v>
      </c>
      <c r="P119" s="5" t="str">
        <f>VLOOKUP(E119,Pressures!$A$2:$B$145,2,FALSE)</f>
        <v>Use of machines (e.g., to remove or alter vegetation)</v>
      </c>
      <c r="V119" s="29">
        <v>111111</v>
      </c>
      <c r="W119" s="29">
        <v>112112</v>
      </c>
      <c r="X119" s="29">
        <v>123123</v>
      </c>
      <c r="Y119" s="29">
        <v>124124</v>
      </c>
      <c r="AU119" s="31">
        <v>11</v>
      </c>
      <c r="AV119" s="31">
        <v>22</v>
      </c>
      <c r="AW119" s="5">
        <v>0</v>
      </c>
      <c r="AX119" s="5">
        <v>0</v>
      </c>
      <c r="AZ119" s="5">
        <v>1</v>
      </c>
      <c r="BA119" s="5">
        <v>2</v>
      </c>
      <c r="BB119" s="5">
        <v>3</v>
      </c>
      <c r="BD119" s="7">
        <v>111111</v>
      </c>
      <c r="BE119" s="7">
        <v>112112</v>
      </c>
      <c r="BF119" s="7">
        <v>123123</v>
      </c>
      <c r="BG119" s="7">
        <v>124124</v>
      </c>
      <c r="BV119" s="5">
        <v>22</v>
      </c>
      <c r="BX119" s="5" t="s">
        <v>714</v>
      </c>
      <c r="BY119" s="5" t="s">
        <v>714</v>
      </c>
      <c r="CB119" s="45">
        <v>1012</v>
      </c>
      <c r="CC119" s="45">
        <v>1013</v>
      </c>
      <c r="CD119" s="45">
        <v>1015</v>
      </c>
      <c r="CE119" s="45">
        <v>1016</v>
      </c>
      <c r="CF119" s="45">
        <v>1213</v>
      </c>
      <c r="CG119" s="45">
        <v>1215</v>
      </c>
      <c r="CH119" s="46">
        <v>1216</v>
      </c>
      <c r="CI119" s="46">
        <v>1315</v>
      </c>
      <c r="CJ119" s="46">
        <v>1316</v>
      </c>
      <c r="CK119" s="46">
        <v>1516</v>
      </c>
      <c r="DK119" s="8"/>
      <c r="DL119" s="8"/>
      <c r="DM119" s="8"/>
      <c r="DN119" s="8"/>
      <c r="DO119" s="50"/>
      <c r="DP119" s="50"/>
      <c r="DQ119" s="50"/>
      <c r="DR119" s="50"/>
      <c r="DS119" s="50"/>
      <c r="DT119" s="50"/>
      <c r="DU119" s="50"/>
      <c r="DV119" s="50"/>
      <c r="DW119" s="50"/>
      <c r="DX119" s="50"/>
      <c r="DY119" s="50"/>
      <c r="DZ119" s="50"/>
      <c r="EA119" s="50"/>
      <c r="EB119" s="50"/>
      <c r="EC119" s="50"/>
      <c r="ED119" s="50"/>
      <c r="EE119" s="50"/>
      <c r="EF119" s="50"/>
      <c r="EG119" s="50"/>
      <c r="EH119" s="50"/>
      <c r="EI119" s="50"/>
      <c r="EJ119" s="50"/>
      <c r="EK119" s="50"/>
      <c r="EL119" s="50">
        <v>1</v>
      </c>
      <c r="EM119" s="50">
        <v>1</v>
      </c>
      <c r="EN119" s="50"/>
      <c r="EO119" s="50"/>
      <c r="EP119" s="50"/>
      <c r="EQ119" s="50"/>
      <c r="ER119" s="50"/>
      <c r="ET119" s="55">
        <f t="shared" si="5"/>
        <v>2</v>
      </c>
    </row>
    <row r="120" spans="1:150" s="5" customFormat="1" ht="16" customHeight="1" x14ac:dyDescent="0.2">
      <c r="A120" s="5">
        <v>61</v>
      </c>
      <c r="B120" s="8" t="s">
        <v>297</v>
      </c>
      <c r="C120" s="8" t="s">
        <v>309</v>
      </c>
      <c r="D120" s="5">
        <v>93</v>
      </c>
      <c r="E120" s="5" t="s">
        <v>310</v>
      </c>
      <c r="F120" s="21" t="s">
        <v>311</v>
      </c>
      <c r="G120" s="21">
        <v>119</v>
      </c>
      <c r="H120" s="5">
        <f t="shared" si="3"/>
        <v>61093</v>
      </c>
      <c r="I120" t="s">
        <v>1142</v>
      </c>
      <c r="J120">
        <v>255</v>
      </c>
      <c r="K120">
        <v>130</v>
      </c>
      <c r="L120">
        <v>67</v>
      </c>
      <c r="M120" s="6">
        <v>255</v>
      </c>
      <c r="N120" s="6" t="str">
        <f t="shared" si="4"/>
        <v>119: (255, 130, 67, 255, Vegetation damage (prescribed burn): 61093),</v>
      </c>
      <c r="O120" s="5" t="str">
        <f>VLOOKUP(Australia!B120,Impacts!$A$2:$B$80,2, FALSE)</f>
        <v>Physical harm that impairs the value, usefulness, or normal function of plants or plant communities.</v>
      </c>
      <c r="P120" s="5" t="str">
        <f>VLOOKUP(E120,Pressures!$A$2:$B$145,2,FALSE)</f>
        <v>The process of planning and applying fire to a predetermined area, under specific environmental conditions, to achieve a desired outcome.</v>
      </c>
      <c r="V120" s="29" t="s">
        <v>713</v>
      </c>
      <c r="W120" s="29">
        <v>112112</v>
      </c>
      <c r="X120" s="29" t="s">
        <v>713</v>
      </c>
      <c r="Y120" s="29">
        <v>124124</v>
      </c>
      <c r="AU120" s="31">
        <v>11</v>
      </c>
      <c r="AV120" s="31">
        <v>22</v>
      </c>
      <c r="AW120" s="5">
        <v>0</v>
      </c>
      <c r="AX120" s="5">
        <v>0</v>
      </c>
      <c r="AZ120" s="5">
        <v>1</v>
      </c>
      <c r="BA120" s="5">
        <v>2</v>
      </c>
      <c r="BB120" s="5">
        <v>3</v>
      </c>
      <c r="BD120" s="7">
        <v>111111</v>
      </c>
      <c r="BE120" s="7">
        <v>112112</v>
      </c>
      <c r="BF120" s="7">
        <v>123123</v>
      </c>
      <c r="BG120" s="7">
        <v>124124</v>
      </c>
      <c r="BV120" s="5">
        <v>22</v>
      </c>
      <c r="BX120" s="5" t="s">
        <v>717</v>
      </c>
      <c r="CB120" s="45">
        <v>1012</v>
      </c>
      <c r="CC120" s="45">
        <v>1013</v>
      </c>
      <c r="CD120" s="45">
        <v>1015</v>
      </c>
      <c r="CE120" s="45">
        <v>1016</v>
      </c>
      <c r="CF120" s="45">
        <v>1213</v>
      </c>
      <c r="CG120" s="45">
        <v>1215</v>
      </c>
      <c r="CH120" s="46">
        <v>1216</v>
      </c>
      <c r="CI120" s="46">
        <v>1315</v>
      </c>
      <c r="CJ120" s="46">
        <v>1316</v>
      </c>
      <c r="CK120" s="46">
        <v>1516</v>
      </c>
      <c r="DK120" s="8"/>
      <c r="DL120" s="8"/>
      <c r="DM120" s="8"/>
      <c r="DN120" s="8"/>
      <c r="DO120" s="50">
        <v>1</v>
      </c>
      <c r="DP120" s="50">
        <v>1</v>
      </c>
      <c r="DQ120" s="50">
        <v>1</v>
      </c>
      <c r="DR120" s="50"/>
      <c r="DS120" s="50"/>
      <c r="DT120" s="50"/>
      <c r="DU120" s="50"/>
      <c r="DV120" s="50"/>
      <c r="DW120" s="50"/>
      <c r="DX120" s="50"/>
      <c r="DY120" s="50"/>
      <c r="DZ120" s="50"/>
      <c r="EA120" s="50"/>
      <c r="EB120" s="50"/>
      <c r="EC120" s="50"/>
      <c r="ED120" s="50"/>
      <c r="EE120" s="50"/>
      <c r="EF120" s="50"/>
      <c r="EG120" s="50"/>
      <c r="EH120" s="50"/>
      <c r="EI120" s="50"/>
      <c r="EJ120" s="50"/>
      <c r="EK120" s="50"/>
      <c r="EL120" s="50"/>
      <c r="EM120" s="50"/>
      <c r="EN120" s="50"/>
      <c r="EO120" s="50"/>
      <c r="EP120" s="50"/>
      <c r="EQ120" s="50"/>
      <c r="ER120" s="50"/>
      <c r="ET120" s="55">
        <f t="shared" si="5"/>
        <v>3</v>
      </c>
    </row>
    <row r="121" spans="1:150" s="5" customFormat="1" ht="16" customHeight="1" x14ac:dyDescent="0.2">
      <c r="A121" s="5">
        <v>61</v>
      </c>
      <c r="B121" s="8" t="s">
        <v>297</v>
      </c>
      <c r="C121" s="8" t="s">
        <v>312</v>
      </c>
      <c r="D121" s="5">
        <v>95</v>
      </c>
      <c r="E121" s="5" t="s">
        <v>313</v>
      </c>
      <c r="F121" s="21" t="s">
        <v>314</v>
      </c>
      <c r="G121" s="21">
        <v>120</v>
      </c>
      <c r="H121" s="5">
        <f t="shared" si="3"/>
        <v>61095</v>
      </c>
      <c r="I121" t="s">
        <v>1143</v>
      </c>
      <c r="J121">
        <v>170</v>
      </c>
      <c r="K121">
        <v>240</v>
      </c>
      <c r="L121">
        <v>209</v>
      </c>
      <c r="M121" s="6">
        <v>255</v>
      </c>
      <c r="N121" s="6" t="str">
        <f t="shared" si="4"/>
        <v>120: (170, 240, 209, 255, Vegetation damage (prolonged snow cover): 61095),</v>
      </c>
      <c r="O121" s="5" t="str">
        <f>VLOOKUP(Australia!B121,Impacts!$A$2:$B$80,2, FALSE)</f>
        <v>Physical harm that impairs the value, usefulness, or normal function of plants or plant communities.</v>
      </c>
      <c r="P121" s="5" t="str">
        <f>VLOOKUP(E121,Pressures!$A$2:$B$145,2,FALSE)</f>
        <v>Cumulative gain of snow cover over extended periods.</v>
      </c>
      <c r="V121" s="29">
        <v>111111</v>
      </c>
      <c r="W121" s="29">
        <v>112112</v>
      </c>
      <c r="X121" s="29">
        <v>123123</v>
      </c>
      <c r="Y121" s="29">
        <v>124124</v>
      </c>
      <c r="AU121" s="31">
        <v>11</v>
      </c>
      <c r="AV121" s="31">
        <v>22</v>
      </c>
      <c r="AW121" s="5">
        <v>0</v>
      </c>
      <c r="AX121" s="5">
        <v>0</v>
      </c>
      <c r="AZ121" s="5">
        <v>1</v>
      </c>
      <c r="BA121" s="5">
        <v>2</v>
      </c>
      <c r="BB121" s="5">
        <v>3</v>
      </c>
      <c r="BD121" s="7">
        <v>111111</v>
      </c>
      <c r="BE121" s="7">
        <v>112112</v>
      </c>
      <c r="BF121" s="7">
        <v>123123</v>
      </c>
      <c r="BG121" s="7">
        <v>124124</v>
      </c>
      <c r="BV121" s="5">
        <v>22</v>
      </c>
      <c r="BX121" s="5" t="s">
        <v>717</v>
      </c>
      <c r="CB121" s="45">
        <v>1012</v>
      </c>
      <c r="CC121" s="45">
        <v>1013</v>
      </c>
      <c r="CD121" s="45">
        <v>1015</v>
      </c>
      <c r="CE121" s="45">
        <v>1016</v>
      </c>
      <c r="CF121" s="45">
        <v>1213</v>
      </c>
      <c r="CG121" s="45">
        <v>1215</v>
      </c>
      <c r="CH121" s="46">
        <v>1216</v>
      </c>
      <c r="CI121" s="46">
        <v>1315</v>
      </c>
      <c r="CJ121" s="46">
        <v>1316</v>
      </c>
      <c r="CK121" s="46">
        <v>1516</v>
      </c>
      <c r="DK121" s="8"/>
      <c r="DL121" s="8"/>
      <c r="DM121" s="8"/>
      <c r="DN121" s="8"/>
      <c r="DO121" s="50"/>
      <c r="DP121" s="50"/>
      <c r="DQ121" s="50"/>
      <c r="DR121" s="50"/>
      <c r="DS121" s="50"/>
      <c r="DT121" s="50"/>
      <c r="DU121" s="50">
        <v>1</v>
      </c>
      <c r="DV121" s="50"/>
      <c r="DW121" s="50"/>
      <c r="DX121" s="50"/>
      <c r="DY121" s="50"/>
      <c r="DZ121" s="50"/>
      <c r="EA121" s="50"/>
      <c r="EB121" s="50"/>
      <c r="EC121" s="50"/>
      <c r="ED121" s="50"/>
      <c r="EE121" s="50"/>
      <c r="EF121" s="50"/>
      <c r="EG121" s="50"/>
      <c r="EH121" s="50"/>
      <c r="EI121" s="50"/>
      <c r="EJ121" s="50"/>
      <c r="EK121" s="50"/>
      <c r="EL121" s="50"/>
      <c r="EM121" s="50"/>
      <c r="EN121" s="50"/>
      <c r="EO121" s="50"/>
      <c r="EP121" s="50"/>
      <c r="EQ121" s="50"/>
      <c r="ER121" s="50"/>
      <c r="ET121" s="55">
        <f t="shared" si="5"/>
        <v>1</v>
      </c>
    </row>
    <row r="122" spans="1:150" s="5" customFormat="1" ht="16" customHeight="1" x14ac:dyDescent="0.2">
      <c r="A122" s="5">
        <v>61</v>
      </c>
      <c r="B122" s="8" t="s">
        <v>297</v>
      </c>
      <c r="C122" s="8" t="s">
        <v>315</v>
      </c>
      <c r="D122" s="5">
        <v>114</v>
      </c>
      <c r="E122" s="5" t="s">
        <v>316</v>
      </c>
      <c r="F122" s="21" t="s">
        <v>317</v>
      </c>
      <c r="G122" s="21">
        <v>121</v>
      </c>
      <c r="H122" s="5">
        <f t="shared" si="3"/>
        <v>61114</v>
      </c>
      <c r="I122" t="s">
        <v>1144</v>
      </c>
      <c r="J122">
        <v>255</v>
      </c>
      <c r="K122">
        <v>69</v>
      </c>
      <c r="L122">
        <v>0</v>
      </c>
      <c r="M122" s="6">
        <v>255</v>
      </c>
      <c r="N122" s="6" t="str">
        <f t="shared" si="4"/>
        <v>121: (255, 69, 0, 255, Vegetation damage (severe thunderstorm): 61114),</v>
      </c>
      <c r="O122" s="5" t="str">
        <f>VLOOKUP(Australia!B122,Impacts!$A$2:$B$80,2, FALSE)</f>
        <v>Physical harm that impairs the value, usefulness, or normal function of plants or plant communities.</v>
      </c>
      <c r="P122" s="5" t="str">
        <f>VLOOKUP(E122,Pressures!$A$2:$B$145,2,FALSE)</f>
        <v>A rain-bearing cloud that also produces lightning and hail one inch or larger in diameter and/or winds equal or exceed 58 miles an hour.</v>
      </c>
      <c r="V122" s="29">
        <v>111111</v>
      </c>
      <c r="W122" s="29">
        <v>112112</v>
      </c>
      <c r="X122" s="29">
        <v>123123</v>
      </c>
      <c r="Y122" s="29">
        <v>124124</v>
      </c>
      <c r="AU122" s="31">
        <v>11</v>
      </c>
      <c r="AV122" s="31">
        <v>22</v>
      </c>
      <c r="AW122" s="5">
        <v>0</v>
      </c>
      <c r="AX122" s="5">
        <v>0</v>
      </c>
      <c r="AZ122" s="5">
        <v>1</v>
      </c>
      <c r="BA122" s="5">
        <v>2</v>
      </c>
      <c r="BB122" s="5">
        <v>3</v>
      </c>
      <c r="BD122" s="7">
        <v>111111</v>
      </c>
      <c r="BE122" s="7">
        <v>112112</v>
      </c>
      <c r="BF122" s="7">
        <v>123123</v>
      </c>
      <c r="BG122" s="7">
        <v>124124</v>
      </c>
      <c r="BV122" s="5">
        <v>22</v>
      </c>
      <c r="BX122" s="5" t="s">
        <v>717</v>
      </c>
      <c r="CB122" s="45">
        <v>1012</v>
      </c>
      <c r="CC122" s="45">
        <v>1013</v>
      </c>
      <c r="CD122" s="45">
        <v>1015</v>
      </c>
      <c r="CE122" s="45">
        <v>1016</v>
      </c>
      <c r="CF122" s="45">
        <v>1213</v>
      </c>
      <c r="CG122" s="45">
        <v>1215</v>
      </c>
      <c r="CH122" s="46">
        <v>1216</v>
      </c>
      <c r="CI122" s="46">
        <v>1315</v>
      </c>
      <c r="CJ122" s="46">
        <v>1316</v>
      </c>
      <c r="CK122" s="46">
        <v>1516</v>
      </c>
      <c r="DK122" s="8"/>
      <c r="DL122" s="8"/>
      <c r="DM122" s="8"/>
      <c r="DN122" s="8"/>
      <c r="DO122" s="50"/>
      <c r="DP122" s="50"/>
      <c r="DQ122" s="50"/>
      <c r="DR122" s="50"/>
      <c r="DS122" s="50"/>
      <c r="DT122" s="50"/>
      <c r="DU122" s="50"/>
      <c r="DV122" s="50"/>
      <c r="DW122" s="50"/>
      <c r="DX122" s="50"/>
      <c r="DY122" s="50"/>
      <c r="DZ122" s="50"/>
      <c r="EA122" s="50"/>
      <c r="EB122" s="50"/>
      <c r="EC122" s="50"/>
      <c r="ED122" s="50">
        <v>1</v>
      </c>
      <c r="EE122" s="50"/>
      <c r="EF122" s="50"/>
      <c r="EG122" s="50"/>
      <c r="EH122" s="50"/>
      <c r="EI122" s="50"/>
      <c r="EJ122" s="50"/>
      <c r="EK122" s="50"/>
      <c r="EL122" s="50"/>
      <c r="EM122" s="50"/>
      <c r="EN122" s="50"/>
      <c r="EO122" s="50"/>
      <c r="EP122" s="50"/>
      <c r="EQ122" s="50"/>
      <c r="ER122" s="50"/>
      <c r="ET122" s="55">
        <f t="shared" si="5"/>
        <v>1</v>
      </c>
    </row>
    <row r="123" spans="1:150" s="5" customFormat="1" ht="16" customHeight="1" x14ac:dyDescent="0.2">
      <c r="A123" s="5">
        <v>61</v>
      </c>
      <c r="B123" s="8" t="s">
        <v>297</v>
      </c>
      <c r="C123" s="8" t="s">
        <v>109</v>
      </c>
      <c r="D123" s="5">
        <v>120</v>
      </c>
      <c r="E123" s="5" t="s">
        <v>110</v>
      </c>
      <c r="F123" s="21" t="s">
        <v>318</v>
      </c>
      <c r="G123" s="21">
        <v>122</v>
      </c>
      <c r="H123" s="5">
        <f t="shared" si="3"/>
        <v>61120</v>
      </c>
      <c r="I123" t="s">
        <v>1145</v>
      </c>
      <c r="J123">
        <v>255</v>
      </c>
      <c r="K123">
        <v>228</v>
      </c>
      <c r="L123">
        <v>225</v>
      </c>
      <c r="M123" s="6">
        <v>255</v>
      </c>
      <c r="N123" s="6" t="str">
        <f t="shared" si="4"/>
        <v>122: (255, 228, 225, 255, Vegetation damage (strong winds): 61120),</v>
      </c>
      <c r="O123" s="5" t="str">
        <f>VLOOKUP(Australia!B123,Impacts!$A$2:$B$80,2, FALSE)</f>
        <v>Physical harm that impairs the value, usefulness, or normal function of plants or plant communities.</v>
      </c>
      <c r="P123" s="5" t="str">
        <f>VLOOKUP(E123,Pressures!$A$2:$B$145,2,FALSE)</f>
        <v>A prolonged period of average wind speeds exceeding 40km/h during the day.</v>
      </c>
      <c r="V123" s="29">
        <v>111111</v>
      </c>
      <c r="W123" s="29">
        <v>112112</v>
      </c>
      <c r="X123" s="29">
        <v>123123</v>
      </c>
      <c r="Y123" s="29">
        <v>124124</v>
      </c>
      <c r="AU123" s="31">
        <v>11</v>
      </c>
      <c r="AV123" s="31">
        <v>22</v>
      </c>
      <c r="AW123" s="5">
        <v>0</v>
      </c>
      <c r="AX123" s="5">
        <v>0</v>
      </c>
      <c r="AZ123" s="5">
        <v>1</v>
      </c>
      <c r="BA123" s="5">
        <v>2</v>
      </c>
      <c r="BB123" s="5">
        <v>3</v>
      </c>
      <c r="BD123" s="7">
        <v>111111</v>
      </c>
      <c r="BE123" s="7">
        <v>112112</v>
      </c>
      <c r="BF123" s="7">
        <v>123123</v>
      </c>
      <c r="BG123" s="7">
        <v>124124</v>
      </c>
      <c r="BV123" s="5">
        <v>22</v>
      </c>
      <c r="BX123" s="5" t="s">
        <v>714</v>
      </c>
      <c r="BY123" s="5" t="s">
        <v>714</v>
      </c>
      <c r="CB123" s="45">
        <v>1012</v>
      </c>
      <c r="CC123" s="45">
        <v>1013</v>
      </c>
      <c r="CD123" s="45">
        <v>1015</v>
      </c>
      <c r="CE123" s="45">
        <v>1016</v>
      </c>
      <c r="CF123" s="45">
        <v>1213</v>
      </c>
      <c r="CG123" s="45">
        <v>1215</v>
      </c>
      <c r="CH123" s="46">
        <v>1216</v>
      </c>
      <c r="CI123" s="46">
        <v>1315</v>
      </c>
      <c r="CJ123" s="46">
        <v>1316</v>
      </c>
      <c r="CK123" s="46">
        <v>1516</v>
      </c>
      <c r="DK123" s="8"/>
      <c r="DL123" s="8"/>
      <c r="DM123" s="8"/>
      <c r="DN123" s="8"/>
      <c r="DO123" s="50"/>
      <c r="DP123" s="50"/>
      <c r="DQ123" s="50"/>
      <c r="DR123" s="50"/>
      <c r="DS123" s="50"/>
      <c r="DT123" s="50"/>
      <c r="DU123" s="50"/>
      <c r="DV123" s="50"/>
      <c r="DW123" s="50"/>
      <c r="DX123" s="50"/>
      <c r="DY123" s="50"/>
      <c r="DZ123" s="50"/>
      <c r="EA123" s="50"/>
      <c r="EB123" s="50"/>
      <c r="EC123" s="50">
        <v>1</v>
      </c>
      <c r="ED123" s="50"/>
      <c r="EE123" s="50"/>
      <c r="EF123" s="50"/>
      <c r="EG123" s="50"/>
      <c r="EH123" s="50"/>
      <c r="EI123" s="50"/>
      <c r="EJ123" s="50"/>
      <c r="EK123" s="50"/>
      <c r="EL123" s="50"/>
      <c r="EM123" s="50"/>
      <c r="EN123" s="50"/>
      <c r="EO123" s="50"/>
      <c r="EP123" s="50"/>
      <c r="EQ123" s="50"/>
      <c r="ER123" s="50"/>
      <c r="ET123" s="55">
        <f t="shared" si="5"/>
        <v>1</v>
      </c>
    </row>
    <row r="124" spans="1:150" s="5" customFormat="1" ht="16" customHeight="1" x14ac:dyDescent="0.2">
      <c r="A124" s="5">
        <v>62</v>
      </c>
      <c r="B124" s="8" t="s">
        <v>319</v>
      </c>
      <c r="C124" s="8" t="s">
        <v>320</v>
      </c>
      <c r="D124" s="5">
        <v>6</v>
      </c>
      <c r="E124" s="5" t="s">
        <v>321</v>
      </c>
      <c r="F124" s="21" t="s">
        <v>322</v>
      </c>
      <c r="G124" s="21">
        <v>123</v>
      </c>
      <c r="H124" s="5">
        <f t="shared" si="3"/>
        <v>62006</v>
      </c>
      <c r="I124" t="s">
        <v>1146</v>
      </c>
      <c r="J124">
        <v>128</v>
      </c>
      <c r="K124">
        <v>255</v>
      </c>
      <c r="L124">
        <v>159</v>
      </c>
      <c r="M124" s="6">
        <v>255</v>
      </c>
      <c r="N124" s="6" t="str">
        <f t="shared" si="4"/>
        <v>123: (128, 255, 159, 255, Vegetation dieback (anchoring): 62006),</v>
      </c>
      <c r="O124" s="5" t="str">
        <f>VLOOKUP(Australia!B124,Impacts!$A$2:$B$80,2, FALSE)</f>
        <v>Mortality of all or part of plant components, either sinularly or en masse.</v>
      </c>
      <c r="P124" s="5" t="str">
        <f>VLOOKUP(E124,Pressures!$A$2:$B$145,2,FALSE)</f>
        <v>Securing a boat firmly to the seabed using an anchor.</v>
      </c>
      <c r="V124" s="29" t="s">
        <v>713</v>
      </c>
      <c r="W124" s="29" t="s">
        <v>713</v>
      </c>
      <c r="X124" s="29">
        <v>123123</v>
      </c>
      <c r="Y124" s="29">
        <v>124124</v>
      </c>
      <c r="AU124" s="31">
        <v>11</v>
      </c>
      <c r="AV124" s="31">
        <v>22</v>
      </c>
      <c r="AW124" s="5">
        <v>0</v>
      </c>
      <c r="AX124" s="5">
        <v>0</v>
      </c>
      <c r="AZ124" s="5">
        <v>1</v>
      </c>
      <c r="BA124" s="5">
        <v>2</v>
      </c>
      <c r="BB124" s="5">
        <v>3</v>
      </c>
      <c r="BD124" s="7">
        <v>111111</v>
      </c>
      <c r="BE124" s="7">
        <v>112112</v>
      </c>
      <c r="BF124" s="7">
        <v>123123</v>
      </c>
      <c r="BG124" s="7">
        <v>124124</v>
      </c>
      <c r="BV124" s="5">
        <v>22</v>
      </c>
      <c r="BX124" s="5" t="s">
        <v>717</v>
      </c>
      <c r="CB124" s="45">
        <v>1012</v>
      </c>
      <c r="CC124" s="45">
        <v>1013</v>
      </c>
      <c r="CD124" s="45">
        <v>1015</v>
      </c>
      <c r="CE124" s="45">
        <v>1016</v>
      </c>
      <c r="CF124" s="45">
        <v>1213</v>
      </c>
      <c r="CG124" s="45">
        <v>1215</v>
      </c>
      <c r="CH124" s="46">
        <v>1216</v>
      </c>
      <c r="CI124" s="46">
        <v>1315</v>
      </c>
      <c r="CJ124" s="46">
        <v>1316</v>
      </c>
      <c r="CK124" s="46">
        <v>1516</v>
      </c>
      <c r="DK124" s="8"/>
      <c r="DL124" s="8"/>
      <c r="DM124" s="8"/>
      <c r="DN124" s="8"/>
      <c r="DO124" s="50"/>
      <c r="DP124" s="50"/>
      <c r="DQ124" s="50"/>
      <c r="DR124" s="50"/>
      <c r="DS124" s="50"/>
      <c r="DT124" s="50"/>
      <c r="DU124" s="50"/>
      <c r="DV124" s="50"/>
      <c r="DW124" s="50"/>
      <c r="DX124" s="50"/>
      <c r="DY124" s="50"/>
      <c r="DZ124" s="50"/>
      <c r="EA124" s="50"/>
      <c r="EB124" s="50"/>
      <c r="EC124" s="50"/>
      <c r="ED124" s="50"/>
      <c r="EE124" s="50"/>
      <c r="EF124" s="50"/>
      <c r="EG124" s="50"/>
      <c r="EH124" s="50"/>
      <c r="EI124" s="50"/>
      <c r="EJ124" s="50"/>
      <c r="EK124" s="50"/>
      <c r="EL124" s="50"/>
      <c r="EM124" s="50"/>
      <c r="EN124" s="50"/>
      <c r="EO124" s="50"/>
      <c r="EP124" s="50"/>
      <c r="EQ124" s="50">
        <v>1</v>
      </c>
      <c r="ER124" s="50"/>
      <c r="ET124" s="55">
        <f t="shared" si="5"/>
        <v>1</v>
      </c>
    </row>
    <row r="125" spans="1:150" s="5" customFormat="1" ht="16" customHeight="1" x14ac:dyDescent="0.2">
      <c r="A125" s="5">
        <v>62</v>
      </c>
      <c r="B125" s="8" t="s">
        <v>319</v>
      </c>
      <c r="C125" s="8" t="s">
        <v>323</v>
      </c>
      <c r="D125" s="5">
        <v>14</v>
      </c>
      <c r="E125" s="5" t="s">
        <v>324</v>
      </c>
      <c r="F125" s="21" t="s">
        <v>325</v>
      </c>
      <c r="G125" s="21">
        <v>124</v>
      </c>
      <c r="H125" s="5">
        <f t="shared" si="3"/>
        <v>62014</v>
      </c>
      <c r="I125" t="s">
        <v>1147</v>
      </c>
      <c r="J125">
        <v>64</v>
      </c>
      <c r="K125">
        <v>224</v>
      </c>
      <c r="L125">
        <v>208</v>
      </c>
      <c r="M125" s="6">
        <v>255</v>
      </c>
      <c r="N125" s="6" t="str">
        <f t="shared" si="4"/>
        <v>124: (64, 224, 208, 255, Vegetation dieback (cold snap): 62014),</v>
      </c>
      <c r="O125" s="5" t="str">
        <f>VLOOKUP(Australia!B125,Impacts!$A$2:$B$80,2, FALSE)</f>
        <v>Mortality of all or part of plant components, either sinularly or en masse.</v>
      </c>
      <c r="P125" s="5" t="str">
        <f>VLOOKUP(E125,Pressures!$A$2:$B$145,2,FALSE)</f>
        <v>Below-average temperature of the land surface, inland waters or oceans.</v>
      </c>
      <c r="V125" s="29">
        <v>111111</v>
      </c>
      <c r="W125" s="29">
        <v>112112</v>
      </c>
      <c r="X125" s="29">
        <v>123123</v>
      </c>
      <c r="Y125" s="29">
        <v>124124</v>
      </c>
      <c r="AU125" s="31">
        <v>11</v>
      </c>
      <c r="AV125" s="31">
        <v>22</v>
      </c>
      <c r="AW125" s="5">
        <v>0</v>
      </c>
      <c r="AX125" s="5">
        <v>0</v>
      </c>
      <c r="AZ125" s="5">
        <v>1</v>
      </c>
      <c r="BA125" s="5">
        <v>2</v>
      </c>
      <c r="BB125" s="5">
        <v>3</v>
      </c>
      <c r="BD125" s="7">
        <v>111111</v>
      </c>
      <c r="BE125" s="7">
        <v>112112</v>
      </c>
      <c r="BF125" s="7">
        <v>123123</v>
      </c>
      <c r="BG125" s="7">
        <v>124124</v>
      </c>
      <c r="BV125" s="5">
        <v>22</v>
      </c>
      <c r="BX125" s="5" t="s">
        <v>714</v>
      </c>
      <c r="CB125" s="45">
        <v>1012</v>
      </c>
      <c r="CC125" s="45">
        <v>1013</v>
      </c>
      <c r="CD125" s="45">
        <v>1015</v>
      </c>
      <c r="CE125" s="45">
        <v>1016</v>
      </c>
      <c r="CF125" s="45">
        <v>1213</v>
      </c>
      <c r="CG125" s="45">
        <v>1215</v>
      </c>
      <c r="CH125" s="46">
        <v>1216</v>
      </c>
      <c r="CI125" s="46">
        <v>1315</v>
      </c>
      <c r="CJ125" s="46">
        <v>1316</v>
      </c>
      <c r="CK125" s="46">
        <v>1516</v>
      </c>
      <c r="DK125" s="8"/>
      <c r="DL125" s="8"/>
      <c r="DM125" s="8"/>
      <c r="DN125" s="8"/>
      <c r="DO125" s="50"/>
      <c r="DP125" s="50"/>
      <c r="DQ125" s="50"/>
      <c r="DR125" s="50"/>
      <c r="DS125" s="50"/>
      <c r="DT125" s="50"/>
      <c r="DU125" s="50"/>
      <c r="DV125" s="50"/>
      <c r="DW125" s="50"/>
      <c r="DX125" s="50"/>
      <c r="DY125" s="50"/>
      <c r="DZ125" s="50">
        <v>1</v>
      </c>
      <c r="EA125" s="50"/>
      <c r="EB125" s="50"/>
      <c r="EC125" s="50"/>
      <c r="ED125" s="50"/>
      <c r="EE125" s="50"/>
      <c r="EF125" s="50"/>
      <c r="EG125" s="50"/>
      <c r="EH125" s="50"/>
      <c r="EI125" s="50"/>
      <c r="EJ125" s="50"/>
      <c r="EK125" s="50"/>
      <c r="EL125" s="50"/>
      <c r="EM125" s="50"/>
      <c r="EN125" s="50"/>
      <c r="EO125" s="50"/>
      <c r="EP125" s="50"/>
      <c r="EQ125" s="50"/>
      <c r="ER125" s="50"/>
      <c r="ET125" s="55">
        <f t="shared" si="5"/>
        <v>1</v>
      </c>
    </row>
    <row r="126" spans="1:150" s="5" customFormat="1" ht="16" customHeight="1" x14ac:dyDescent="0.2">
      <c r="A126" s="5">
        <v>62</v>
      </c>
      <c r="B126" s="8" t="s">
        <v>319</v>
      </c>
      <c r="C126" s="8" t="s">
        <v>89</v>
      </c>
      <c r="D126" s="5">
        <v>30</v>
      </c>
      <c r="E126" s="5" t="s">
        <v>90</v>
      </c>
      <c r="F126" s="21" t="s">
        <v>326</v>
      </c>
      <c r="G126" s="21">
        <v>125</v>
      </c>
      <c r="H126" s="5">
        <f t="shared" si="3"/>
        <v>62030</v>
      </c>
      <c r="I126" t="s">
        <v>1148</v>
      </c>
      <c r="J126">
        <v>234</v>
      </c>
      <c r="K126">
        <v>215</v>
      </c>
      <c r="L126">
        <v>160</v>
      </c>
      <c r="M126" s="6">
        <v>255</v>
      </c>
      <c r="N126" s="6" t="str">
        <f t="shared" si="4"/>
        <v>125: (234, 215, 160, 255, Vegetation dieback (drought): 62030),</v>
      </c>
      <c r="O126" s="5" t="str">
        <f>VLOOKUP(Australia!B126,Impacts!$A$2:$B$80,2, FALSE)</f>
        <v>Mortality of all or part of plant components, either sinularly or en masse.</v>
      </c>
      <c r="P126" s="5" t="str">
        <f>VLOOKUP(E126,Pressures!$A$2:$B$145,2,FALSE)</f>
        <v>Areas considered to be suffering from a serious or severe rainfall deficiency.</v>
      </c>
      <c r="V126" s="29">
        <v>111111</v>
      </c>
      <c r="W126" s="29">
        <v>112112</v>
      </c>
      <c r="X126" s="29">
        <v>123123</v>
      </c>
      <c r="Y126" s="29">
        <v>124124</v>
      </c>
      <c r="AU126" s="31">
        <v>11</v>
      </c>
      <c r="AV126" s="31">
        <v>22</v>
      </c>
      <c r="AX126" s="5">
        <v>0</v>
      </c>
      <c r="BD126" s="7">
        <v>111111</v>
      </c>
      <c r="BE126" s="7">
        <v>112112</v>
      </c>
      <c r="BF126" s="7">
        <v>123123</v>
      </c>
      <c r="BG126" s="7">
        <v>124124</v>
      </c>
      <c r="BV126" s="5">
        <v>22</v>
      </c>
      <c r="BX126" s="5" t="s">
        <v>714</v>
      </c>
      <c r="BZ126" s="31">
        <v>12</v>
      </c>
      <c r="CB126" s="45">
        <v>1012</v>
      </c>
      <c r="CC126" s="45">
        <v>1013</v>
      </c>
      <c r="CD126" s="45">
        <v>1015</v>
      </c>
      <c r="CE126" s="45">
        <v>1016</v>
      </c>
      <c r="CF126" s="45">
        <v>1213</v>
      </c>
      <c r="CG126" s="45">
        <v>1215</v>
      </c>
      <c r="CH126" s="46">
        <v>1216</v>
      </c>
      <c r="CI126" s="46">
        <v>1315</v>
      </c>
      <c r="CJ126" s="46">
        <v>1316</v>
      </c>
      <c r="CK126" s="46">
        <v>1516</v>
      </c>
      <c r="DK126" s="8"/>
      <c r="DL126" s="8"/>
      <c r="DM126" s="8"/>
      <c r="DN126" s="8"/>
      <c r="DO126" s="50"/>
      <c r="DP126" s="50"/>
      <c r="DQ126" s="50"/>
      <c r="DR126" s="50"/>
      <c r="DS126" s="50"/>
      <c r="DT126" s="50"/>
      <c r="DU126" s="50"/>
      <c r="DV126" s="50"/>
      <c r="DW126" s="50"/>
      <c r="DX126" s="50"/>
      <c r="DY126" s="50"/>
      <c r="DZ126" s="50"/>
      <c r="EA126" s="50"/>
      <c r="EB126" s="50">
        <v>1</v>
      </c>
      <c r="EC126" s="50"/>
      <c r="ED126" s="50"/>
      <c r="EE126" s="50"/>
      <c r="EF126" s="50"/>
      <c r="EG126" s="50"/>
      <c r="EH126" s="50"/>
      <c r="EI126" s="50"/>
      <c r="EJ126" s="50"/>
      <c r="EK126" s="50"/>
      <c r="EL126" s="50"/>
      <c r="EM126" s="50"/>
      <c r="EN126" s="50"/>
      <c r="EO126" s="50"/>
      <c r="EP126" s="50"/>
      <c r="EQ126" s="50"/>
      <c r="ER126" s="50"/>
      <c r="ET126" s="55">
        <f t="shared" si="5"/>
        <v>1</v>
      </c>
    </row>
    <row r="127" spans="1:150" s="5" customFormat="1" ht="16" customHeight="1" x14ac:dyDescent="0.2">
      <c r="A127" s="5">
        <v>62</v>
      </c>
      <c r="B127" s="8" t="s">
        <v>319</v>
      </c>
      <c r="C127" s="8" t="s">
        <v>327</v>
      </c>
      <c r="D127" s="5">
        <v>56</v>
      </c>
      <c r="E127" s="5" t="s">
        <v>328</v>
      </c>
      <c r="F127" s="21" t="s">
        <v>329</v>
      </c>
      <c r="G127" s="21">
        <v>126</v>
      </c>
      <c r="H127" s="5">
        <f t="shared" si="3"/>
        <v>62056</v>
      </c>
      <c r="I127" t="s">
        <v>1149</v>
      </c>
      <c r="J127">
        <v>255</v>
      </c>
      <c r="K127">
        <v>215</v>
      </c>
      <c r="L127">
        <v>0</v>
      </c>
      <c r="M127" s="6">
        <v>255</v>
      </c>
      <c r="N127" s="6" t="str">
        <f t="shared" si="4"/>
        <v>126: (255, 215, 0, 255, Vegetation dieback (heatwave): 62056),</v>
      </c>
      <c r="O127" s="5" t="str">
        <f>VLOOKUP(Australia!B127,Impacts!$A$2:$B$80,2, FALSE)</f>
        <v>Mortality of all or part of plant components, either sinularly or en masse.</v>
      </c>
      <c r="P127" s="5" t="str">
        <f>VLOOKUP(E127,Pressures!$A$2:$B$145,2,FALSE)</f>
        <v>Above-average temperature of the land surface, inland waters or oceans.</v>
      </c>
      <c r="V127" s="29">
        <v>111111</v>
      </c>
      <c r="W127" s="29">
        <v>112112</v>
      </c>
      <c r="X127" s="29">
        <v>123123</v>
      </c>
      <c r="Y127" s="29">
        <v>124124</v>
      </c>
      <c r="AU127" s="31">
        <v>11</v>
      </c>
      <c r="AV127" s="31">
        <v>22</v>
      </c>
      <c r="AW127" s="8">
        <v>0</v>
      </c>
      <c r="AX127" s="8">
        <v>0</v>
      </c>
      <c r="AY127" s="8"/>
      <c r="AZ127" s="8">
        <v>1</v>
      </c>
      <c r="BA127" s="8">
        <v>2</v>
      </c>
      <c r="BB127" s="8">
        <v>3</v>
      </c>
      <c r="BC127" s="8"/>
      <c r="BD127" s="9">
        <v>111112</v>
      </c>
      <c r="BE127" s="8"/>
      <c r="BF127" s="9">
        <v>123124</v>
      </c>
      <c r="BG127" s="8"/>
      <c r="BH127" s="8"/>
      <c r="BI127" s="8"/>
      <c r="BJ127" s="8"/>
      <c r="BK127" s="8"/>
      <c r="BL127" s="8"/>
      <c r="BM127" s="8"/>
      <c r="BN127" s="8"/>
      <c r="BO127" s="8"/>
      <c r="BP127" s="8"/>
      <c r="BQ127" s="8"/>
      <c r="BR127" s="8"/>
      <c r="BS127" s="8"/>
      <c r="BT127" s="8"/>
      <c r="BU127" s="8"/>
      <c r="BV127" s="8"/>
      <c r="BW127" s="8"/>
      <c r="BX127" s="8"/>
      <c r="BY127" s="8"/>
      <c r="CB127" s="45">
        <v>1012</v>
      </c>
      <c r="CC127" s="45">
        <v>1013</v>
      </c>
      <c r="CD127" s="45">
        <v>1015</v>
      </c>
      <c r="CE127" s="45">
        <v>1016</v>
      </c>
      <c r="CF127" s="45">
        <v>1213</v>
      </c>
      <c r="CG127" s="45">
        <v>1215</v>
      </c>
      <c r="CH127" s="46">
        <v>1216</v>
      </c>
      <c r="CI127" s="46">
        <v>1315</v>
      </c>
      <c r="CJ127" s="46">
        <v>1316</v>
      </c>
      <c r="CK127" s="46">
        <v>1516</v>
      </c>
      <c r="DK127" s="8">
        <v>1</v>
      </c>
      <c r="DL127" s="8">
        <v>1</v>
      </c>
      <c r="DM127" s="8"/>
      <c r="DN127" s="8"/>
      <c r="DO127" s="50"/>
      <c r="DP127" s="50"/>
      <c r="DQ127" s="50"/>
      <c r="DR127" s="50"/>
      <c r="DS127" s="50"/>
      <c r="DT127" s="50"/>
      <c r="DU127" s="50"/>
      <c r="DV127" s="50"/>
      <c r="DW127" s="50"/>
      <c r="DX127" s="50"/>
      <c r="DY127" s="50">
        <v>1</v>
      </c>
      <c r="DZ127" s="50"/>
      <c r="EA127" s="50"/>
      <c r="EB127" s="50"/>
      <c r="EC127" s="50"/>
      <c r="ED127" s="50"/>
      <c r="EE127" s="50"/>
      <c r="EF127" s="50"/>
      <c r="EG127" s="50"/>
      <c r="EH127" s="50"/>
      <c r="EI127" s="50"/>
      <c r="EJ127" s="50"/>
      <c r="EK127" s="50"/>
      <c r="EL127" s="50"/>
      <c r="EM127" s="50"/>
      <c r="EN127" s="50"/>
      <c r="EO127" s="50"/>
      <c r="EP127" s="50"/>
      <c r="EQ127" s="50"/>
      <c r="ER127" s="50"/>
      <c r="ET127" s="55">
        <f t="shared" si="5"/>
        <v>1</v>
      </c>
    </row>
    <row r="128" spans="1:150" s="5" customFormat="1" ht="16" customHeight="1" x14ac:dyDescent="0.2">
      <c r="A128" s="5">
        <v>62</v>
      </c>
      <c r="B128" s="8" t="s">
        <v>319</v>
      </c>
      <c r="C128" s="8" t="s">
        <v>45</v>
      </c>
      <c r="D128" s="5">
        <v>66</v>
      </c>
      <c r="E128" s="5" t="s">
        <v>46</v>
      </c>
      <c r="F128" s="21" t="s">
        <v>333</v>
      </c>
      <c r="G128" s="21">
        <v>127</v>
      </c>
      <c r="H128" s="5">
        <f t="shared" si="3"/>
        <v>62066</v>
      </c>
      <c r="I128" t="s">
        <v>1150</v>
      </c>
      <c r="J128">
        <v>196</v>
      </c>
      <c r="K128">
        <v>195</v>
      </c>
      <c r="L128">
        <v>208</v>
      </c>
      <c r="M128" s="6">
        <v>255</v>
      </c>
      <c r="N128" s="6" t="str">
        <f t="shared" si="4"/>
        <v>127: (196, 195, 208, 255, Vegetation dieback (increased wind): 62066),</v>
      </c>
      <c r="O128" s="5" t="str">
        <f>VLOOKUP(Australia!B128,Impacts!$A$2:$B$80,2, FALSE)</f>
        <v>Mortality of all or part of plant components, either sinularly or en masse.</v>
      </c>
      <c r="P128" s="5" t="str">
        <f>VLOOKUP(E128,Pressures!$A$2:$B$145,2,FALSE)</f>
        <v>A higher velocity of air movement into an area associated with, for example, cyclones, hurricans, typhoons, tornados, thunderstorms, storms or ice storms.</v>
      </c>
      <c r="V128" s="29">
        <v>111111</v>
      </c>
      <c r="W128" s="29">
        <v>112112</v>
      </c>
      <c r="X128" s="29">
        <v>123123</v>
      </c>
      <c r="Y128" s="29">
        <v>124124</v>
      </c>
      <c r="AU128" s="31">
        <v>11</v>
      </c>
      <c r="AV128" s="31">
        <v>22</v>
      </c>
      <c r="AW128" s="8">
        <v>0</v>
      </c>
      <c r="AX128" s="8">
        <v>0</v>
      </c>
      <c r="AY128" s="8"/>
      <c r="AZ128" s="8">
        <v>1</v>
      </c>
      <c r="BA128" s="8">
        <v>2</v>
      </c>
      <c r="BB128" s="8">
        <v>3</v>
      </c>
      <c r="BC128" s="8"/>
      <c r="BD128" s="8"/>
      <c r="BE128" s="9">
        <v>112112</v>
      </c>
      <c r="BF128" s="9" t="s">
        <v>713</v>
      </c>
      <c r="BG128" s="8"/>
      <c r="BH128" s="8"/>
      <c r="BI128" s="8"/>
      <c r="BJ128" s="8"/>
      <c r="BK128" s="8"/>
      <c r="BL128" s="8"/>
      <c r="BM128" s="8"/>
      <c r="BN128" s="8"/>
      <c r="BO128" s="8"/>
      <c r="BP128" s="8"/>
      <c r="BQ128" s="8"/>
      <c r="BR128" s="8"/>
      <c r="BS128" s="8"/>
      <c r="BT128" s="8"/>
      <c r="BU128" s="8"/>
      <c r="BV128" s="8"/>
      <c r="BW128" s="8"/>
      <c r="BX128" s="8" t="s">
        <v>715</v>
      </c>
      <c r="BY128" s="8" t="s">
        <v>715</v>
      </c>
      <c r="CB128" s="45">
        <v>1012</v>
      </c>
      <c r="CC128" s="45">
        <v>1013</v>
      </c>
      <c r="CD128" s="45">
        <v>1015</v>
      </c>
      <c r="CE128" s="45">
        <v>1016</v>
      </c>
      <c r="CF128" s="45">
        <v>1213</v>
      </c>
      <c r="CG128" s="45">
        <v>1215</v>
      </c>
      <c r="CH128" s="46">
        <v>1216</v>
      </c>
      <c r="CI128" s="46">
        <v>1315</v>
      </c>
      <c r="CJ128" s="46">
        <v>1316</v>
      </c>
      <c r="CK128" s="46">
        <v>1516</v>
      </c>
      <c r="DK128" s="8">
        <v>1</v>
      </c>
      <c r="DL128" s="8">
        <v>1</v>
      </c>
      <c r="DM128" s="8"/>
      <c r="DN128" s="8"/>
      <c r="DO128" s="50"/>
      <c r="DP128" s="50"/>
      <c r="DQ128" s="50"/>
      <c r="DR128" s="50"/>
      <c r="DS128" s="50"/>
      <c r="DT128" s="50"/>
      <c r="DU128" s="50"/>
      <c r="DV128" s="50"/>
      <c r="DW128" s="50"/>
      <c r="DX128" s="50"/>
      <c r="DY128" s="50"/>
      <c r="DZ128" s="50"/>
      <c r="EA128" s="50"/>
      <c r="EB128" s="50"/>
      <c r="EC128" s="50">
        <v>1</v>
      </c>
      <c r="ED128" s="50"/>
      <c r="EE128" s="50"/>
      <c r="EF128" s="50"/>
      <c r="EG128" s="50"/>
      <c r="EH128" s="50"/>
      <c r="EI128" s="50"/>
      <c r="EJ128" s="50"/>
      <c r="EK128" s="50"/>
      <c r="EL128" s="50"/>
      <c r="EM128" s="50"/>
      <c r="EN128" s="50"/>
      <c r="EO128" s="50"/>
      <c r="EP128" s="50"/>
      <c r="EQ128" s="50"/>
      <c r="ER128" s="50"/>
      <c r="ET128" s="55">
        <f t="shared" si="5"/>
        <v>1</v>
      </c>
    </row>
    <row r="129" spans="1:150" s="5" customFormat="1" ht="16" customHeight="1" x14ac:dyDescent="0.2">
      <c r="A129" s="5">
        <v>62</v>
      </c>
      <c r="B129" s="8" t="s">
        <v>319</v>
      </c>
      <c r="C129" s="8" t="s">
        <v>330</v>
      </c>
      <c r="D129" s="5">
        <v>83</v>
      </c>
      <c r="E129" s="5" t="s">
        <v>331</v>
      </c>
      <c r="F129" s="21" t="s">
        <v>332</v>
      </c>
      <c r="G129" s="21">
        <v>128</v>
      </c>
      <c r="H129" s="5">
        <f t="shared" si="3"/>
        <v>62083</v>
      </c>
      <c r="I129" t="s">
        <v>1151</v>
      </c>
      <c r="J129">
        <v>252</v>
      </c>
      <c r="K129">
        <v>108</v>
      </c>
      <c r="L129">
        <v>133</v>
      </c>
      <c r="M129" s="6">
        <v>255</v>
      </c>
      <c r="N129" s="6" t="str">
        <f t="shared" si="4"/>
        <v>128: (252, 108, 133, 255, Vegetation dieback (non-insect herbivory (natural)): 62083),</v>
      </c>
      <c r="O129" s="5" t="str">
        <f>VLOOKUP(Australia!B129,Impacts!$A$2:$B$80,2, FALSE)</f>
        <v>Mortality of all or part of plant components, either sinularly or en masse.</v>
      </c>
      <c r="P129" s="5" t="str">
        <f>VLOOKUP(E129,Pressures!$A$2:$B$145,2,FALSE)</f>
        <v>The feeding on living plant parts by animals excluding insects.</v>
      </c>
      <c r="V129" s="29">
        <v>111111</v>
      </c>
      <c r="W129" s="29">
        <v>112112</v>
      </c>
      <c r="X129" s="29">
        <v>123123</v>
      </c>
      <c r="Y129" s="29">
        <v>124124</v>
      </c>
      <c r="AU129" s="31">
        <v>11</v>
      </c>
      <c r="AV129" s="31">
        <v>22</v>
      </c>
      <c r="AW129" s="8">
        <v>0</v>
      </c>
      <c r="AX129" s="8">
        <v>0</v>
      </c>
      <c r="AY129" s="8"/>
      <c r="AZ129" s="8">
        <v>1</v>
      </c>
      <c r="BA129" s="8">
        <v>2</v>
      </c>
      <c r="BB129" s="8">
        <v>3</v>
      </c>
      <c r="BC129" s="8"/>
      <c r="BD129" s="8"/>
      <c r="BE129" s="9">
        <v>112112</v>
      </c>
      <c r="BF129" s="9" t="s">
        <v>713</v>
      </c>
      <c r="BG129" s="9">
        <v>124124</v>
      </c>
      <c r="BH129" s="8"/>
      <c r="BI129" s="8"/>
      <c r="BJ129" s="8"/>
      <c r="BK129" s="8"/>
      <c r="BL129" s="8"/>
      <c r="BM129" s="8"/>
      <c r="BN129" s="8"/>
      <c r="BO129" s="8"/>
      <c r="BP129" s="8"/>
      <c r="BQ129" s="8"/>
      <c r="BR129" s="8"/>
      <c r="BS129" s="8"/>
      <c r="BT129" s="8"/>
      <c r="BU129" s="8"/>
      <c r="BV129" s="8">
        <v>22</v>
      </c>
      <c r="BW129" s="8"/>
      <c r="BX129" s="8" t="s">
        <v>715</v>
      </c>
      <c r="BY129" s="8" t="s">
        <v>715</v>
      </c>
      <c r="CB129" s="45">
        <v>1012</v>
      </c>
      <c r="CC129" s="45">
        <v>1013</v>
      </c>
      <c r="CD129" s="45">
        <v>1015</v>
      </c>
      <c r="CE129" s="45">
        <v>1016</v>
      </c>
      <c r="CF129" s="45">
        <v>1213</v>
      </c>
      <c r="CG129" s="45">
        <v>1215</v>
      </c>
      <c r="CH129" s="46">
        <v>1216</v>
      </c>
      <c r="CI129" s="46">
        <v>1315</v>
      </c>
      <c r="CJ129" s="46">
        <v>1316</v>
      </c>
      <c r="CK129" s="46">
        <v>1516</v>
      </c>
      <c r="DK129" s="8">
        <v>1</v>
      </c>
      <c r="DL129" s="8">
        <v>1</v>
      </c>
      <c r="DM129" s="8"/>
      <c r="DN129" s="8"/>
      <c r="DO129" s="50"/>
      <c r="DP129" s="50"/>
      <c r="DQ129" s="50"/>
      <c r="DR129" s="50"/>
      <c r="DS129" s="50"/>
      <c r="DT129" s="50"/>
      <c r="DU129" s="50"/>
      <c r="DV129" s="50"/>
      <c r="DW129" s="50"/>
      <c r="DX129" s="50"/>
      <c r="DY129" s="50"/>
      <c r="DZ129" s="50"/>
      <c r="EA129" s="50"/>
      <c r="EB129" s="50"/>
      <c r="EC129" s="50"/>
      <c r="ED129" s="50"/>
      <c r="EE129" s="50"/>
      <c r="EF129" s="50"/>
      <c r="EG129" s="50"/>
      <c r="EH129" s="50"/>
      <c r="EI129" s="50">
        <v>1</v>
      </c>
      <c r="EJ129" s="50"/>
      <c r="EK129" s="50"/>
      <c r="EL129" s="50"/>
      <c r="EM129" s="50"/>
      <c r="EN129" s="50"/>
      <c r="EO129" s="50"/>
      <c r="EP129" s="50"/>
      <c r="EQ129" s="50"/>
      <c r="ER129" s="50"/>
      <c r="ET129" s="55">
        <f t="shared" si="5"/>
        <v>1</v>
      </c>
    </row>
    <row r="130" spans="1:150" s="5" customFormat="1" ht="16" customHeight="1" x14ac:dyDescent="0.2">
      <c r="A130" s="5">
        <v>62</v>
      </c>
      <c r="B130" s="8" t="s">
        <v>319</v>
      </c>
      <c r="C130" s="8" t="s">
        <v>66</v>
      </c>
      <c r="D130" s="5">
        <v>88</v>
      </c>
      <c r="E130" s="5" t="s">
        <v>67</v>
      </c>
      <c r="F130" s="21" t="s">
        <v>334</v>
      </c>
      <c r="G130" s="21">
        <v>129</v>
      </c>
      <c r="H130" s="5">
        <f t="shared" si="3"/>
        <v>62088</v>
      </c>
      <c r="I130" t="s">
        <v>1152</v>
      </c>
      <c r="J130">
        <v>250</v>
      </c>
      <c r="K130">
        <v>235</v>
      </c>
      <c r="L130">
        <v>215</v>
      </c>
      <c r="M130" s="6">
        <v>255</v>
      </c>
      <c r="N130" s="6" t="str">
        <f t="shared" si="4"/>
        <v>129: (250, 235, 215, 255, Vegetation dieback (pathogens): 62088),</v>
      </c>
      <c r="O130" s="5" t="str">
        <f>VLOOKUP(Australia!B130,Impacts!$A$2:$B$80,2, FALSE)</f>
        <v>Mortality of all or part of plant components, either sinularly or en masse.</v>
      </c>
      <c r="P130" s="5" t="str">
        <f>VLOOKUP(E130,Pressures!$A$2:$B$145,2,FALSE)</f>
        <v>Any small organism, such as a virus or a bacterium that can cause disease.</v>
      </c>
      <c r="V130" s="29">
        <v>111111</v>
      </c>
      <c r="W130" s="29">
        <v>112112</v>
      </c>
      <c r="X130" s="29">
        <v>123123</v>
      </c>
      <c r="Y130" s="29">
        <v>124124</v>
      </c>
      <c r="AU130" s="31">
        <v>11</v>
      </c>
      <c r="AV130" s="31">
        <v>22</v>
      </c>
      <c r="AW130" s="8">
        <v>0</v>
      </c>
      <c r="AX130" s="8">
        <v>0</v>
      </c>
      <c r="AY130" s="8"/>
      <c r="AZ130" s="8">
        <v>1</v>
      </c>
      <c r="BA130" s="8">
        <v>2</v>
      </c>
      <c r="BB130" s="8">
        <v>3</v>
      </c>
      <c r="BC130" s="8"/>
      <c r="BD130" s="9">
        <v>111112</v>
      </c>
      <c r="BE130" s="9">
        <v>112112</v>
      </c>
      <c r="BF130" s="9">
        <v>123124</v>
      </c>
      <c r="BG130" s="9">
        <v>124124</v>
      </c>
      <c r="BH130" s="8"/>
      <c r="BI130" s="8"/>
      <c r="BJ130" s="8"/>
      <c r="BK130" s="8"/>
      <c r="BL130" s="8"/>
      <c r="BM130" s="8"/>
      <c r="BN130" s="8"/>
      <c r="BO130" s="8"/>
      <c r="BP130" s="8"/>
      <c r="BQ130" s="8"/>
      <c r="BR130" s="8"/>
      <c r="BS130" s="8"/>
      <c r="BT130" s="8"/>
      <c r="BU130" s="8"/>
      <c r="BV130" s="8">
        <v>21</v>
      </c>
      <c r="BW130" s="8"/>
      <c r="BX130" s="8" t="s">
        <v>715</v>
      </c>
      <c r="BY130" s="8" t="s">
        <v>715</v>
      </c>
      <c r="CB130" s="45">
        <v>1012</v>
      </c>
      <c r="CC130" s="45">
        <v>1013</v>
      </c>
      <c r="CD130" s="45">
        <v>1015</v>
      </c>
      <c r="CE130" s="45">
        <v>1016</v>
      </c>
      <c r="CF130" s="45">
        <v>1213</v>
      </c>
      <c r="CG130" s="45">
        <v>1215</v>
      </c>
      <c r="CH130" s="46">
        <v>1216</v>
      </c>
      <c r="CI130" s="46">
        <v>1315</v>
      </c>
      <c r="CJ130" s="46">
        <v>1316</v>
      </c>
      <c r="CK130" s="46">
        <v>1516</v>
      </c>
      <c r="DK130" s="8"/>
      <c r="DL130" s="8"/>
      <c r="DM130" s="8"/>
      <c r="DN130" s="8"/>
      <c r="DO130" s="50"/>
      <c r="DP130" s="50"/>
      <c r="DQ130" s="50"/>
      <c r="DR130" s="50"/>
      <c r="DS130" s="50"/>
      <c r="DT130" s="50"/>
      <c r="DU130" s="50"/>
      <c r="DV130" s="50"/>
      <c r="DW130" s="50"/>
      <c r="DX130" s="50"/>
      <c r="DY130" s="50"/>
      <c r="DZ130" s="50"/>
      <c r="EA130" s="50"/>
      <c r="EB130" s="50"/>
      <c r="EC130" s="50"/>
      <c r="ED130" s="50"/>
      <c r="EE130" s="50"/>
      <c r="EF130" s="50"/>
      <c r="EG130" s="50"/>
      <c r="EH130" s="50"/>
      <c r="EI130" s="50"/>
      <c r="EJ130" s="50"/>
      <c r="EK130" s="50"/>
      <c r="EL130" s="50"/>
      <c r="EM130" s="50"/>
      <c r="EN130" s="50"/>
      <c r="EO130" s="50">
        <v>1</v>
      </c>
      <c r="EP130" s="50"/>
      <c r="EQ130" s="50"/>
      <c r="ER130" s="50"/>
      <c r="ET130" s="55">
        <f t="shared" si="5"/>
        <v>1</v>
      </c>
    </row>
    <row r="131" spans="1:150" s="5" customFormat="1" ht="16" customHeight="1" x14ac:dyDescent="0.2">
      <c r="A131" s="5">
        <v>62</v>
      </c>
      <c r="B131" s="8" t="s">
        <v>319</v>
      </c>
      <c r="C131" s="8" t="s">
        <v>335</v>
      </c>
      <c r="D131" s="5">
        <v>92</v>
      </c>
      <c r="E131" s="5" t="s">
        <v>336</v>
      </c>
      <c r="F131" s="21" t="s">
        <v>337</v>
      </c>
      <c r="G131" s="21">
        <v>130</v>
      </c>
      <c r="H131" s="5">
        <f t="shared" ref="H131:H194" si="6">(A131*1000)+D131</f>
        <v>62092</v>
      </c>
      <c r="I131" t="s">
        <v>1153</v>
      </c>
      <c r="J131">
        <v>255</v>
      </c>
      <c r="K131">
        <v>53</v>
      </c>
      <c r="L131">
        <v>94</v>
      </c>
      <c r="M131" s="6">
        <v>255</v>
      </c>
      <c r="N131" s="6" t="str">
        <f t="shared" ref="N131:N194" si="7">G131&amp;": ("&amp;J131&amp;", "&amp;K131&amp;", "&amp;L131&amp;", "&amp;M131&amp;", "&amp;F131&amp;": "&amp;H131&amp;"),"</f>
        <v>130: (255, 53, 94, 255, Vegetation dieback (pollution): 62092),</v>
      </c>
      <c r="O131" s="5" t="str">
        <f>VLOOKUP(Australia!B131,Impacts!$A$2:$B$80,2, FALSE)</f>
        <v>Mortality of all or part of plant components, either sinularly or en masse.</v>
      </c>
      <c r="P131" s="5" t="str">
        <f>VLOOKUP(E131,Pressures!$A$2:$B$145,2,FALSE)</f>
        <v xml:space="preserve">Introduction of harmful materials known as pollutants into the environment. </v>
      </c>
      <c r="V131" s="29">
        <v>111111</v>
      </c>
      <c r="W131" s="29">
        <v>112112</v>
      </c>
      <c r="X131" s="29">
        <v>123123</v>
      </c>
      <c r="Y131" s="29">
        <v>124124</v>
      </c>
      <c r="AU131" s="31">
        <v>11</v>
      </c>
      <c r="AV131" s="31">
        <v>22</v>
      </c>
      <c r="AW131" s="8">
        <v>0</v>
      </c>
      <c r="AX131" s="8">
        <v>0</v>
      </c>
      <c r="AY131" s="8"/>
      <c r="AZ131" s="8">
        <v>1</v>
      </c>
      <c r="BA131" s="8">
        <v>2</v>
      </c>
      <c r="BB131" s="8">
        <v>3</v>
      </c>
      <c r="BC131" s="8"/>
      <c r="BD131" s="9">
        <v>111112</v>
      </c>
      <c r="BE131" s="8"/>
      <c r="BF131" s="8"/>
      <c r="BG131" s="8"/>
      <c r="BH131" s="8"/>
      <c r="BI131" s="8"/>
      <c r="BJ131" s="8"/>
      <c r="BK131" s="8"/>
      <c r="BL131" s="8"/>
      <c r="BM131" s="8"/>
      <c r="BN131" s="8"/>
      <c r="BO131" s="8"/>
      <c r="BP131" s="8"/>
      <c r="BQ131" s="8"/>
      <c r="BR131" s="8"/>
      <c r="BS131" s="8"/>
      <c r="BT131" s="8"/>
      <c r="BU131" s="8"/>
      <c r="BV131" s="8"/>
      <c r="BW131" s="8"/>
      <c r="BX131" s="8"/>
      <c r="BY131" s="8"/>
      <c r="CB131" s="45">
        <v>1012</v>
      </c>
      <c r="CC131" s="45">
        <v>1013</v>
      </c>
      <c r="CD131" s="45">
        <v>1015</v>
      </c>
      <c r="CE131" s="45">
        <v>1016</v>
      </c>
      <c r="CF131" s="45">
        <v>1213</v>
      </c>
      <c r="CG131" s="45">
        <v>1215</v>
      </c>
      <c r="CH131" s="46">
        <v>1216</v>
      </c>
      <c r="CI131" s="46">
        <v>1315</v>
      </c>
      <c r="CJ131" s="46">
        <v>1316</v>
      </c>
      <c r="CK131" s="46">
        <v>1516</v>
      </c>
      <c r="DK131" s="8">
        <v>1</v>
      </c>
      <c r="DL131" s="8">
        <v>1</v>
      </c>
      <c r="DM131" s="8"/>
      <c r="DN131" s="8"/>
      <c r="DO131" s="50"/>
      <c r="DP131" s="50"/>
      <c r="DQ131" s="50"/>
      <c r="DR131" s="50"/>
      <c r="DS131" s="50"/>
      <c r="DT131" s="50"/>
      <c r="DU131" s="50"/>
      <c r="DV131" s="50"/>
      <c r="DW131" s="50"/>
      <c r="DX131" s="50"/>
      <c r="DY131" s="50"/>
      <c r="DZ131" s="50"/>
      <c r="EA131" s="50"/>
      <c r="EB131" s="50"/>
      <c r="EC131" s="50"/>
      <c r="ED131" s="50"/>
      <c r="EE131" s="50"/>
      <c r="EF131" s="50"/>
      <c r="EG131" s="50"/>
      <c r="EH131" s="50"/>
      <c r="EI131" s="50"/>
      <c r="EJ131" s="50"/>
      <c r="EK131" s="50"/>
      <c r="EL131" s="50"/>
      <c r="EM131" s="50"/>
      <c r="EN131" s="50"/>
      <c r="EO131" s="50"/>
      <c r="EP131" s="50">
        <v>1</v>
      </c>
      <c r="EQ131" s="50"/>
      <c r="ER131" s="50">
        <v>1</v>
      </c>
      <c r="ET131" s="55">
        <f t="shared" ref="ET131:ET194" si="8">SUM(DO131:ES131)</f>
        <v>2</v>
      </c>
    </row>
    <row r="132" spans="1:150" s="5" customFormat="1" ht="16" customHeight="1" x14ac:dyDescent="0.2">
      <c r="A132" s="5">
        <v>62</v>
      </c>
      <c r="B132" s="8" t="s">
        <v>319</v>
      </c>
      <c r="C132" s="8" t="s">
        <v>338</v>
      </c>
      <c r="D132" s="5">
        <v>94</v>
      </c>
      <c r="E132" s="5" t="s">
        <v>339</v>
      </c>
      <c r="F132" s="21" t="s">
        <v>340</v>
      </c>
      <c r="G132" s="21">
        <v>131</v>
      </c>
      <c r="H132" s="5">
        <f t="shared" si="6"/>
        <v>62094</v>
      </c>
      <c r="I132" t="s">
        <v>1154</v>
      </c>
      <c r="J132">
        <v>18</v>
      </c>
      <c r="K132">
        <v>97</v>
      </c>
      <c r="L132">
        <v>128</v>
      </c>
      <c r="M132" s="6">
        <v>255</v>
      </c>
      <c r="N132" s="6" t="str">
        <f t="shared" si="7"/>
        <v>131: (18, 97, 128, 255, Vegetation dieback (prolonged inundation): 62094),</v>
      </c>
      <c r="O132" s="5" t="str">
        <f>VLOOKUP(Australia!B132,Impacts!$A$2:$B$80,2, FALSE)</f>
        <v>Mortality of all or part of plant components, either sinularly or en masse.</v>
      </c>
      <c r="P132" s="5" t="str">
        <f>VLOOKUP(E132,Pressures!$A$2:$B$145,2,FALSE)</f>
        <v>Cumulative influx of water and increase in water depth for long periods over an area that previously supported no water.</v>
      </c>
      <c r="V132" s="29">
        <v>111111</v>
      </c>
      <c r="W132" s="29">
        <v>112112</v>
      </c>
      <c r="X132" s="29">
        <v>123123</v>
      </c>
      <c r="Y132" s="29">
        <v>124124</v>
      </c>
      <c r="AU132" s="31">
        <v>11</v>
      </c>
      <c r="AV132" s="31">
        <v>22</v>
      </c>
      <c r="AW132" s="8">
        <v>0</v>
      </c>
      <c r="AX132" s="8">
        <v>0</v>
      </c>
      <c r="AY132" s="8"/>
      <c r="AZ132" s="8">
        <v>1</v>
      </c>
      <c r="BA132" s="8">
        <v>2</v>
      </c>
      <c r="BB132" s="8">
        <v>3</v>
      </c>
      <c r="BC132" s="8"/>
      <c r="BD132" s="9">
        <v>111111</v>
      </c>
      <c r="BE132" s="8"/>
      <c r="BF132" s="9">
        <v>123123</v>
      </c>
      <c r="BG132" s="8"/>
      <c r="BH132" s="8"/>
      <c r="BI132" s="8"/>
      <c r="BJ132" s="8"/>
      <c r="BK132" s="8"/>
      <c r="BL132" s="8"/>
      <c r="BM132" s="8"/>
      <c r="BN132" s="8"/>
      <c r="BO132" s="8"/>
      <c r="BP132" s="8"/>
      <c r="BQ132" s="8"/>
      <c r="BR132" s="8"/>
      <c r="BS132" s="8"/>
      <c r="BT132" s="8"/>
      <c r="BU132" s="8"/>
      <c r="BV132" s="8"/>
      <c r="BW132" s="8"/>
      <c r="BX132" s="8" t="s">
        <v>715</v>
      </c>
      <c r="BY132" s="8" t="s">
        <v>715</v>
      </c>
      <c r="CB132" s="45">
        <v>1012</v>
      </c>
      <c r="CC132" s="45">
        <v>1013</v>
      </c>
      <c r="CD132" s="45">
        <v>1015</v>
      </c>
      <c r="CE132" s="45">
        <v>1016</v>
      </c>
      <c r="CF132" s="45">
        <v>1213</v>
      </c>
      <c r="CG132" s="45">
        <v>1215</v>
      </c>
      <c r="CH132" s="46">
        <v>1216</v>
      </c>
      <c r="CI132" s="46">
        <v>1315</v>
      </c>
      <c r="CJ132" s="46">
        <v>1316</v>
      </c>
      <c r="CK132" s="46">
        <v>1516</v>
      </c>
      <c r="DK132" s="8"/>
      <c r="DL132" s="8"/>
      <c r="DM132" s="8"/>
      <c r="DN132" s="8"/>
      <c r="DO132" s="50"/>
      <c r="DP132" s="50"/>
      <c r="DQ132" s="50"/>
      <c r="DR132" s="50"/>
      <c r="DS132" s="50">
        <v>1</v>
      </c>
      <c r="DT132" s="50"/>
      <c r="DU132" s="50"/>
      <c r="DV132" s="50"/>
      <c r="DW132" s="50"/>
      <c r="DX132" s="50"/>
      <c r="DY132" s="50"/>
      <c r="DZ132" s="50"/>
      <c r="EA132" s="50"/>
      <c r="EB132" s="50"/>
      <c r="EC132" s="50"/>
      <c r="ED132" s="50"/>
      <c r="EE132" s="50"/>
      <c r="EF132" s="50"/>
      <c r="EG132" s="50"/>
      <c r="EH132" s="50"/>
      <c r="EI132" s="50"/>
      <c r="EJ132" s="50"/>
      <c r="EK132" s="50"/>
      <c r="EL132" s="50"/>
      <c r="EM132" s="50"/>
      <c r="EN132" s="50"/>
      <c r="EO132" s="50"/>
      <c r="EP132" s="50"/>
      <c r="EQ132" s="50"/>
      <c r="ER132" s="50"/>
      <c r="ET132" s="55">
        <f t="shared" si="8"/>
        <v>1</v>
      </c>
    </row>
    <row r="133" spans="1:150" s="5" customFormat="1" ht="16" customHeight="1" x14ac:dyDescent="0.2">
      <c r="A133" s="5">
        <v>62</v>
      </c>
      <c r="B133" s="8" t="s">
        <v>319</v>
      </c>
      <c r="C133" s="8" t="s">
        <v>312</v>
      </c>
      <c r="D133" s="5">
        <v>95</v>
      </c>
      <c r="E133" s="5" t="s">
        <v>313</v>
      </c>
      <c r="F133" s="21" t="s">
        <v>341</v>
      </c>
      <c r="G133" s="21">
        <v>132</v>
      </c>
      <c r="H133" s="5">
        <f t="shared" si="6"/>
        <v>62095</v>
      </c>
      <c r="I133" t="s">
        <v>1155</v>
      </c>
      <c r="J133">
        <v>234</v>
      </c>
      <c r="K133">
        <v>224</v>
      </c>
      <c r="L133">
        <v>200</v>
      </c>
      <c r="M133" s="6">
        <v>255</v>
      </c>
      <c r="N133" s="6" t="str">
        <f t="shared" si="7"/>
        <v>132: (234, 224, 200, 255, Vegetation dieback (prolonged snow cover): 62095),</v>
      </c>
      <c r="O133" s="5" t="str">
        <f>VLOOKUP(Australia!B133,Impacts!$A$2:$B$80,2, FALSE)</f>
        <v>Mortality of all or part of plant components, either sinularly or en masse.</v>
      </c>
      <c r="P133" s="5" t="str">
        <f>VLOOKUP(E133,Pressures!$A$2:$B$145,2,FALSE)</f>
        <v>Cumulative gain of snow cover over extended periods.</v>
      </c>
      <c r="V133" s="29">
        <v>111111</v>
      </c>
      <c r="W133" s="29">
        <v>112112</v>
      </c>
      <c r="X133" s="29">
        <v>123123</v>
      </c>
      <c r="Y133" s="29">
        <v>124124</v>
      </c>
      <c r="AU133" s="31">
        <v>11</v>
      </c>
      <c r="AV133" s="31">
        <v>22</v>
      </c>
      <c r="AW133" s="8">
        <v>0</v>
      </c>
      <c r="AX133" s="8">
        <v>0</v>
      </c>
      <c r="AY133" s="8"/>
      <c r="AZ133" s="8">
        <v>1</v>
      </c>
      <c r="BA133" s="8">
        <v>2</v>
      </c>
      <c r="BB133" s="8">
        <v>3</v>
      </c>
      <c r="BC133" s="8"/>
      <c r="BD133" s="9">
        <v>111111</v>
      </c>
      <c r="BE133" s="9">
        <v>112112</v>
      </c>
      <c r="BF133" s="9">
        <v>123123</v>
      </c>
      <c r="BG133" s="9">
        <v>124124</v>
      </c>
      <c r="BH133" s="8"/>
      <c r="BI133" s="8"/>
      <c r="BJ133" s="8"/>
      <c r="BK133" s="8"/>
      <c r="BL133" s="8"/>
      <c r="BM133" s="8"/>
      <c r="BN133" s="8"/>
      <c r="BO133" s="8"/>
      <c r="BP133" s="8"/>
      <c r="BQ133" s="8"/>
      <c r="BR133" s="8"/>
      <c r="BS133" s="8"/>
      <c r="BT133" s="8"/>
      <c r="BU133" s="8"/>
      <c r="BV133" s="8">
        <v>22</v>
      </c>
      <c r="BW133" s="8"/>
      <c r="BX133" s="8" t="s">
        <v>715</v>
      </c>
      <c r="BY133" s="8" t="s">
        <v>715</v>
      </c>
      <c r="CB133" s="45">
        <v>1012</v>
      </c>
      <c r="CC133" s="45">
        <v>1013</v>
      </c>
      <c r="CD133" s="45">
        <v>1015</v>
      </c>
      <c r="CE133" s="45">
        <v>1016</v>
      </c>
      <c r="CF133" s="45">
        <v>1213</v>
      </c>
      <c r="CG133" s="45">
        <v>1215</v>
      </c>
      <c r="CH133" s="46">
        <v>1216</v>
      </c>
      <c r="CI133" s="46">
        <v>1315</v>
      </c>
      <c r="CJ133" s="46">
        <v>1316</v>
      </c>
      <c r="CK133" s="46">
        <v>1516</v>
      </c>
      <c r="DK133" s="8">
        <v>1</v>
      </c>
      <c r="DL133" s="8">
        <v>1</v>
      </c>
      <c r="DM133" s="8"/>
      <c r="DN133" s="8"/>
      <c r="DO133" s="50"/>
      <c r="DP133" s="50"/>
      <c r="DQ133" s="50"/>
      <c r="DR133" s="50"/>
      <c r="DS133" s="50"/>
      <c r="DT133" s="50"/>
      <c r="DU133" s="50">
        <v>1</v>
      </c>
      <c r="DV133" s="50"/>
      <c r="DW133" s="50"/>
      <c r="DX133" s="50"/>
      <c r="DY133" s="50"/>
      <c r="DZ133" s="50"/>
      <c r="EA133" s="50"/>
      <c r="EB133" s="50"/>
      <c r="EC133" s="50"/>
      <c r="ED133" s="50"/>
      <c r="EE133" s="50"/>
      <c r="EF133" s="50"/>
      <c r="EG133" s="50"/>
      <c r="EH133" s="50"/>
      <c r="EI133" s="50"/>
      <c r="EJ133" s="50"/>
      <c r="EK133" s="50"/>
      <c r="EL133" s="50"/>
      <c r="EM133" s="50"/>
      <c r="EN133" s="50"/>
      <c r="EO133" s="50"/>
      <c r="EP133" s="50"/>
      <c r="EQ133" s="50"/>
      <c r="ER133" s="50"/>
      <c r="ET133" s="55">
        <f t="shared" si="8"/>
        <v>1</v>
      </c>
    </row>
    <row r="134" spans="1:150" s="5" customFormat="1" ht="16" customHeight="1" x14ac:dyDescent="0.2">
      <c r="A134" s="5">
        <v>62</v>
      </c>
      <c r="B134" s="8" t="s">
        <v>319</v>
      </c>
      <c r="C134" s="8" t="s">
        <v>175</v>
      </c>
      <c r="D134" s="5">
        <v>110</v>
      </c>
      <c r="E134" s="5" t="s">
        <v>176</v>
      </c>
      <c r="F134" s="21" t="s">
        <v>345</v>
      </c>
      <c r="G134" s="21">
        <v>133</v>
      </c>
      <c r="H134" s="5">
        <f t="shared" si="6"/>
        <v>62110</v>
      </c>
      <c r="I134" t="s">
        <v>1156</v>
      </c>
      <c r="J134">
        <v>78</v>
      </c>
      <c r="K134">
        <v>130</v>
      </c>
      <c r="L134">
        <v>180</v>
      </c>
      <c r="M134" s="6">
        <v>255</v>
      </c>
      <c r="N134" s="6" t="str">
        <f t="shared" si="7"/>
        <v>133: (78, 130, 180, 255, Vegetation dieback (sea level fluctuation): 62110),</v>
      </c>
      <c r="O134" s="5" t="str">
        <f>VLOOKUP(Australia!B134,Impacts!$A$2:$B$80,2, FALSE)</f>
        <v>Mortality of all or part of plant components, either sinularly or en masse.</v>
      </c>
      <c r="P134" s="5" t="str">
        <f>VLOOKUP(E134,Pressures!$A$2:$B$145,2,FALSE)</f>
        <v>Irregular rise and fall of sea level.</v>
      </c>
      <c r="V134" s="29">
        <v>111111</v>
      </c>
      <c r="W134" s="29">
        <v>112112</v>
      </c>
      <c r="X134" s="29">
        <v>123123</v>
      </c>
      <c r="Y134" s="29">
        <v>124124</v>
      </c>
      <c r="AU134" s="31">
        <v>11</v>
      </c>
      <c r="AV134" s="31">
        <v>22</v>
      </c>
      <c r="AW134" s="8">
        <v>0</v>
      </c>
      <c r="AX134" s="8">
        <v>0</v>
      </c>
      <c r="AY134" s="8"/>
      <c r="AZ134" s="8">
        <v>1</v>
      </c>
      <c r="BA134" s="8">
        <v>2</v>
      </c>
      <c r="BB134" s="8">
        <v>3</v>
      </c>
      <c r="BC134" s="8"/>
      <c r="BD134" s="9">
        <v>111111</v>
      </c>
      <c r="BE134" s="9">
        <v>112112</v>
      </c>
      <c r="BF134" s="8"/>
      <c r="BG134" s="8"/>
      <c r="BH134" s="8"/>
      <c r="BI134" s="8"/>
      <c r="BJ134" s="8"/>
      <c r="BK134" s="8"/>
      <c r="BL134" s="8"/>
      <c r="BM134" s="8"/>
      <c r="BN134" s="8"/>
      <c r="BO134" s="8"/>
      <c r="BP134" s="8"/>
      <c r="BQ134" s="8"/>
      <c r="BR134" s="8"/>
      <c r="BS134" s="8"/>
      <c r="BT134" s="8"/>
      <c r="BU134" s="8"/>
      <c r="BV134" s="8">
        <v>22</v>
      </c>
      <c r="BW134" s="8"/>
      <c r="BX134" s="8" t="s">
        <v>715</v>
      </c>
      <c r="BY134" s="8" t="s">
        <v>715</v>
      </c>
      <c r="CB134" s="45">
        <v>1012</v>
      </c>
      <c r="CC134" s="45">
        <v>1013</v>
      </c>
      <c r="CD134" s="45">
        <v>1015</v>
      </c>
      <c r="CE134" s="45">
        <v>1016</v>
      </c>
      <c r="CF134" s="45">
        <v>1213</v>
      </c>
      <c r="CG134" s="45">
        <v>1215</v>
      </c>
      <c r="CH134" s="46">
        <v>1216</v>
      </c>
      <c r="CI134" s="46">
        <v>1315</v>
      </c>
      <c r="CJ134" s="46">
        <v>1316</v>
      </c>
      <c r="CK134" s="46">
        <v>1516</v>
      </c>
      <c r="DK134" s="8">
        <v>1</v>
      </c>
      <c r="DL134" s="8">
        <v>1</v>
      </c>
      <c r="DM134" s="8"/>
      <c r="DN134" s="8"/>
      <c r="DO134" s="50"/>
      <c r="DP134" s="50"/>
      <c r="DQ134" s="50"/>
      <c r="DR134" s="50"/>
      <c r="DS134" s="50">
        <v>1</v>
      </c>
      <c r="DT134" s="50"/>
      <c r="DU134" s="50"/>
      <c r="DV134" s="50"/>
      <c r="DW134" s="50"/>
      <c r="DX134" s="50"/>
      <c r="DY134" s="50"/>
      <c r="DZ134" s="50"/>
      <c r="EA134" s="50"/>
      <c r="EB134" s="50"/>
      <c r="EC134" s="50"/>
      <c r="ED134" s="50"/>
      <c r="EE134" s="50">
        <v>1</v>
      </c>
      <c r="EF134" s="50"/>
      <c r="EG134" s="50"/>
      <c r="EH134" s="50"/>
      <c r="EI134" s="50"/>
      <c r="EJ134" s="50"/>
      <c r="EK134" s="50"/>
      <c r="EL134" s="50"/>
      <c r="EM134" s="50"/>
      <c r="EN134" s="50"/>
      <c r="EO134" s="50"/>
      <c r="EP134" s="50"/>
      <c r="EQ134" s="50"/>
      <c r="ER134" s="50"/>
      <c r="ET134" s="55">
        <f t="shared" si="8"/>
        <v>2</v>
      </c>
    </row>
    <row r="135" spans="1:150" s="5" customFormat="1" ht="16" customHeight="1" x14ac:dyDescent="0.2">
      <c r="A135" s="5">
        <v>62</v>
      </c>
      <c r="B135" s="8" t="s">
        <v>319</v>
      </c>
      <c r="C135" s="8" t="s">
        <v>346</v>
      </c>
      <c r="D135" s="5">
        <v>118</v>
      </c>
      <c r="E135" s="5" t="s">
        <v>347</v>
      </c>
      <c r="F135" s="21" t="s">
        <v>348</v>
      </c>
      <c r="G135" s="21">
        <v>134</v>
      </c>
      <c r="H135" s="5">
        <f t="shared" si="6"/>
        <v>62118</v>
      </c>
      <c r="I135" t="s">
        <v>1157</v>
      </c>
      <c r="J135">
        <v>255</v>
      </c>
      <c r="K135">
        <v>235</v>
      </c>
      <c r="L135">
        <v>205</v>
      </c>
      <c r="M135" s="6">
        <v>255</v>
      </c>
      <c r="N135" s="6" t="str">
        <f t="shared" si="7"/>
        <v>134: (255, 235, 205, 255, Vegetation dieback (soil salinisation): 62118),</v>
      </c>
      <c r="O135" s="5" t="str">
        <f>VLOOKUP(Australia!B135,Impacts!$A$2:$B$80,2, FALSE)</f>
        <v>Mortality of all or part of plant components, either sinularly or en masse.</v>
      </c>
      <c r="P135" s="5" t="str">
        <f>VLOOKUP(E135,Pressures!$A$2:$B$145,2,FALSE)</f>
        <v xml:space="preserve">The accumulation of soluble mineral salts near the surface of soil, usually caused by the capillary flow of water from saline ground water. </v>
      </c>
      <c r="V135" s="29">
        <v>111111</v>
      </c>
      <c r="W135" s="29">
        <v>112112</v>
      </c>
      <c r="X135" s="29">
        <v>123123</v>
      </c>
      <c r="Y135" s="29">
        <v>124124</v>
      </c>
      <c r="AU135" s="31">
        <v>11</v>
      </c>
      <c r="AV135" s="31">
        <v>22</v>
      </c>
      <c r="AW135" s="8">
        <v>0</v>
      </c>
      <c r="AX135" s="8">
        <v>0</v>
      </c>
      <c r="AY135" s="8"/>
      <c r="AZ135" s="8">
        <v>1</v>
      </c>
      <c r="BA135" s="8">
        <v>2</v>
      </c>
      <c r="BB135" s="8">
        <v>3</v>
      </c>
      <c r="BC135" s="8"/>
      <c r="BD135" s="9">
        <v>111112</v>
      </c>
      <c r="BE135" s="9">
        <v>112112</v>
      </c>
      <c r="BF135" s="9">
        <v>123124</v>
      </c>
      <c r="BG135" s="9">
        <v>124124</v>
      </c>
      <c r="BH135" s="8"/>
      <c r="BI135" s="8"/>
      <c r="BJ135" s="8"/>
      <c r="BK135" s="8"/>
      <c r="BL135" s="8"/>
      <c r="BM135" s="8"/>
      <c r="BN135" s="8"/>
      <c r="BO135" s="8"/>
      <c r="BP135" s="8"/>
      <c r="BQ135" s="8"/>
      <c r="BR135" s="8"/>
      <c r="BS135" s="8"/>
      <c r="BT135" s="8"/>
      <c r="BU135" s="8"/>
      <c r="BV135" s="8">
        <v>21</v>
      </c>
      <c r="BW135" s="8"/>
      <c r="BX135" s="8"/>
      <c r="BY135" s="8"/>
      <c r="CB135" s="45">
        <v>1012</v>
      </c>
      <c r="CC135" s="45">
        <v>1013</v>
      </c>
      <c r="CD135" s="45">
        <v>1015</v>
      </c>
      <c r="CE135" s="45">
        <v>1016</v>
      </c>
      <c r="CF135" s="45">
        <v>1213</v>
      </c>
      <c r="CG135" s="45">
        <v>1215</v>
      </c>
      <c r="CH135" s="46">
        <v>1216</v>
      </c>
      <c r="CI135" s="46">
        <v>1315</v>
      </c>
      <c r="CJ135" s="46">
        <v>1316</v>
      </c>
      <c r="CK135" s="46">
        <v>1516</v>
      </c>
      <c r="DK135" s="8">
        <v>1</v>
      </c>
      <c r="DL135" s="8">
        <v>1</v>
      </c>
      <c r="DM135" s="8"/>
      <c r="DN135" s="8"/>
      <c r="DO135" s="50"/>
      <c r="DP135" s="50"/>
      <c r="DQ135" s="50"/>
      <c r="DR135" s="50"/>
      <c r="DS135" s="50"/>
      <c r="DT135" s="50"/>
      <c r="DU135" s="50"/>
      <c r="DV135" s="50"/>
      <c r="DW135" s="50"/>
      <c r="DX135" s="50"/>
      <c r="DY135" s="50"/>
      <c r="DZ135" s="50"/>
      <c r="EA135" s="50"/>
      <c r="EB135" s="50"/>
      <c r="EC135" s="50"/>
      <c r="ED135" s="50"/>
      <c r="EE135" s="50"/>
      <c r="EF135" s="50"/>
      <c r="EG135" s="50"/>
      <c r="EH135" s="50"/>
      <c r="EI135" s="50"/>
      <c r="EJ135" s="50"/>
      <c r="EK135" s="50"/>
      <c r="EL135" s="50"/>
      <c r="EM135" s="50"/>
      <c r="EN135" s="50"/>
      <c r="EO135" s="50"/>
      <c r="EP135" s="50">
        <v>1</v>
      </c>
      <c r="EQ135" s="50"/>
      <c r="ER135" s="50"/>
      <c r="ET135" s="55">
        <f t="shared" si="8"/>
        <v>1</v>
      </c>
    </row>
    <row r="136" spans="1:150" s="5" customFormat="1" ht="16" customHeight="1" x14ac:dyDescent="0.2">
      <c r="A136" s="5">
        <v>62</v>
      </c>
      <c r="B136" s="8" t="s">
        <v>319</v>
      </c>
      <c r="C136" s="8" t="s">
        <v>342</v>
      </c>
      <c r="D136" s="5">
        <v>141</v>
      </c>
      <c r="E136" s="5" t="s">
        <v>343</v>
      </c>
      <c r="F136" s="21" t="s">
        <v>344</v>
      </c>
      <c r="G136" s="21">
        <v>135</v>
      </c>
      <c r="H136" s="5">
        <f t="shared" si="6"/>
        <v>62141</v>
      </c>
      <c r="I136" t="s">
        <v>1158</v>
      </c>
      <c r="J136">
        <v>231</v>
      </c>
      <c r="K136">
        <v>172</v>
      </c>
      <c r="L136">
        <v>207</v>
      </c>
      <c r="M136" s="6">
        <v>255</v>
      </c>
      <c r="N136" s="6" t="str">
        <f t="shared" si="7"/>
        <v>135: (231, 172, 207, 255, Vegetation dieback (water salinisation): 62141),</v>
      </c>
      <c r="O136" s="5" t="str">
        <f>VLOOKUP(Australia!B136,Impacts!$A$2:$B$80,2, FALSE)</f>
        <v>Mortality of all or part of plant components, either sinularly or en masse.</v>
      </c>
      <c r="P136" s="5" t="str">
        <f>VLOOKUP(E136,Pressures!$A$2:$B$145,2,FALSE)</f>
        <v xml:space="preserve">An increase in the concentration of dissolved salts in water or soil water. </v>
      </c>
      <c r="V136" s="29">
        <v>111111</v>
      </c>
      <c r="W136" s="29">
        <v>112112</v>
      </c>
      <c r="X136" s="29">
        <v>123123</v>
      </c>
      <c r="Y136" s="29">
        <v>124124</v>
      </c>
      <c r="AU136" s="31">
        <v>11</v>
      </c>
      <c r="AV136" s="31">
        <v>22</v>
      </c>
      <c r="AW136" s="8">
        <v>0</v>
      </c>
      <c r="AX136" s="8">
        <v>0</v>
      </c>
      <c r="AY136" s="8"/>
      <c r="AZ136" s="8">
        <v>1</v>
      </c>
      <c r="BA136" s="8">
        <v>2</v>
      </c>
      <c r="BB136" s="8">
        <v>3</v>
      </c>
      <c r="BC136" s="8"/>
      <c r="BD136" s="9">
        <v>111111</v>
      </c>
      <c r="BE136" s="8"/>
      <c r="BF136" s="9">
        <v>123123</v>
      </c>
      <c r="BG136" s="8"/>
      <c r="BH136" s="8"/>
      <c r="BI136" s="8"/>
      <c r="BJ136" s="8"/>
      <c r="BK136" s="8"/>
      <c r="BL136" s="8"/>
      <c r="BM136" s="8"/>
      <c r="BN136" s="8"/>
      <c r="BO136" s="8"/>
      <c r="BP136" s="8"/>
      <c r="BQ136" s="8"/>
      <c r="BR136" s="8"/>
      <c r="BS136" s="8"/>
      <c r="BT136" s="8"/>
      <c r="BU136" s="8"/>
      <c r="BV136" s="8"/>
      <c r="BW136" s="8"/>
      <c r="BX136" s="8" t="s">
        <v>715</v>
      </c>
      <c r="BY136" s="8" t="s">
        <v>715</v>
      </c>
      <c r="CB136" s="45">
        <v>1012</v>
      </c>
      <c r="CC136" s="45">
        <v>1013</v>
      </c>
      <c r="CD136" s="45">
        <v>1015</v>
      </c>
      <c r="CE136" s="45">
        <v>1016</v>
      </c>
      <c r="CF136" s="45">
        <v>1213</v>
      </c>
      <c r="CG136" s="45">
        <v>1215</v>
      </c>
      <c r="CH136" s="46">
        <v>1216</v>
      </c>
      <c r="CI136" s="46">
        <v>1315</v>
      </c>
      <c r="CJ136" s="46">
        <v>1316</v>
      </c>
      <c r="CK136" s="46">
        <v>1516</v>
      </c>
      <c r="DK136" s="8">
        <v>1</v>
      </c>
      <c r="DL136" s="8">
        <v>1</v>
      </c>
      <c r="DM136" s="8"/>
      <c r="DN136" s="8"/>
      <c r="DO136" s="50"/>
      <c r="DP136" s="50"/>
      <c r="DQ136" s="50"/>
      <c r="DR136" s="50"/>
      <c r="DS136" s="50"/>
      <c r="DT136" s="50"/>
      <c r="DU136" s="50"/>
      <c r="DV136" s="50"/>
      <c r="DW136" s="50"/>
      <c r="DX136" s="50"/>
      <c r="DY136" s="50"/>
      <c r="DZ136" s="50"/>
      <c r="EA136" s="50"/>
      <c r="EB136" s="50"/>
      <c r="EC136" s="50"/>
      <c r="ED136" s="50"/>
      <c r="EE136" s="50"/>
      <c r="EF136" s="50"/>
      <c r="EG136" s="50"/>
      <c r="EH136" s="50"/>
      <c r="EI136" s="50"/>
      <c r="EJ136" s="50"/>
      <c r="EK136" s="50"/>
      <c r="EL136" s="50"/>
      <c r="EM136" s="50"/>
      <c r="EN136" s="50"/>
      <c r="EO136" s="50"/>
      <c r="EP136" s="50"/>
      <c r="EQ136" s="50"/>
      <c r="ER136" s="50">
        <v>1</v>
      </c>
      <c r="ET136" s="55">
        <f t="shared" si="8"/>
        <v>1</v>
      </c>
    </row>
    <row r="137" spans="1:150" s="5" customFormat="1" ht="16" customHeight="1" x14ac:dyDescent="0.2">
      <c r="A137" s="5">
        <v>63</v>
      </c>
      <c r="B137" s="39" t="s">
        <v>678</v>
      </c>
      <c r="C137" s="39" t="s">
        <v>352</v>
      </c>
      <c r="D137" s="5">
        <v>2</v>
      </c>
      <c r="E137" s="5" t="s">
        <v>353</v>
      </c>
      <c r="F137" s="21" t="s">
        <v>354</v>
      </c>
      <c r="G137" s="21">
        <v>136</v>
      </c>
      <c r="H137" s="5">
        <f t="shared" si="6"/>
        <v>63002</v>
      </c>
      <c r="I137" t="s">
        <v>1159</v>
      </c>
      <c r="J137">
        <v>99</v>
      </c>
      <c r="K137">
        <v>169</v>
      </c>
      <c r="L137">
        <v>80</v>
      </c>
      <c r="M137" s="6">
        <v>255</v>
      </c>
      <c r="N137" s="6" t="str">
        <f t="shared" si="7"/>
        <v>136: (99, 169, 80, 255, Vegetation gain (amount) (afforestation): 63002),</v>
      </c>
      <c r="O137" s="5" t="str">
        <f>VLOOKUP(Australia!B137,Impacts!$A$2:$B$80,2, FALSE)</f>
        <v>Expansion of whole plant communities into an area. This includes native vegetation.</v>
      </c>
      <c r="P137" s="5" t="str">
        <f>VLOOKUP(E137,Pressures!$A$2:$B$145,2,FALSE)</f>
        <v>Establishment of forest through planting and/or deliberate seeding on land that, until then, was under a different land use.</v>
      </c>
      <c r="AE137" s="29">
        <v>111112</v>
      </c>
      <c r="AF137" s="29">
        <v>111124</v>
      </c>
      <c r="AG137" s="29">
        <v>123112</v>
      </c>
      <c r="AH137" s="29">
        <v>123124</v>
      </c>
      <c r="AU137" s="31">
        <v>21</v>
      </c>
      <c r="AV137" s="31" t="s">
        <v>713</v>
      </c>
      <c r="AW137" s="8">
        <v>0</v>
      </c>
      <c r="AX137" s="8">
        <v>0</v>
      </c>
      <c r="AY137" s="8"/>
      <c r="AZ137" s="8">
        <v>1</v>
      </c>
      <c r="BA137" s="8">
        <v>2</v>
      </c>
      <c r="BB137" s="8">
        <v>3</v>
      </c>
      <c r="BC137" s="8"/>
      <c r="BD137" s="8"/>
      <c r="BE137" s="9">
        <v>112112</v>
      </c>
      <c r="BF137" s="8"/>
      <c r="BG137" s="9">
        <v>124124</v>
      </c>
      <c r="BH137" s="8"/>
      <c r="BI137" s="8"/>
      <c r="BJ137" s="8"/>
      <c r="BK137" s="8"/>
      <c r="BL137" s="8"/>
      <c r="BM137" s="8"/>
      <c r="BN137" s="8"/>
      <c r="BO137" s="8"/>
      <c r="BP137" s="8"/>
      <c r="BQ137" s="8"/>
      <c r="BR137" s="8"/>
      <c r="BS137" s="8"/>
      <c r="BT137" s="8"/>
      <c r="BU137" s="8"/>
      <c r="BV137" s="8"/>
      <c r="BW137" s="8"/>
      <c r="BX137" s="8" t="s">
        <v>715</v>
      </c>
      <c r="BY137" s="8" t="s">
        <v>715</v>
      </c>
      <c r="CB137" s="45">
        <v>1615</v>
      </c>
      <c r="CC137" s="45">
        <v>1613</v>
      </c>
      <c r="CD137" s="45">
        <v>1612</v>
      </c>
      <c r="CE137" s="45">
        <v>1610</v>
      </c>
      <c r="CF137" s="45">
        <v>1513</v>
      </c>
      <c r="CG137" s="45">
        <v>1512</v>
      </c>
      <c r="CH137" s="45">
        <v>1510</v>
      </c>
      <c r="CI137" s="45">
        <v>1312</v>
      </c>
      <c r="CJ137" s="45">
        <v>1310</v>
      </c>
      <c r="DK137" s="8">
        <v>1</v>
      </c>
      <c r="DL137" s="8">
        <v>1</v>
      </c>
      <c r="DM137" s="8"/>
      <c r="DN137" s="8"/>
      <c r="DO137" s="50"/>
      <c r="DP137" s="50"/>
      <c r="DQ137" s="50"/>
      <c r="DR137" s="50"/>
      <c r="DS137" s="50"/>
      <c r="DT137" s="50"/>
      <c r="DU137" s="50"/>
      <c r="DV137" s="50"/>
      <c r="DW137" s="50"/>
      <c r="DX137" s="50"/>
      <c r="DY137" s="50"/>
      <c r="DZ137" s="50"/>
      <c r="EA137" s="50"/>
      <c r="EB137" s="50"/>
      <c r="EC137" s="50"/>
      <c r="ED137" s="50"/>
      <c r="EE137" s="50"/>
      <c r="EF137" s="50"/>
      <c r="EG137" s="50"/>
      <c r="EH137" s="50">
        <v>1</v>
      </c>
      <c r="EI137" s="50"/>
      <c r="EJ137" s="50"/>
      <c r="EK137" s="50"/>
      <c r="EL137" s="50"/>
      <c r="EM137" s="50"/>
      <c r="EN137" s="50"/>
      <c r="EO137" s="50"/>
      <c r="EP137" s="50"/>
      <c r="EQ137" s="50"/>
      <c r="ER137" s="50"/>
      <c r="ET137" s="55">
        <f t="shared" si="8"/>
        <v>1</v>
      </c>
    </row>
    <row r="138" spans="1:150" s="5" customFormat="1" ht="16" customHeight="1" x14ac:dyDescent="0.2">
      <c r="A138" s="5">
        <v>63</v>
      </c>
      <c r="B138" s="8" t="s">
        <v>678</v>
      </c>
      <c r="C138" s="8" t="s">
        <v>355</v>
      </c>
      <c r="D138" s="5">
        <v>13</v>
      </c>
      <c r="E138" s="5" t="s">
        <v>356</v>
      </c>
      <c r="F138" s="21" t="s">
        <v>357</v>
      </c>
      <c r="G138" s="21">
        <v>137</v>
      </c>
      <c r="H138" s="5">
        <f t="shared" si="6"/>
        <v>63013</v>
      </c>
      <c r="I138" t="s">
        <v>1160</v>
      </c>
      <c r="J138">
        <v>128</v>
      </c>
      <c r="K138">
        <v>128</v>
      </c>
      <c r="L138">
        <v>0</v>
      </c>
      <c r="M138" s="6">
        <v>255</v>
      </c>
      <c r="N138" s="6" t="str">
        <f t="shared" si="7"/>
        <v>137: (128, 128, 0, 255, Vegetation gain (amount) (bushfire recovery): 63013),</v>
      </c>
      <c r="O138" s="5" t="str">
        <f>VLOOKUP(Australia!B138,Impacts!$A$2:$B$80,2, FALSE)</f>
        <v>Expansion of whole plant communities into an area. This includes native vegetation.</v>
      </c>
      <c r="P138" s="5" t="str">
        <f>VLOOKUP(E138,Pressures!$A$2:$B$145,2,FALSE)</f>
        <v>Regrowth after a wildfire, whether natural or intentional.</v>
      </c>
      <c r="W138" s="29">
        <v>112112</v>
      </c>
      <c r="Y138" s="29">
        <v>124124</v>
      </c>
      <c r="AU138" s="31">
        <v>11</v>
      </c>
      <c r="AV138" s="31">
        <v>22</v>
      </c>
      <c r="AW138" s="8">
        <v>0</v>
      </c>
      <c r="AX138" s="8">
        <v>0</v>
      </c>
      <c r="AY138" s="8"/>
      <c r="AZ138" s="8">
        <v>1</v>
      </c>
      <c r="BA138" s="8">
        <v>2</v>
      </c>
      <c r="BB138" s="8">
        <v>3</v>
      </c>
      <c r="BC138" s="8"/>
      <c r="BD138" s="8"/>
      <c r="BE138" s="9">
        <v>112112</v>
      </c>
      <c r="BF138" s="8"/>
      <c r="BG138" s="9">
        <v>124124</v>
      </c>
      <c r="BH138" s="8"/>
      <c r="BI138" s="8"/>
      <c r="BJ138" s="8"/>
      <c r="BK138" s="8"/>
      <c r="BL138" s="8"/>
      <c r="BM138" s="8"/>
      <c r="BN138" s="8"/>
      <c r="BO138" s="8"/>
      <c r="BP138" s="8"/>
      <c r="BQ138" s="8"/>
      <c r="BR138" s="8"/>
      <c r="BS138" s="8"/>
      <c r="BT138" s="8"/>
      <c r="BU138" s="8"/>
      <c r="BV138" s="8">
        <v>22</v>
      </c>
      <c r="BW138" s="8"/>
      <c r="BX138" s="8" t="s">
        <v>715</v>
      </c>
      <c r="BY138" s="8" t="s">
        <v>715</v>
      </c>
      <c r="CB138" s="45">
        <v>1615</v>
      </c>
      <c r="CC138" s="45">
        <v>1613</v>
      </c>
      <c r="CD138" s="45">
        <v>1612</v>
      </c>
      <c r="CE138" s="45">
        <v>1610</v>
      </c>
      <c r="CF138" s="45">
        <v>1513</v>
      </c>
      <c r="CG138" s="45">
        <v>1512</v>
      </c>
      <c r="CH138" s="45">
        <v>1510</v>
      </c>
      <c r="CI138" s="45">
        <v>1312</v>
      </c>
      <c r="CJ138" s="45">
        <v>1310</v>
      </c>
      <c r="DK138" s="8">
        <v>1</v>
      </c>
      <c r="DL138" s="8">
        <v>1</v>
      </c>
      <c r="DM138" s="8"/>
      <c r="DN138" s="8"/>
      <c r="DO138" s="50"/>
      <c r="DP138" s="50">
        <v>1</v>
      </c>
      <c r="DQ138" s="50"/>
      <c r="DR138" s="50"/>
      <c r="DS138" s="50"/>
      <c r="DT138" s="50"/>
      <c r="DU138" s="50"/>
      <c r="DV138" s="50"/>
      <c r="DW138" s="50"/>
      <c r="DX138" s="50"/>
      <c r="DY138" s="50"/>
      <c r="DZ138" s="50"/>
      <c r="EA138" s="50"/>
      <c r="EB138" s="50"/>
      <c r="EC138" s="50"/>
      <c r="ED138" s="50"/>
      <c r="EE138" s="50"/>
      <c r="EF138" s="50"/>
      <c r="EG138" s="50"/>
      <c r="EH138" s="50"/>
      <c r="EI138" s="50"/>
      <c r="EJ138" s="50"/>
      <c r="EK138" s="50"/>
      <c r="EL138" s="50"/>
      <c r="EM138" s="50"/>
      <c r="EN138" s="50"/>
      <c r="EO138" s="50"/>
      <c r="EP138" s="50"/>
      <c r="EQ138" s="50"/>
      <c r="ER138" s="50"/>
      <c r="ET138" s="55">
        <f t="shared" si="8"/>
        <v>1</v>
      </c>
    </row>
    <row r="139" spans="1:150" s="5" customFormat="1" ht="16" customHeight="1" x14ac:dyDescent="0.2">
      <c r="A139" s="5">
        <v>63</v>
      </c>
      <c r="B139" s="8" t="s">
        <v>678</v>
      </c>
      <c r="C139" s="39" t="s">
        <v>358</v>
      </c>
      <c r="D139" s="5">
        <v>33</v>
      </c>
      <c r="E139" s="5" t="s">
        <v>359</v>
      </c>
      <c r="F139" s="21" t="s">
        <v>360</v>
      </c>
      <c r="G139" s="21">
        <v>138</v>
      </c>
      <c r="H139" s="5">
        <f t="shared" si="6"/>
        <v>63033</v>
      </c>
      <c r="I139" t="s">
        <v>1161</v>
      </c>
      <c r="J139">
        <v>0</v>
      </c>
      <c r="K139">
        <v>255</v>
      </c>
      <c r="L139">
        <v>127</v>
      </c>
      <c r="M139" s="6">
        <v>255</v>
      </c>
      <c r="N139" s="6" t="str">
        <f t="shared" si="7"/>
        <v>138: (0, 255, 127, 255, Vegetation gain (amount) (ecological restoration): 63033),</v>
      </c>
      <c r="O139" s="5" t="str">
        <f>VLOOKUP(Australia!B139,Impacts!$A$2:$B$80,2, FALSE)</f>
        <v>Expansion of whole plant communities into an area. This includes native vegetation.</v>
      </c>
      <c r="P139" s="5" t="str">
        <f>VLOOKUP(E139,Pressures!$A$2:$B$145,2,FALSE)</f>
        <v>The process of assisting the recovery of an ecosystem that has been degraded, damaged or destroyed including through mechanical habitat rejuvenation.</v>
      </c>
      <c r="W139" s="29">
        <v>112112</v>
      </c>
      <c r="Y139" s="29">
        <v>124124</v>
      </c>
      <c r="AE139" s="29">
        <v>111112</v>
      </c>
      <c r="AF139" s="29">
        <v>111124</v>
      </c>
      <c r="AG139" s="29">
        <v>123112</v>
      </c>
      <c r="AH139" s="29">
        <v>123124</v>
      </c>
      <c r="AU139" s="31">
        <v>11</v>
      </c>
      <c r="AV139" s="31">
        <v>22</v>
      </c>
      <c r="AW139" s="8">
        <v>0</v>
      </c>
      <c r="AX139" s="8">
        <v>0</v>
      </c>
      <c r="AY139" s="8"/>
      <c r="AZ139" s="8">
        <v>1</v>
      </c>
      <c r="BA139" s="8">
        <v>2</v>
      </c>
      <c r="BB139" s="8">
        <v>3</v>
      </c>
      <c r="BC139" s="8"/>
      <c r="BD139" s="9">
        <v>111124</v>
      </c>
      <c r="BE139" s="8"/>
      <c r="BF139" s="9">
        <v>123124</v>
      </c>
      <c r="BG139" s="8"/>
      <c r="BH139" s="8"/>
      <c r="BI139" s="8"/>
      <c r="BJ139" s="8"/>
      <c r="BK139" s="8"/>
      <c r="BL139" s="8"/>
      <c r="BM139" s="8"/>
      <c r="BN139" s="8"/>
      <c r="BO139" s="8"/>
      <c r="BP139" s="8"/>
      <c r="BQ139" s="8"/>
      <c r="BR139" s="8"/>
      <c r="BS139" s="8"/>
      <c r="BT139" s="8"/>
      <c r="BU139" s="8"/>
      <c r="BV139" s="8"/>
      <c r="BW139" s="8"/>
      <c r="BX139" s="8"/>
      <c r="BY139" s="8"/>
      <c r="BZ139" s="31">
        <v>21</v>
      </c>
      <c r="CB139" s="45">
        <v>1615</v>
      </c>
      <c r="CC139" s="45">
        <v>1613</v>
      </c>
      <c r="CD139" s="45">
        <v>1612</v>
      </c>
      <c r="CE139" s="45">
        <v>1610</v>
      </c>
      <c r="CF139" s="45">
        <v>1513</v>
      </c>
      <c r="CG139" s="45">
        <v>1512</v>
      </c>
      <c r="CH139" s="45">
        <v>1510</v>
      </c>
      <c r="CI139" s="45">
        <v>1312</v>
      </c>
      <c r="CJ139" s="45">
        <v>1310</v>
      </c>
      <c r="DK139" s="8">
        <v>1</v>
      </c>
      <c r="DL139" s="8">
        <v>1</v>
      </c>
      <c r="DM139" s="8"/>
      <c r="DN139" s="8"/>
      <c r="DO139" s="50"/>
      <c r="DP139" s="50"/>
      <c r="DQ139" s="50"/>
      <c r="DR139" s="50"/>
      <c r="DS139" s="50"/>
      <c r="DT139" s="50"/>
      <c r="DU139" s="50"/>
      <c r="DV139" s="50"/>
      <c r="DW139" s="50"/>
      <c r="DX139" s="50"/>
      <c r="DY139" s="50"/>
      <c r="DZ139" s="50"/>
      <c r="EA139" s="50"/>
      <c r="EB139" s="50"/>
      <c r="EC139" s="50"/>
      <c r="ED139" s="50"/>
      <c r="EE139" s="50"/>
      <c r="EF139" s="50"/>
      <c r="EG139" s="50"/>
      <c r="EH139" s="50"/>
      <c r="EI139" s="50"/>
      <c r="EJ139" s="50"/>
      <c r="EK139" s="50"/>
      <c r="EL139" s="50">
        <v>1</v>
      </c>
      <c r="EM139" s="50"/>
      <c r="EN139" s="50"/>
      <c r="EO139" s="50"/>
      <c r="EP139" s="50"/>
      <c r="EQ139" s="50"/>
      <c r="ER139" s="50"/>
      <c r="ET139" s="55">
        <f t="shared" si="8"/>
        <v>1</v>
      </c>
    </row>
    <row r="140" spans="1:150" s="5" customFormat="1" ht="16" customHeight="1" x14ac:dyDescent="0.2">
      <c r="A140" s="5">
        <v>63</v>
      </c>
      <c r="B140" s="8" t="s">
        <v>678</v>
      </c>
      <c r="C140" s="39" t="s">
        <v>361</v>
      </c>
      <c r="D140" s="5">
        <v>34</v>
      </c>
      <c r="E140" s="5" t="s">
        <v>362</v>
      </c>
      <c r="F140" s="21" t="s">
        <v>363</v>
      </c>
      <c r="G140" s="21">
        <v>139</v>
      </c>
      <c r="H140" s="5">
        <f t="shared" si="6"/>
        <v>63034</v>
      </c>
      <c r="I140" t="s">
        <v>1162</v>
      </c>
      <c r="J140">
        <v>86</v>
      </c>
      <c r="K140">
        <v>130</v>
      </c>
      <c r="L140">
        <v>3</v>
      </c>
      <c r="M140" s="6">
        <v>255</v>
      </c>
      <c r="N140" s="6" t="str">
        <f t="shared" si="7"/>
        <v>139: (86, 130, 3, 255, Vegetation gain (amount) (encroachment): 63034),</v>
      </c>
      <c r="O140" s="5" t="str">
        <f>VLOOKUP(Australia!B140,Impacts!$A$2:$B$80,2, FALSE)</f>
        <v>Expansion of whole plant communities into an area. This includes native vegetation.</v>
      </c>
      <c r="P140" s="5" t="str">
        <f>VLOOKUP(E140,Pressures!$A$2:$B$145,2,FALSE)</f>
        <v>Increase in woody plant density or extent so that the natural equilibrium of woody and herbaceous plant layer densities is shifted towards woody species.</v>
      </c>
      <c r="V140" s="29">
        <v>111111</v>
      </c>
      <c r="W140" s="29">
        <v>112112</v>
      </c>
      <c r="X140" s="29">
        <v>123123</v>
      </c>
      <c r="Y140" s="29">
        <v>124124</v>
      </c>
      <c r="AE140" s="29">
        <v>111112</v>
      </c>
      <c r="AF140" s="29">
        <v>111124</v>
      </c>
      <c r="AG140" s="29">
        <v>123112</v>
      </c>
      <c r="AH140" s="29">
        <v>123124</v>
      </c>
      <c r="AU140" s="31">
        <v>11</v>
      </c>
      <c r="AV140" s="31">
        <v>22</v>
      </c>
      <c r="AW140" s="8"/>
      <c r="AX140" s="8">
        <v>0</v>
      </c>
      <c r="AY140" s="8"/>
      <c r="AZ140" s="8"/>
      <c r="BA140" s="8"/>
      <c r="BB140" s="8"/>
      <c r="BC140" s="8"/>
      <c r="BD140" s="8"/>
      <c r="BE140" s="9">
        <v>112112</v>
      </c>
      <c r="BF140" s="9" t="s">
        <v>713</v>
      </c>
      <c r="BG140" s="9">
        <v>124124</v>
      </c>
      <c r="BH140" s="8"/>
      <c r="BI140" s="8"/>
      <c r="BJ140" s="8"/>
      <c r="BK140" s="8"/>
      <c r="BL140" s="8"/>
      <c r="BM140" s="8"/>
      <c r="BN140" s="8"/>
      <c r="BO140" s="8"/>
      <c r="BP140" s="8"/>
      <c r="BQ140" s="8"/>
      <c r="BR140" s="8"/>
      <c r="BS140" s="8"/>
      <c r="BT140" s="8"/>
      <c r="BU140" s="8"/>
      <c r="BV140" s="8"/>
      <c r="BW140" s="8"/>
      <c r="BX140" s="8" t="s">
        <v>717</v>
      </c>
      <c r="BY140" s="8" t="s">
        <v>717</v>
      </c>
      <c r="BZ140" s="31">
        <v>21</v>
      </c>
      <c r="CB140" s="45">
        <v>1615</v>
      </c>
      <c r="CC140" s="45">
        <v>1613</v>
      </c>
      <c r="CD140" s="45">
        <v>1612</v>
      </c>
      <c r="CE140" s="45">
        <v>1610</v>
      </c>
      <c r="CF140" s="45">
        <v>1513</v>
      </c>
      <c r="CG140" s="45">
        <v>1512</v>
      </c>
      <c r="CH140" s="45">
        <v>1510</v>
      </c>
      <c r="CI140" s="45">
        <v>1312</v>
      </c>
      <c r="CJ140" s="45">
        <v>1310</v>
      </c>
      <c r="DK140" s="8">
        <v>-1</v>
      </c>
      <c r="DL140" s="8">
        <v>1</v>
      </c>
      <c r="DM140" s="8"/>
      <c r="DN140" s="8"/>
      <c r="DO140" s="50"/>
      <c r="DP140" s="50"/>
      <c r="DQ140" s="50"/>
      <c r="DR140" s="50"/>
      <c r="DS140" s="50"/>
      <c r="DT140" s="50"/>
      <c r="DU140" s="50"/>
      <c r="DV140" s="50"/>
      <c r="DW140" s="50"/>
      <c r="DX140" s="50"/>
      <c r="DY140" s="50"/>
      <c r="DZ140" s="50"/>
      <c r="EA140" s="50"/>
      <c r="EB140" s="50"/>
      <c r="EC140" s="50"/>
      <c r="ED140" s="50"/>
      <c r="EE140" s="50"/>
      <c r="EF140" s="50"/>
      <c r="EG140" s="50"/>
      <c r="EH140" s="50"/>
      <c r="EI140" s="50">
        <v>1</v>
      </c>
      <c r="EJ140" s="50"/>
      <c r="EK140" s="50"/>
      <c r="EL140" s="50"/>
      <c r="EM140" s="50"/>
      <c r="EN140" s="50"/>
      <c r="EO140" s="50"/>
      <c r="EP140" s="50"/>
      <c r="EQ140" s="50"/>
      <c r="ER140" s="50"/>
      <c r="ET140" s="55">
        <f t="shared" si="8"/>
        <v>1</v>
      </c>
    </row>
    <row r="141" spans="1:150" s="5" customFormat="1" ht="16" customHeight="1" x14ac:dyDescent="0.2">
      <c r="A141" s="5">
        <v>63</v>
      </c>
      <c r="B141" s="8" t="s">
        <v>678</v>
      </c>
      <c r="C141" s="39" t="s">
        <v>133</v>
      </c>
      <c r="D141" s="5">
        <v>41</v>
      </c>
      <c r="E141" s="5" t="s">
        <v>134</v>
      </c>
      <c r="F141" s="21" t="s">
        <v>364</v>
      </c>
      <c r="G141" s="21">
        <v>140</v>
      </c>
      <c r="H141" s="5">
        <f t="shared" si="6"/>
        <v>63041</v>
      </c>
      <c r="I141" t="s">
        <v>1163</v>
      </c>
      <c r="J141">
        <v>168</v>
      </c>
      <c r="K141">
        <v>228</v>
      </c>
      <c r="L141">
        <v>160</v>
      </c>
      <c r="M141" s="6">
        <v>255</v>
      </c>
      <c r="N141" s="6" t="str">
        <f t="shared" si="7"/>
        <v>140: (168, 228, 160, 255, Vegetation gain (amount) (farmland abandonment): 63041),</v>
      </c>
      <c r="O141" s="5" t="str">
        <f>VLOOKUP(Australia!B141,Impacts!$A$2:$B$80,2, FALSE)</f>
        <v>Expansion of whole plant communities into an area. This includes native vegetation.</v>
      </c>
      <c r="P141" s="5" t="str">
        <f>VLOOKUP(E141,Pressures!$A$2:$B$145,2,FALSE)</f>
        <v>The cessation of agricultural activities on a given surface of land.</v>
      </c>
      <c r="V141" s="29">
        <v>111111</v>
      </c>
      <c r="W141" s="29">
        <v>112112</v>
      </c>
      <c r="X141" s="29">
        <v>123123</v>
      </c>
      <c r="Y141" s="29">
        <v>124124</v>
      </c>
      <c r="AE141" s="29">
        <v>111112</v>
      </c>
      <c r="AF141" s="29">
        <v>111124</v>
      </c>
      <c r="AG141" s="29">
        <v>123112</v>
      </c>
      <c r="AH141" s="29">
        <v>123124</v>
      </c>
      <c r="AU141" s="31">
        <v>11</v>
      </c>
      <c r="AV141" s="31">
        <v>22</v>
      </c>
      <c r="AW141" s="8">
        <v>0</v>
      </c>
      <c r="AX141" s="8">
        <v>0</v>
      </c>
      <c r="AY141" s="8"/>
      <c r="AZ141" s="8">
        <v>1</v>
      </c>
      <c r="BA141" s="8">
        <v>2</v>
      </c>
      <c r="BB141" s="8">
        <v>3</v>
      </c>
      <c r="BC141" s="8"/>
      <c r="BD141" s="8"/>
      <c r="BE141" s="8"/>
      <c r="BF141" s="8"/>
      <c r="BG141" s="8"/>
      <c r="BH141" s="9">
        <v>215111</v>
      </c>
      <c r="BI141" s="8"/>
      <c r="BJ141" s="8"/>
      <c r="BK141" s="8"/>
      <c r="BL141" s="8"/>
      <c r="BM141" s="8"/>
      <c r="BN141" s="8"/>
      <c r="BO141" s="8"/>
      <c r="BP141" s="8"/>
      <c r="BQ141" s="8"/>
      <c r="BR141" s="8"/>
      <c r="BS141" s="8"/>
      <c r="BT141" s="8"/>
      <c r="BU141" s="8"/>
      <c r="BV141" s="8"/>
      <c r="BW141" s="8"/>
      <c r="BX141" s="8"/>
      <c r="BY141" s="8"/>
      <c r="BZ141" s="31">
        <v>21</v>
      </c>
      <c r="CB141" s="45">
        <v>1615</v>
      </c>
      <c r="CC141" s="45">
        <v>1613</v>
      </c>
      <c r="CD141" s="45">
        <v>1612</v>
      </c>
      <c r="CE141" s="45">
        <v>1610</v>
      </c>
      <c r="CF141" s="45">
        <v>1513</v>
      </c>
      <c r="CG141" s="45">
        <v>1512</v>
      </c>
      <c r="CH141" s="45">
        <v>1510</v>
      </c>
      <c r="CI141" s="45">
        <v>1312</v>
      </c>
      <c r="CJ141" s="45">
        <v>1310</v>
      </c>
      <c r="DK141" s="8">
        <v>1</v>
      </c>
      <c r="DL141" s="8">
        <v>1</v>
      </c>
      <c r="DM141" s="8"/>
      <c r="DN141" s="8"/>
      <c r="DO141" s="50"/>
      <c r="DP141" s="50"/>
      <c r="DQ141" s="50"/>
      <c r="DR141" s="50"/>
      <c r="DS141" s="50"/>
      <c r="DT141" s="50"/>
      <c r="DU141" s="50"/>
      <c r="DV141" s="50"/>
      <c r="DW141" s="50"/>
      <c r="DX141" s="50"/>
      <c r="DY141" s="50"/>
      <c r="DZ141" s="50"/>
      <c r="EA141" s="50"/>
      <c r="EB141" s="50"/>
      <c r="EC141" s="50"/>
      <c r="ED141" s="50"/>
      <c r="EE141" s="50"/>
      <c r="EF141" s="50"/>
      <c r="EG141" s="50"/>
      <c r="EH141" s="50"/>
      <c r="EI141" s="50"/>
      <c r="EJ141" s="50"/>
      <c r="EK141" s="50"/>
      <c r="EL141" s="50"/>
      <c r="EM141" s="50">
        <v>1</v>
      </c>
      <c r="EN141" s="50"/>
      <c r="EO141" s="50"/>
      <c r="EP141" s="50"/>
      <c r="EQ141" s="50"/>
      <c r="ER141" s="50"/>
      <c r="ET141" s="55">
        <f t="shared" si="8"/>
        <v>1</v>
      </c>
    </row>
    <row r="142" spans="1:150" s="5" customFormat="1" ht="16" customHeight="1" x14ac:dyDescent="0.2">
      <c r="A142" s="5">
        <v>63</v>
      </c>
      <c r="B142" s="8" t="s">
        <v>678</v>
      </c>
      <c r="C142" s="8" t="s">
        <v>365</v>
      </c>
      <c r="D142" s="5">
        <v>43</v>
      </c>
      <c r="E142" s="5" t="s">
        <v>366</v>
      </c>
      <c r="F142" s="21" t="s">
        <v>367</v>
      </c>
      <c r="G142" s="21">
        <v>141</v>
      </c>
      <c r="H142" s="5">
        <f t="shared" si="6"/>
        <v>63043</v>
      </c>
      <c r="I142" t="s">
        <v>1164</v>
      </c>
      <c r="J142">
        <v>78</v>
      </c>
      <c r="K142">
        <v>135</v>
      </c>
      <c r="L142">
        <v>32</v>
      </c>
      <c r="M142" s="6">
        <v>255</v>
      </c>
      <c r="N142" s="6" t="str">
        <f t="shared" si="7"/>
        <v>141: (78, 135, 32, 255, Vegetation gain (amount) (fertiliser application): 63043),</v>
      </c>
      <c r="O142" s="5" t="str">
        <f>VLOOKUP(Australia!B142,Impacts!$A$2:$B$80,2, FALSE)</f>
        <v>Expansion of whole plant communities into an area. This includes native vegetation.</v>
      </c>
      <c r="P142" s="5" t="str">
        <f>VLOOKUP(E142,Pressures!$A$2:$B$145,2,FALSE)</f>
        <v>Enrichment of soils to increase productivity or health of vegetation.</v>
      </c>
      <c r="V142" s="29">
        <v>111111</v>
      </c>
      <c r="W142" s="29">
        <v>112112</v>
      </c>
      <c r="X142" s="29">
        <v>123123</v>
      </c>
      <c r="Y142" s="29">
        <v>124124</v>
      </c>
      <c r="AU142" s="31">
        <v>11</v>
      </c>
      <c r="AV142" s="31">
        <v>22</v>
      </c>
      <c r="AW142" s="8">
        <v>0</v>
      </c>
      <c r="AX142" s="8">
        <v>0</v>
      </c>
      <c r="AY142" s="8"/>
      <c r="AZ142" s="8">
        <v>1</v>
      </c>
      <c r="BA142" s="8">
        <v>2</v>
      </c>
      <c r="BB142" s="8">
        <v>3</v>
      </c>
      <c r="BC142" s="8"/>
      <c r="BD142" s="8"/>
      <c r="BE142" s="9">
        <v>112112</v>
      </c>
      <c r="BF142" s="8"/>
      <c r="BG142" s="8"/>
      <c r="BH142" s="8"/>
      <c r="BI142" s="8"/>
      <c r="BJ142" s="8"/>
      <c r="BK142" s="8"/>
      <c r="BL142" s="8"/>
      <c r="BM142" s="8"/>
      <c r="BN142" s="8"/>
      <c r="BO142" s="8"/>
      <c r="BP142" s="8"/>
      <c r="BQ142" s="8"/>
      <c r="BR142" s="8"/>
      <c r="BS142" s="8"/>
      <c r="BT142" s="8"/>
      <c r="BU142" s="8"/>
      <c r="BV142" s="8">
        <v>11</v>
      </c>
      <c r="BW142" s="8"/>
      <c r="BX142" s="8" t="s">
        <v>715</v>
      </c>
      <c r="BY142" s="8" t="s">
        <v>715</v>
      </c>
      <c r="CB142" s="45">
        <v>1615</v>
      </c>
      <c r="CC142" s="45">
        <v>1613</v>
      </c>
      <c r="CD142" s="45">
        <v>1612</v>
      </c>
      <c r="CE142" s="45">
        <v>1610</v>
      </c>
      <c r="CF142" s="45">
        <v>1513</v>
      </c>
      <c r="CG142" s="45">
        <v>1512</v>
      </c>
      <c r="CH142" s="45">
        <v>1510</v>
      </c>
      <c r="CI142" s="45">
        <v>1312</v>
      </c>
      <c r="CJ142" s="45">
        <v>1310</v>
      </c>
      <c r="DK142" s="8">
        <v>1</v>
      </c>
      <c r="DL142" s="8">
        <v>1</v>
      </c>
      <c r="DM142" s="8"/>
      <c r="DN142" s="8"/>
      <c r="DO142" s="50"/>
      <c r="DP142" s="50"/>
      <c r="DQ142" s="50"/>
      <c r="DR142" s="50"/>
      <c r="DS142" s="50"/>
      <c r="DT142" s="50"/>
      <c r="DU142" s="50"/>
      <c r="DV142" s="50"/>
      <c r="DW142" s="50"/>
      <c r="DX142" s="50"/>
      <c r="DY142" s="50"/>
      <c r="DZ142" s="50"/>
      <c r="EA142" s="50"/>
      <c r="EB142" s="50"/>
      <c r="EC142" s="50"/>
      <c r="ED142" s="50"/>
      <c r="EE142" s="50"/>
      <c r="EF142" s="50"/>
      <c r="EG142" s="50"/>
      <c r="EH142" s="50"/>
      <c r="EI142" s="50"/>
      <c r="EJ142" s="50"/>
      <c r="EK142" s="50"/>
      <c r="EL142" s="50"/>
      <c r="EM142" s="50"/>
      <c r="EN142" s="50">
        <v>1</v>
      </c>
      <c r="EO142" s="50"/>
      <c r="EP142" s="50"/>
      <c r="EQ142" s="50"/>
      <c r="ER142" s="50"/>
      <c r="ET142" s="55">
        <f t="shared" si="8"/>
        <v>1</v>
      </c>
    </row>
    <row r="143" spans="1:150" s="5" customFormat="1" ht="16" customHeight="1" x14ac:dyDescent="0.2">
      <c r="A143" s="5">
        <v>63</v>
      </c>
      <c r="B143" s="8" t="s">
        <v>678</v>
      </c>
      <c r="C143" s="8" t="s">
        <v>368</v>
      </c>
      <c r="D143" s="5">
        <v>53</v>
      </c>
      <c r="E143" s="5" t="s">
        <v>369</v>
      </c>
      <c r="F143" s="21" t="s">
        <v>370</v>
      </c>
      <c r="G143" s="21">
        <v>142</v>
      </c>
      <c r="H143" s="5">
        <f t="shared" si="6"/>
        <v>63053</v>
      </c>
      <c r="I143" t="s">
        <v>1165</v>
      </c>
      <c r="J143">
        <v>127</v>
      </c>
      <c r="K143">
        <v>255</v>
      </c>
      <c r="L143">
        <v>0</v>
      </c>
      <c r="M143" s="6">
        <v>255</v>
      </c>
      <c r="N143" s="6" t="str">
        <f t="shared" si="7"/>
        <v>142: (127, 255, 0, 255, Vegetation gain (amount) (growth): 63053),</v>
      </c>
      <c r="O143" s="5" t="str">
        <f>VLOOKUP(Australia!B143,Impacts!$A$2:$B$80,2, FALSE)</f>
        <v>Expansion of whole plant communities into an area. This includes native vegetation.</v>
      </c>
      <c r="P143" s="5" t="str">
        <f>VLOOKUP(E143,Pressures!$A$2:$B$145,2,FALSE)</f>
        <v>Increases in cell size and number that take place during the life history of an organism.</v>
      </c>
      <c r="V143" s="29">
        <v>111111</v>
      </c>
      <c r="W143" s="29">
        <v>112112</v>
      </c>
      <c r="X143" s="29">
        <v>123123</v>
      </c>
      <c r="Y143" s="29">
        <v>124124</v>
      </c>
      <c r="AU143" s="31">
        <v>11</v>
      </c>
      <c r="AV143" s="31">
        <v>22</v>
      </c>
      <c r="AW143" s="8">
        <v>0</v>
      </c>
      <c r="AX143" s="8">
        <v>0</v>
      </c>
      <c r="AY143" s="8"/>
      <c r="AZ143" s="8">
        <v>1</v>
      </c>
      <c r="BA143" s="8">
        <v>2</v>
      </c>
      <c r="BB143" s="8">
        <v>3</v>
      </c>
      <c r="BC143" s="8"/>
      <c r="BD143" s="8">
        <v>111124</v>
      </c>
      <c r="BE143" s="8"/>
      <c r="BF143" s="8">
        <v>111124</v>
      </c>
      <c r="BG143" s="8"/>
      <c r="BH143" s="8"/>
      <c r="BI143" s="8"/>
      <c r="BJ143" s="8"/>
      <c r="BK143" s="8"/>
      <c r="BL143" s="8"/>
      <c r="BM143" s="8"/>
      <c r="BN143" s="8"/>
      <c r="BO143" s="8"/>
      <c r="BP143" s="8"/>
      <c r="BQ143" s="8"/>
      <c r="BR143" s="8"/>
      <c r="BS143" s="8"/>
      <c r="BT143" s="8"/>
      <c r="BU143" s="8"/>
      <c r="BV143" s="8"/>
      <c r="BW143" s="8"/>
      <c r="BX143" s="8"/>
      <c r="BY143" s="8"/>
      <c r="BZ143" s="5" t="s">
        <v>713</v>
      </c>
      <c r="CB143" s="45">
        <v>1615</v>
      </c>
      <c r="CC143" s="45">
        <v>1613</v>
      </c>
      <c r="CD143" s="45">
        <v>1612</v>
      </c>
      <c r="CE143" s="45">
        <v>1610</v>
      </c>
      <c r="CF143" s="45">
        <v>1513</v>
      </c>
      <c r="CG143" s="45">
        <v>1512</v>
      </c>
      <c r="CH143" s="45">
        <v>1510</v>
      </c>
      <c r="CI143" s="45">
        <v>1312</v>
      </c>
      <c r="CJ143" s="45">
        <v>1310</v>
      </c>
      <c r="DK143" s="8">
        <v>1</v>
      </c>
      <c r="DL143" s="8">
        <v>1</v>
      </c>
      <c r="DM143" s="8"/>
      <c r="DN143" s="8"/>
      <c r="DO143" s="50"/>
      <c r="DP143" s="50"/>
      <c r="DQ143" s="50"/>
      <c r="DR143" s="50"/>
      <c r="DS143" s="50"/>
      <c r="DT143" s="50"/>
      <c r="DU143" s="50"/>
      <c r="DV143" s="50"/>
      <c r="DW143" s="50"/>
      <c r="DX143" s="50"/>
      <c r="DY143" s="50"/>
      <c r="DZ143" s="50"/>
      <c r="EA143" s="50"/>
      <c r="EB143" s="50"/>
      <c r="EC143" s="50"/>
      <c r="ED143" s="50"/>
      <c r="EE143" s="50"/>
      <c r="EF143" s="50"/>
      <c r="EG143" s="50"/>
      <c r="EH143" s="50">
        <v>1</v>
      </c>
      <c r="EI143" s="50">
        <v>1</v>
      </c>
      <c r="EJ143" s="50"/>
      <c r="EK143" s="50"/>
      <c r="EL143" s="50"/>
      <c r="EM143" s="50"/>
      <c r="EN143" s="50"/>
      <c r="EO143" s="50"/>
      <c r="EP143" s="50"/>
      <c r="EQ143" s="50"/>
      <c r="ER143" s="50"/>
      <c r="ET143" s="55">
        <f t="shared" si="8"/>
        <v>2</v>
      </c>
    </row>
    <row r="144" spans="1:150" s="5" customFormat="1" ht="16" customHeight="1" x14ac:dyDescent="0.2">
      <c r="A144" s="5">
        <v>63</v>
      </c>
      <c r="B144" s="8" t="s">
        <v>678</v>
      </c>
      <c r="C144" s="8" t="s">
        <v>371</v>
      </c>
      <c r="D144" s="5">
        <v>99</v>
      </c>
      <c r="E144" s="5" t="s">
        <v>372</v>
      </c>
      <c r="F144" s="21" t="s">
        <v>373</v>
      </c>
      <c r="G144" s="21">
        <v>143</v>
      </c>
      <c r="H144" s="5">
        <f t="shared" si="6"/>
        <v>63099</v>
      </c>
      <c r="I144" t="s">
        <v>1166</v>
      </c>
      <c r="J144">
        <v>250</v>
      </c>
      <c r="K144">
        <v>250</v>
      </c>
      <c r="L144">
        <v>210</v>
      </c>
      <c r="M144" s="6">
        <v>255</v>
      </c>
      <c r="N144" s="6" t="str">
        <f t="shared" si="7"/>
        <v>143: (250, 250, 210, 255, Vegetation gain (amount) (reduced or cessation of grazing): 63099),</v>
      </c>
      <c r="O144" s="5" t="str">
        <f>VLOOKUP(Australia!B144,Impacts!$A$2:$B$80,2, FALSE)</f>
        <v>Expansion of whole plant communities into an area. This includes native vegetation.</v>
      </c>
      <c r="P144" s="5" t="str">
        <f>VLOOKUP(E144,Pressures!$A$2:$B$145,2,FALSE)</f>
        <v>Reduction or cessation of repetitive consumption of herbaceous or woody vegetation by herbivores/omnivores.</v>
      </c>
      <c r="V144" s="29">
        <v>111111</v>
      </c>
      <c r="W144" s="29">
        <v>112112</v>
      </c>
      <c r="X144" s="29">
        <v>123123</v>
      </c>
      <c r="Y144" s="29">
        <v>124124</v>
      </c>
      <c r="AU144" s="31">
        <v>11</v>
      </c>
      <c r="AV144" s="31">
        <v>22</v>
      </c>
      <c r="AW144" s="8">
        <v>0</v>
      </c>
      <c r="AX144" s="8">
        <v>0</v>
      </c>
      <c r="AY144" s="8"/>
      <c r="AZ144" s="8">
        <v>1</v>
      </c>
      <c r="BA144" s="8">
        <v>2</v>
      </c>
      <c r="BB144" s="8">
        <v>3</v>
      </c>
      <c r="BC144" s="8"/>
      <c r="BD144" s="9">
        <v>112112</v>
      </c>
      <c r="BE144" s="8"/>
      <c r="BF144" s="9">
        <v>124124</v>
      </c>
      <c r="BG144" s="8"/>
      <c r="BH144" s="8"/>
      <c r="BI144" s="8"/>
      <c r="BJ144" s="8"/>
      <c r="BK144" s="8"/>
      <c r="BL144" s="8"/>
      <c r="BM144" s="8"/>
      <c r="BN144" s="8"/>
      <c r="BO144" s="8"/>
      <c r="BP144" s="8"/>
      <c r="BQ144" s="8"/>
      <c r="BR144" s="8"/>
      <c r="BS144" s="8"/>
      <c r="BT144" s="8"/>
      <c r="BU144" s="8"/>
      <c r="BV144" s="8">
        <v>22</v>
      </c>
      <c r="BW144" s="8"/>
      <c r="BX144" s="8" t="s">
        <v>716</v>
      </c>
      <c r="BY144" s="8" t="s">
        <v>716</v>
      </c>
      <c r="BZ144" s="31">
        <v>21</v>
      </c>
      <c r="CB144" s="45">
        <v>1615</v>
      </c>
      <c r="CC144" s="45">
        <v>1613</v>
      </c>
      <c r="CD144" s="45">
        <v>1612</v>
      </c>
      <c r="CE144" s="45">
        <v>1610</v>
      </c>
      <c r="CF144" s="45">
        <v>1513</v>
      </c>
      <c r="CG144" s="45">
        <v>1512</v>
      </c>
      <c r="CH144" s="45">
        <v>1510</v>
      </c>
      <c r="CI144" s="45">
        <v>1312</v>
      </c>
      <c r="CJ144" s="45">
        <v>1310</v>
      </c>
      <c r="DK144" s="8">
        <v>1</v>
      </c>
      <c r="DL144" s="8">
        <v>1</v>
      </c>
      <c r="DM144" s="8"/>
      <c r="DN144" s="8"/>
      <c r="DO144" s="50"/>
      <c r="DP144" s="50"/>
      <c r="DQ144" s="50"/>
      <c r="DR144" s="50"/>
      <c r="DS144" s="50"/>
      <c r="DT144" s="50"/>
      <c r="DU144" s="50"/>
      <c r="DV144" s="50"/>
      <c r="DW144" s="50"/>
      <c r="DX144" s="50"/>
      <c r="DY144" s="50"/>
      <c r="DZ144" s="50"/>
      <c r="EA144" s="50"/>
      <c r="EB144" s="50"/>
      <c r="EC144" s="50"/>
      <c r="ED144" s="50"/>
      <c r="EE144" s="50"/>
      <c r="EF144" s="50"/>
      <c r="EG144" s="50"/>
      <c r="EH144" s="50"/>
      <c r="EI144" s="50"/>
      <c r="EJ144" s="50">
        <v>1</v>
      </c>
      <c r="EK144" s="50"/>
      <c r="EL144" s="50"/>
      <c r="EM144" s="50"/>
      <c r="EN144" s="50"/>
      <c r="EO144" s="50"/>
      <c r="EP144" s="50"/>
      <c r="EQ144" s="50"/>
      <c r="ER144" s="50"/>
      <c r="ET144" s="55">
        <f t="shared" si="8"/>
        <v>1</v>
      </c>
    </row>
    <row r="145" spans="1:150" s="5" customFormat="1" ht="16" customHeight="1" x14ac:dyDescent="0.2">
      <c r="A145" s="5">
        <v>63</v>
      </c>
      <c r="B145" s="8" t="s">
        <v>678</v>
      </c>
      <c r="C145" s="8" t="s">
        <v>374</v>
      </c>
      <c r="D145" s="5">
        <v>102</v>
      </c>
      <c r="E145" s="5" t="s">
        <v>571</v>
      </c>
      <c r="F145" s="21" t="s">
        <v>688</v>
      </c>
      <c r="G145" s="21">
        <v>144</v>
      </c>
      <c r="H145" s="5">
        <f t="shared" si="6"/>
        <v>63102</v>
      </c>
      <c r="I145" t="s">
        <v>1167</v>
      </c>
      <c r="J145">
        <v>48</v>
      </c>
      <c r="K145">
        <v>186</v>
      </c>
      <c r="L145">
        <v>143</v>
      </c>
      <c r="M145" s="6">
        <v>255</v>
      </c>
      <c r="N145" s="6" t="str">
        <f t="shared" si="7"/>
        <v>144: (48, 186, 143, 255, Vegetation gain (amount) (reforestation (natural)): 63102),</v>
      </c>
      <c r="O145" s="5" t="str">
        <f>VLOOKUP(Australia!B145,Impacts!$A$2:$B$80,2, FALSE)</f>
        <v>Expansion of whole plant communities into an area. This includes native vegetation.</v>
      </c>
      <c r="P145" s="5" t="str">
        <f>VLOOKUP(E145,Pressures!$A$2:$B$145,2,FALSE)</f>
        <v xml:space="preserve">The process of deliberate replanting of vegetation, often with a diverse species mix, on land where the previous plant communities have been cleared. </v>
      </c>
      <c r="W145" s="29">
        <v>112112</v>
      </c>
      <c r="Y145" s="29">
        <v>124124</v>
      </c>
      <c r="AU145" s="31">
        <v>11</v>
      </c>
      <c r="AV145" s="31">
        <v>22</v>
      </c>
      <c r="AW145" s="8">
        <v>0</v>
      </c>
      <c r="AX145" s="8">
        <v>0</v>
      </c>
      <c r="AY145" s="8"/>
      <c r="AZ145" s="8">
        <v>1</v>
      </c>
      <c r="BA145" s="8">
        <v>2</v>
      </c>
      <c r="BB145" s="8">
        <v>3</v>
      </c>
      <c r="BC145" s="8"/>
      <c r="BD145" s="9">
        <v>112112</v>
      </c>
      <c r="BE145" s="8"/>
      <c r="BF145" s="9">
        <v>124124</v>
      </c>
      <c r="BG145" s="8"/>
      <c r="BH145" s="8"/>
      <c r="BI145" s="8"/>
      <c r="BJ145" s="8"/>
      <c r="BK145" s="8"/>
      <c r="BL145" s="8"/>
      <c r="BM145" s="8"/>
      <c r="BN145" s="8"/>
      <c r="BO145" s="8"/>
      <c r="BP145" s="8"/>
      <c r="BQ145" s="8"/>
      <c r="BR145" s="8"/>
      <c r="BS145" s="8"/>
      <c r="BT145" s="8"/>
      <c r="BU145" s="8"/>
      <c r="BV145" s="8">
        <v>22</v>
      </c>
      <c r="BW145" s="8"/>
      <c r="BX145" s="8" t="s">
        <v>716</v>
      </c>
      <c r="BY145" s="8" t="s">
        <v>716</v>
      </c>
      <c r="BZ145" s="31">
        <v>21</v>
      </c>
      <c r="CB145" s="45">
        <v>1615</v>
      </c>
      <c r="CC145" s="45">
        <v>1613</v>
      </c>
      <c r="CD145" s="45">
        <v>1612</v>
      </c>
      <c r="CE145" s="45">
        <v>1610</v>
      </c>
      <c r="CF145" s="45">
        <v>1513</v>
      </c>
      <c r="CG145" s="45">
        <v>1512</v>
      </c>
      <c r="CH145" s="45">
        <v>1510</v>
      </c>
      <c r="CI145" s="45">
        <v>1312</v>
      </c>
      <c r="CJ145" s="45">
        <v>1310</v>
      </c>
      <c r="DK145" s="8">
        <v>1</v>
      </c>
      <c r="DL145" s="8">
        <v>1</v>
      </c>
      <c r="DM145" s="8"/>
      <c r="DN145" s="8"/>
      <c r="DO145" s="50"/>
      <c r="DP145" s="50"/>
      <c r="DQ145" s="50"/>
      <c r="DR145" s="50"/>
      <c r="DS145" s="50"/>
      <c r="DT145" s="50"/>
      <c r="DU145" s="50"/>
      <c r="DV145" s="50"/>
      <c r="DW145" s="50"/>
      <c r="DX145" s="50"/>
      <c r="DY145" s="50"/>
      <c r="DZ145" s="50"/>
      <c r="EA145" s="50"/>
      <c r="EB145" s="50"/>
      <c r="EC145" s="50"/>
      <c r="ED145" s="50"/>
      <c r="EE145" s="50"/>
      <c r="EF145" s="50"/>
      <c r="EG145" s="50"/>
      <c r="EH145" s="50">
        <v>1</v>
      </c>
      <c r="EI145" s="50">
        <v>1</v>
      </c>
      <c r="EJ145" s="50"/>
      <c r="EK145" s="50"/>
      <c r="EL145" s="50"/>
      <c r="EM145" s="50"/>
      <c r="EN145" s="50"/>
      <c r="EO145" s="50"/>
      <c r="EP145" s="50"/>
      <c r="EQ145" s="50"/>
      <c r="ER145" s="50"/>
      <c r="ET145" s="55">
        <f t="shared" si="8"/>
        <v>2</v>
      </c>
    </row>
    <row r="146" spans="1:150" s="5" customFormat="1" ht="16" customHeight="1" x14ac:dyDescent="0.2">
      <c r="A146" s="5">
        <v>63</v>
      </c>
      <c r="B146" s="39" t="s">
        <v>678</v>
      </c>
      <c r="C146" s="39" t="s">
        <v>375</v>
      </c>
      <c r="D146" s="5">
        <v>103</v>
      </c>
      <c r="E146" s="5" t="s">
        <v>572</v>
      </c>
      <c r="F146" s="21" t="s">
        <v>689</v>
      </c>
      <c r="G146" s="21">
        <v>145</v>
      </c>
      <c r="H146" s="5">
        <f t="shared" si="6"/>
        <v>63103</v>
      </c>
      <c r="I146" t="s">
        <v>1168</v>
      </c>
      <c r="J146">
        <v>43</v>
      </c>
      <c r="K146">
        <v>93</v>
      </c>
      <c r="L146">
        <v>52</v>
      </c>
      <c r="M146" s="6">
        <v>255</v>
      </c>
      <c r="N146" s="6" t="str">
        <f t="shared" si="7"/>
        <v>145: (43, 93, 52, 255, Vegetation gain (amount) (reforestation (plantations)): 63103),</v>
      </c>
      <c r="O146" s="5" t="str">
        <f>VLOOKUP(Australia!B146,Impacts!$A$2:$B$80,2, FALSE)</f>
        <v>Expansion of whole plant communities into an area. This includes native vegetation.</v>
      </c>
      <c r="P146" s="5" t="str">
        <f>VLOOKUP(E146,Pressures!$A$2:$B$145,2,FALSE)</f>
        <v xml:space="preserve">Establishing plantations of trees or shrubs (limited numbers of native or exotic species) for production or environmental and resource protection purposes. </v>
      </c>
      <c r="AE146" s="29">
        <v>112111</v>
      </c>
      <c r="AF146" s="29">
        <v>124111</v>
      </c>
      <c r="AU146" s="31">
        <v>11</v>
      </c>
      <c r="AV146" s="31">
        <v>22</v>
      </c>
      <c r="AW146" s="8">
        <v>0</v>
      </c>
      <c r="AX146" s="8">
        <v>0</v>
      </c>
      <c r="AY146" s="8"/>
      <c r="AZ146" s="8">
        <v>1</v>
      </c>
      <c r="BA146" s="8">
        <v>2</v>
      </c>
      <c r="BB146" s="8">
        <v>3</v>
      </c>
      <c r="BC146" s="8"/>
      <c r="BD146" s="8"/>
      <c r="BE146" s="8"/>
      <c r="BF146" s="8"/>
      <c r="BG146" s="8"/>
      <c r="BH146" s="8"/>
      <c r="BI146" s="8"/>
      <c r="BJ146" s="8"/>
      <c r="BK146" s="8"/>
      <c r="BL146" s="8"/>
      <c r="BM146" s="8"/>
      <c r="BN146" s="9">
        <v>215112</v>
      </c>
      <c r="BO146" s="8"/>
      <c r="BP146" s="9">
        <v>215124</v>
      </c>
      <c r="BQ146" s="8"/>
      <c r="BR146" s="8"/>
      <c r="BS146" s="8"/>
      <c r="BT146" s="8"/>
      <c r="BU146" s="8"/>
      <c r="BV146" s="8"/>
      <c r="BW146" s="8"/>
      <c r="BX146" s="8"/>
      <c r="BY146" s="8"/>
      <c r="BZ146" s="31">
        <v>21</v>
      </c>
      <c r="CB146" s="45">
        <v>1615</v>
      </c>
      <c r="CC146" s="45">
        <v>1613</v>
      </c>
      <c r="CD146" s="45">
        <v>1612</v>
      </c>
      <c r="CE146" s="45">
        <v>1610</v>
      </c>
      <c r="CF146" s="45">
        <v>1513</v>
      </c>
      <c r="CG146" s="45">
        <v>1512</v>
      </c>
      <c r="CH146" s="45">
        <v>1510</v>
      </c>
      <c r="CI146" s="45">
        <v>1312</v>
      </c>
      <c r="CJ146" s="45">
        <v>1310</v>
      </c>
      <c r="DK146" s="8">
        <v>1</v>
      </c>
      <c r="DL146" s="8">
        <v>1</v>
      </c>
      <c r="DM146" s="8"/>
      <c r="DN146" s="8"/>
      <c r="DO146" s="50"/>
      <c r="DP146" s="50"/>
      <c r="DQ146" s="50"/>
      <c r="DR146" s="50"/>
      <c r="DS146" s="50"/>
      <c r="DT146" s="50"/>
      <c r="DU146" s="50"/>
      <c r="DV146" s="50"/>
      <c r="DW146" s="50"/>
      <c r="DX146" s="50"/>
      <c r="DY146" s="50"/>
      <c r="DZ146" s="50"/>
      <c r="EA146" s="50"/>
      <c r="EB146" s="50"/>
      <c r="EC146" s="50"/>
      <c r="ED146" s="50"/>
      <c r="EE146" s="50"/>
      <c r="EF146" s="50"/>
      <c r="EG146" s="50"/>
      <c r="EH146" s="50">
        <v>1</v>
      </c>
      <c r="EI146" s="50"/>
      <c r="EJ146" s="50"/>
      <c r="EK146" s="50"/>
      <c r="EL146" s="50"/>
      <c r="EM146" s="50"/>
      <c r="EN146" s="50"/>
      <c r="EO146" s="50"/>
      <c r="EP146" s="50"/>
      <c r="EQ146" s="50"/>
      <c r="ER146" s="50"/>
      <c r="ET146" s="55">
        <f t="shared" si="8"/>
        <v>1</v>
      </c>
    </row>
    <row r="147" spans="1:150" s="5" customFormat="1" ht="16" customHeight="1" x14ac:dyDescent="0.2">
      <c r="A147" s="5">
        <v>63</v>
      </c>
      <c r="B147" s="8" t="s">
        <v>678</v>
      </c>
      <c r="C147" s="8" t="s">
        <v>376</v>
      </c>
      <c r="D147" s="5">
        <v>104</v>
      </c>
      <c r="E147" s="5" t="s">
        <v>377</v>
      </c>
      <c r="F147" s="21" t="s">
        <v>690</v>
      </c>
      <c r="G147" s="21">
        <v>146</v>
      </c>
      <c r="H147" s="5">
        <f t="shared" si="6"/>
        <v>63104</v>
      </c>
      <c r="I147" t="s">
        <v>1169</v>
      </c>
      <c r="J147">
        <v>147</v>
      </c>
      <c r="K147">
        <v>197</v>
      </c>
      <c r="L147">
        <v>114</v>
      </c>
      <c r="M147" s="6">
        <v>255</v>
      </c>
      <c r="N147" s="6" t="str">
        <f t="shared" si="7"/>
        <v>146: (147, 197, 114, 255, Vegetation gain (amount) (regrowth): 63104),</v>
      </c>
      <c r="O147" s="5" t="str">
        <f>VLOOKUP(Australia!B147,Impacts!$A$2:$B$80,2, FALSE)</f>
        <v>Expansion of whole plant communities into an area. This includes native vegetation.</v>
      </c>
      <c r="P147" s="5" t="str">
        <f>VLOOKUP(E147,Pressures!$A$2:$B$145,2,FALSE)</f>
        <v>Natural increase in the number and size of plants over an area that previously supported vegetation that had been cleared or degraded.</v>
      </c>
      <c r="W147" s="29">
        <v>112112</v>
      </c>
      <c r="Y147" s="29">
        <v>124124</v>
      </c>
      <c r="AU147" s="31">
        <v>11</v>
      </c>
      <c r="AV147" s="31">
        <v>22</v>
      </c>
      <c r="AW147" s="8">
        <v>0</v>
      </c>
      <c r="AX147" s="8">
        <v>0</v>
      </c>
      <c r="AY147" s="8"/>
      <c r="AZ147" s="8">
        <v>1</v>
      </c>
      <c r="BA147" s="8">
        <v>2</v>
      </c>
      <c r="BB147" s="8">
        <v>3</v>
      </c>
      <c r="BC147" s="8"/>
      <c r="BD147" s="8"/>
      <c r="BE147" s="8"/>
      <c r="BF147" s="8"/>
      <c r="BG147" s="8"/>
      <c r="BH147" s="8"/>
      <c r="BI147" s="8"/>
      <c r="BJ147" s="8"/>
      <c r="BK147" s="8"/>
      <c r="BL147" s="8"/>
      <c r="BM147" s="8"/>
      <c r="BN147" s="9">
        <v>215112</v>
      </c>
      <c r="BO147" s="8"/>
      <c r="BP147" s="9">
        <v>215124</v>
      </c>
      <c r="BQ147" s="8"/>
      <c r="BR147" s="9">
        <v>215216</v>
      </c>
      <c r="BS147" s="8"/>
      <c r="BT147" s="8"/>
      <c r="BU147" s="8"/>
      <c r="BV147" s="8"/>
      <c r="BW147" s="8"/>
      <c r="BX147" s="8"/>
      <c r="BY147" s="8"/>
      <c r="CB147" s="45">
        <v>1615</v>
      </c>
      <c r="CC147" s="45">
        <v>1613</v>
      </c>
      <c r="CD147" s="45">
        <v>1612</v>
      </c>
      <c r="CE147" s="45">
        <v>1610</v>
      </c>
      <c r="CF147" s="45">
        <v>1513</v>
      </c>
      <c r="CG147" s="45">
        <v>1512</v>
      </c>
      <c r="CH147" s="45">
        <v>1510</v>
      </c>
      <c r="CI147" s="45">
        <v>1312</v>
      </c>
      <c r="CJ147" s="45">
        <v>1310</v>
      </c>
      <c r="DK147" s="8">
        <v>1</v>
      </c>
      <c r="DL147" s="8">
        <v>1</v>
      </c>
      <c r="DM147" s="8"/>
      <c r="DN147" s="8"/>
      <c r="DO147" s="50"/>
      <c r="DP147" s="50"/>
      <c r="DQ147" s="50"/>
      <c r="DR147" s="50"/>
      <c r="DS147" s="50"/>
      <c r="DT147" s="50"/>
      <c r="DU147" s="50"/>
      <c r="DV147" s="50"/>
      <c r="DW147" s="50"/>
      <c r="DX147" s="50"/>
      <c r="DY147" s="50"/>
      <c r="DZ147" s="50"/>
      <c r="EA147" s="50"/>
      <c r="EB147" s="50"/>
      <c r="EC147" s="50"/>
      <c r="ED147" s="50"/>
      <c r="EE147" s="50"/>
      <c r="EF147" s="50"/>
      <c r="EG147" s="50"/>
      <c r="EH147" s="50">
        <v>1</v>
      </c>
      <c r="EI147" s="50"/>
      <c r="EJ147" s="50"/>
      <c r="EK147" s="50"/>
      <c r="EL147" s="50"/>
      <c r="EM147" s="50"/>
      <c r="EN147" s="50"/>
      <c r="EO147" s="50"/>
      <c r="EP147" s="50"/>
      <c r="EQ147" s="50"/>
      <c r="ER147" s="50"/>
      <c r="ET147" s="55">
        <f t="shared" si="8"/>
        <v>1</v>
      </c>
    </row>
    <row r="148" spans="1:150" s="5" customFormat="1" ht="16" customHeight="1" x14ac:dyDescent="0.2">
      <c r="A148" s="5">
        <v>63</v>
      </c>
      <c r="B148" s="8" t="s">
        <v>678</v>
      </c>
      <c r="C148" s="8" t="s">
        <v>378</v>
      </c>
      <c r="D148" s="5">
        <v>106</v>
      </c>
      <c r="E148" s="5" t="s">
        <v>379</v>
      </c>
      <c r="F148" s="21" t="s">
        <v>380</v>
      </c>
      <c r="G148" s="21">
        <v>147</v>
      </c>
      <c r="H148" s="5">
        <f t="shared" si="6"/>
        <v>63106</v>
      </c>
      <c r="I148" t="s">
        <v>1170</v>
      </c>
      <c r="J148">
        <v>176</v>
      </c>
      <c r="K148">
        <v>191</v>
      </c>
      <c r="L148">
        <v>26</v>
      </c>
      <c r="M148" s="6">
        <v>255</v>
      </c>
      <c r="N148" s="6" t="str">
        <f t="shared" si="7"/>
        <v>147: (176, 191, 26, 255, Vegetation gain (amount) (removal of herbivores): 63106),</v>
      </c>
      <c r="O148" s="5" t="str">
        <f>VLOOKUP(Australia!B148,Impacts!$A$2:$B$80,2, FALSE)</f>
        <v>Expansion of whole plant communities into an area. This includes native vegetation.</v>
      </c>
      <c r="P148" s="5" t="str">
        <f>VLOOKUP(E148,Pressures!$A$2:$B$145,2,FALSE)</f>
        <v>Grazing (by stock) at a level where there is evidence of the annual growth not being fully utilised or scrub or coarse vegetation is becoming evident.</v>
      </c>
      <c r="V148" s="29">
        <v>111111</v>
      </c>
      <c r="W148" s="29">
        <v>112112</v>
      </c>
      <c r="X148" s="29">
        <v>123123</v>
      </c>
      <c r="Y148" s="29">
        <v>124124</v>
      </c>
      <c r="AU148" s="31">
        <v>11</v>
      </c>
      <c r="AV148" s="31">
        <v>22</v>
      </c>
      <c r="AW148" s="8">
        <v>0</v>
      </c>
      <c r="AX148" s="8">
        <v>0</v>
      </c>
      <c r="AY148" s="8"/>
      <c r="AZ148" s="8">
        <v>1</v>
      </c>
      <c r="BA148" s="8">
        <v>2</v>
      </c>
      <c r="BB148" s="8">
        <v>3</v>
      </c>
      <c r="BC148" s="8"/>
      <c r="BD148" s="8"/>
      <c r="BE148" s="8"/>
      <c r="BF148" s="8"/>
      <c r="BG148" s="8"/>
      <c r="BH148" s="8"/>
      <c r="BI148" s="8"/>
      <c r="BJ148" s="8"/>
      <c r="BK148" s="8"/>
      <c r="BL148" s="8"/>
      <c r="BM148" s="9">
        <v>216111</v>
      </c>
      <c r="BN148" s="9">
        <v>216112</v>
      </c>
      <c r="BO148" s="9">
        <v>216123</v>
      </c>
      <c r="BP148" s="9">
        <v>216124</v>
      </c>
      <c r="BQ148" s="8"/>
      <c r="BR148" s="8"/>
      <c r="BS148" s="8"/>
      <c r="BT148" s="8"/>
      <c r="BU148" s="8"/>
      <c r="BV148" s="8"/>
      <c r="BW148" s="8"/>
      <c r="BX148" s="8"/>
      <c r="BY148" s="8"/>
      <c r="BZ148" s="31">
        <v>21</v>
      </c>
      <c r="CB148" s="45">
        <v>1615</v>
      </c>
      <c r="CC148" s="45">
        <v>1613</v>
      </c>
      <c r="CD148" s="45">
        <v>1612</v>
      </c>
      <c r="CE148" s="45">
        <v>1610</v>
      </c>
      <c r="CF148" s="45">
        <v>1513</v>
      </c>
      <c r="CG148" s="45">
        <v>1512</v>
      </c>
      <c r="CH148" s="45">
        <v>1510</v>
      </c>
      <c r="CI148" s="45">
        <v>1312</v>
      </c>
      <c r="CJ148" s="45">
        <v>1310</v>
      </c>
      <c r="DK148" s="8">
        <v>1</v>
      </c>
      <c r="DL148" s="8">
        <v>1</v>
      </c>
      <c r="DM148" s="8"/>
      <c r="DN148" s="8"/>
      <c r="DO148" s="50"/>
      <c r="DP148" s="50"/>
      <c r="DQ148" s="50"/>
      <c r="DR148" s="50"/>
      <c r="DS148" s="50"/>
      <c r="DT148" s="50"/>
      <c r="DU148" s="50"/>
      <c r="DV148" s="50"/>
      <c r="DW148" s="50"/>
      <c r="DX148" s="50"/>
      <c r="DY148" s="50"/>
      <c r="DZ148" s="50"/>
      <c r="EA148" s="50"/>
      <c r="EB148" s="50"/>
      <c r="EC148" s="50"/>
      <c r="ED148" s="50"/>
      <c r="EE148" s="50"/>
      <c r="EF148" s="50"/>
      <c r="EG148" s="50"/>
      <c r="EH148" s="50"/>
      <c r="EI148" s="50"/>
      <c r="EJ148" s="50">
        <v>1</v>
      </c>
      <c r="EK148" s="50"/>
      <c r="EL148" s="50"/>
      <c r="EM148" s="50"/>
      <c r="EN148" s="50"/>
      <c r="EO148" s="50"/>
      <c r="EP148" s="50"/>
      <c r="EQ148" s="50"/>
      <c r="ER148" s="50"/>
      <c r="ET148" s="55">
        <f t="shared" si="8"/>
        <v>1</v>
      </c>
    </row>
    <row r="149" spans="1:150" s="5" customFormat="1" ht="16" customHeight="1" x14ac:dyDescent="0.2">
      <c r="A149" s="5">
        <v>63</v>
      </c>
      <c r="B149" s="8" t="s">
        <v>678</v>
      </c>
      <c r="C149" s="39" t="s">
        <v>381</v>
      </c>
      <c r="D149" s="5">
        <v>108</v>
      </c>
      <c r="E149" s="5" t="s">
        <v>382</v>
      </c>
      <c r="F149" s="21" t="s">
        <v>383</v>
      </c>
      <c r="G149" s="21">
        <v>148</v>
      </c>
      <c r="H149" s="5">
        <f t="shared" si="6"/>
        <v>63108</v>
      </c>
      <c r="I149" t="s">
        <v>1171</v>
      </c>
      <c r="J149">
        <v>209</v>
      </c>
      <c r="K149">
        <v>226</v>
      </c>
      <c r="L149">
        <v>49</v>
      </c>
      <c r="M149" s="6">
        <v>255</v>
      </c>
      <c r="N149" s="6" t="str">
        <f t="shared" si="7"/>
        <v>148: (209, 226, 49, 255, Vegetation gain (amount) (revegetation): 63108),</v>
      </c>
      <c r="O149" s="5" t="str">
        <f>VLOOKUP(Australia!B149,Impacts!$A$2:$B$80,2, FALSE)</f>
        <v>Expansion of whole plant communities into an area. This includes native vegetation.</v>
      </c>
      <c r="P149" s="5" t="str">
        <f>VLOOKUP(E149,Pressures!$A$2:$B$145,2,FALSE)</f>
        <v xml:space="preserve">The re-establishment of vegetation (excluding forests) in areas that have been cleared or highly modified. </v>
      </c>
      <c r="V149" s="29">
        <v>111111</v>
      </c>
      <c r="W149" s="29">
        <v>112112</v>
      </c>
      <c r="X149" s="29">
        <v>123123</v>
      </c>
      <c r="Y149" s="29">
        <v>124124</v>
      </c>
      <c r="AE149" s="29">
        <v>111112</v>
      </c>
      <c r="AF149" s="29">
        <v>111124</v>
      </c>
      <c r="AG149" s="29">
        <v>123112</v>
      </c>
      <c r="AH149" s="29">
        <v>123124</v>
      </c>
      <c r="AU149" s="31">
        <v>11</v>
      </c>
      <c r="AV149" s="31">
        <v>22</v>
      </c>
      <c r="AW149" s="8">
        <v>0</v>
      </c>
      <c r="AX149" s="8">
        <v>0</v>
      </c>
      <c r="AY149" s="8"/>
      <c r="AZ149" s="8">
        <v>1</v>
      </c>
      <c r="BA149" s="8">
        <v>2</v>
      </c>
      <c r="BB149" s="8">
        <v>3</v>
      </c>
      <c r="BC149" s="8"/>
      <c r="BD149" s="9">
        <v>112112</v>
      </c>
      <c r="BE149" s="8"/>
      <c r="BF149" s="9">
        <v>124124</v>
      </c>
      <c r="BG149" s="8"/>
      <c r="BH149" s="8"/>
      <c r="BI149" s="8"/>
      <c r="BJ149" s="8"/>
      <c r="BK149" s="8"/>
      <c r="BL149" s="8"/>
      <c r="BM149" s="8"/>
      <c r="BN149" s="8"/>
      <c r="BO149" s="8"/>
      <c r="BP149" s="8"/>
      <c r="BQ149" s="8"/>
      <c r="BR149" s="8"/>
      <c r="BS149" s="8"/>
      <c r="BT149" s="8"/>
      <c r="BU149" s="8"/>
      <c r="BV149" s="8">
        <v>22</v>
      </c>
      <c r="BW149" s="8"/>
      <c r="BX149" s="8" t="s">
        <v>716</v>
      </c>
      <c r="BY149" s="8" t="s">
        <v>716</v>
      </c>
      <c r="BZ149" s="31">
        <v>21</v>
      </c>
      <c r="CB149" s="45">
        <v>1615</v>
      </c>
      <c r="CC149" s="45">
        <v>1613</v>
      </c>
      <c r="CD149" s="45">
        <v>1612</v>
      </c>
      <c r="CE149" s="45">
        <v>1610</v>
      </c>
      <c r="CF149" s="45">
        <v>1513</v>
      </c>
      <c r="CG149" s="45">
        <v>1512</v>
      </c>
      <c r="CH149" s="45">
        <v>1510</v>
      </c>
      <c r="CI149" s="45">
        <v>1312</v>
      </c>
      <c r="CJ149" s="45">
        <v>1310</v>
      </c>
      <c r="DK149" s="8">
        <v>1</v>
      </c>
      <c r="DL149" s="8">
        <v>1</v>
      </c>
      <c r="DM149" s="8"/>
      <c r="DN149" s="8"/>
      <c r="DO149" s="50"/>
      <c r="DP149" s="50"/>
      <c r="DQ149" s="50"/>
      <c r="DR149" s="50"/>
      <c r="DS149" s="50"/>
      <c r="DT149" s="50"/>
      <c r="DU149" s="50"/>
      <c r="DV149" s="50"/>
      <c r="DW149" s="50"/>
      <c r="DX149" s="50"/>
      <c r="DY149" s="50"/>
      <c r="DZ149" s="50"/>
      <c r="EA149" s="50"/>
      <c r="EB149" s="50"/>
      <c r="EC149" s="50"/>
      <c r="ED149" s="50"/>
      <c r="EE149" s="50"/>
      <c r="EF149" s="50"/>
      <c r="EG149" s="50"/>
      <c r="EH149" s="50"/>
      <c r="EI149" s="50">
        <v>1</v>
      </c>
      <c r="EJ149" s="50"/>
      <c r="EK149" s="50"/>
      <c r="EL149" s="50"/>
      <c r="EM149" s="50"/>
      <c r="EN149" s="50"/>
      <c r="EO149" s="50"/>
      <c r="EP149" s="50"/>
      <c r="EQ149" s="50"/>
      <c r="ER149" s="50"/>
      <c r="ET149" s="55">
        <f t="shared" si="8"/>
        <v>1</v>
      </c>
    </row>
    <row r="150" spans="1:150" s="5" customFormat="1" ht="16" customHeight="1" x14ac:dyDescent="0.2">
      <c r="A150" s="5">
        <v>63</v>
      </c>
      <c r="B150" s="8" t="s">
        <v>678</v>
      </c>
      <c r="C150" s="8" t="s">
        <v>349</v>
      </c>
      <c r="D150" s="5">
        <v>125</v>
      </c>
      <c r="E150" s="5" t="s">
        <v>350</v>
      </c>
      <c r="F150" s="21" t="s">
        <v>351</v>
      </c>
      <c r="G150" s="21">
        <v>149</v>
      </c>
      <c r="H150" s="5">
        <f t="shared" si="6"/>
        <v>63125</v>
      </c>
      <c r="I150" t="s">
        <v>1172</v>
      </c>
      <c r="J150">
        <v>215</v>
      </c>
      <c r="K150">
        <v>59</v>
      </c>
      <c r="L150">
        <v>62</v>
      </c>
      <c r="M150" s="6">
        <v>255</v>
      </c>
      <c r="N150" s="6" t="str">
        <f t="shared" si="7"/>
        <v>149: (215, 59, 62, 255, Vegetation gain (amount) (thinning): 63125),</v>
      </c>
      <c r="O150" s="5" t="str">
        <f>VLOOKUP(Australia!B150,Impacts!$A$2:$B$80,2, FALSE)</f>
        <v>Expansion of whole plant communities into an area. This includes native vegetation.</v>
      </c>
      <c r="P150" s="5" t="str">
        <f>VLOOKUP(E150,Pressures!$A$2:$B$145,2,FALSE)</f>
        <v xml:space="preserve">Removal or death of plants or parts of plants to decrease plant density in a stand and facilitate growth of remaining plants. </v>
      </c>
      <c r="V150" s="29">
        <v>111111</v>
      </c>
      <c r="AU150" s="31">
        <v>11</v>
      </c>
      <c r="AV150" s="31">
        <v>22</v>
      </c>
      <c r="AW150" s="8">
        <v>0</v>
      </c>
      <c r="AX150" s="8">
        <v>0</v>
      </c>
      <c r="AY150" s="8"/>
      <c r="AZ150" s="8">
        <v>1</v>
      </c>
      <c r="BA150" s="8">
        <v>2</v>
      </c>
      <c r="BB150" s="8">
        <v>3</v>
      </c>
      <c r="BC150" s="8"/>
      <c r="BD150" s="8"/>
      <c r="BE150" s="8"/>
      <c r="BF150" s="8"/>
      <c r="BG150" s="8"/>
      <c r="BH150" s="8"/>
      <c r="BI150" s="8"/>
      <c r="BJ150" s="8"/>
      <c r="BK150" s="8"/>
      <c r="BL150" s="8"/>
      <c r="BM150" s="8"/>
      <c r="BN150" s="9">
        <v>216112</v>
      </c>
      <c r="BO150" s="8"/>
      <c r="BP150" s="9">
        <v>216124</v>
      </c>
      <c r="BQ150" s="8"/>
      <c r="BR150" s="8"/>
      <c r="BS150" s="8"/>
      <c r="BT150" s="8"/>
      <c r="BU150" s="8"/>
      <c r="BV150" s="8"/>
      <c r="BW150" s="8"/>
      <c r="BX150" s="8"/>
      <c r="BY150" s="8"/>
      <c r="CB150" s="45">
        <v>1615</v>
      </c>
      <c r="CC150" s="45">
        <v>1613</v>
      </c>
      <c r="CD150" s="45">
        <v>1612</v>
      </c>
      <c r="CE150" s="45">
        <v>1610</v>
      </c>
      <c r="CF150" s="45">
        <v>1513</v>
      </c>
      <c r="CG150" s="45">
        <v>1512</v>
      </c>
      <c r="CH150" s="45">
        <v>1510</v>
      </c>
      <c r="CI150" s="45">
        <v>1312</v>
      </c>
      <c r="CJ150" s="45">
        <v>1310</v>
      </c>
      <c r="DK150" s="8">
        <v>1</v>
      </c>
      <c r="DL150" s="8">
        <v>1</v>
      </c>
      <c r="DM150" s="8"/>
      <c r="DN150" s="8"/>
      <c r="DO150" s="50"/>
      <c r="DP150" s="50"/>
      <c r="DQ150" s="50"/>
      <c r="DR150" s="50"/>
      <c r="DS150" s="50"/>
      <c r="DT150" s="50"/>
      <c r="DU150" s="50"/>
      <c r="DV150" s="50"/>
      <c r="DW150" s="50"/>
      <c r="DX150" s="50"/>
      <c r="DY150" s="50"/>
      <c r="DZ150" s="50"/>
      <c r="EA150" s="50"/>
      <c r="EB150" s="50"/>
      <c r="EC150" s="50"/>
      <c r="ED150" s="50"/>
      <c r="EE150" s="50"/>
      <c r="EF150" s="50"/>
      <c r="EG150" s="50"/>
      <c r="EH150" s="50">
        <v>1</v>
      </c>
      <c r="EI150" s="50"/>
      <c r="EJ150" s="50"/>
      <c r="EK150" s="50"/>
      <c r="EL150" s="50"/>
      <c r="EM150" s="50"/>
      <c r="EN150" s="50"/>
      <c r="EO150" s="50"/>
      <c r="EP150" s="50"/>
      <c r="EQ150" s="50"/>
      <c r="ER150" s="50"/>
      <c r="ET150" s="55">
        <f t="shared" si="8"/>
        <v>1</v>
      </c>
    </row>
    <row r="151" spans="1:150" s="5" customFormat="1" ht="16" customHeight="1" x14ac:dyDescent="0.2">
      <c r="A151" s="5">
        <v>63</v>
      </c>
      <c r="B151" s="39" t="s">
        <v>678</v>
      </c>
      <c r="C151" s="39" t="s">
        <v>384</v>
      </c>
      <c r="D151" s="5">
        <v>132</v>
      </c>
      <c r="E151" s="5" t="s">
        <v>385</v>
      </c>
      <c r="F151" s="21" t="s">
        <v>386</v>
      </c>
      <c r="G151" s="21">
        <v>150</v>
      </c>
      <c r="H151" s="5">
        <f t="shared" si="6"/>
        <v>63132</v>
      </c>
      <c r="I151" t="s">
        <v>1173</v>
      </c>
      <c r="J151">
        <v>0</v>
      </c>
      <c r="K151">
        <v>127</v>
      </c>
      <c r="L151">
        <v>92</v>
      </c>
      <c r="M151" s="6">
        <v>255</v>
      </c>
      <c r="N151" s="6" t="str">
        <f t="shared" si="7"/>
        <v>150: (0, 127, 92, 255, Vegetation gain (amount) (urban greening): 63132),</v>
      </c>
      <c r="O151" s="5" t="str">
        <f>VLOOKUP(Australia!B151,Impacts!$A$2:$B$80,2, FALSE)</f>
        <v>Expansion of whole plant communities into an area. This includes native vegetation.</v>
      </c>
      <c r="P151" s="5" t="str">
        <f>VLOOKUP(E151,Pressures!$A$2:$B$145,2,FALSE)</f>
        <v>Increase in the area of vegetation in urban settings by establishing parks and urban farms and by planting trees and other forms of vegetation.</v>
      </c>
      <c r="AE151" s="29">
        <v>215111</v>
      </c>
      <c r="AF151" s="29">
        <v>215112</v>
      </c>
      <c r="AG151" s="29">
        <v>215124</v>
      </c>
      <c r="AU151" s="31">
        <v>11</v>
      </c>
      <c r="AV151" s="31">
        <v>22</v>
      </c>
      <c r="AW151" s="5">
        <v>0</v>
      </c>
      <c r="AX151" s="5">
        <v>0</v>
      </c>
      <c r="AZ151" s="5">
        <v>1</v>
      </c>
      <c r="BA151" s="5">
        <v>2</v>
      </c>
      <c r="BB151" s="5">
        <v>3</v>
      </c>
      <c r="BM151" s="7">
        <v>220111</v>
      </c>
      <c r="BN151" s="7">
        <v>220112</v>
      </c>
      <c r="BO151" s="7">
        <v>220123</v>
      </c>
      <c r="BP151" s="7">
        <v>220124</v>
      </c>
      <c r="BZ151" s="31">
        <v>21</v>
      </c>
      <c r="CB151" s="45">
        <v>1615</v>
      </c>
      <c r="CC151" s="45">
        <v>1613</v>
      </c>
      <c r="CD151" s="45">
        <v>1612</v>
      </c>
      <c r="CE151" s="45">
        <v>1610</v>
      </c>
      <c r="CF151" s="45">
        <v>1513</v>
      </c>
      <c r="CG151" s="45">
        <v>1512</v>
      </c>
      <c r="CH151" s="45">
        <v>1510</v>
      </c>
      <c r="CI151" s="45">
        <v>1312</v>
      </c>
      <c r="CJ151" s="45">
        <v>1310</v>
      </c>
      <c r="DK151" s="8"/>
      <c r="DL151" s="8"/>
      <c r="DM151" s="8"/>
      <c r="DN151" s="8"/>
      <c r="DO151" s="50"/>
      <c r="DP151" s="50"/>
      <c r="DQ151" s="50"/>
      <c r="DR151" s="50"/>
      <c r="DS151" s="50"/>
      <c r="DT151" s="50"/>
      <c r="DU151" s="50"/>
      <c r="DV151" s="50"/>
      <c r="DW151" s="50"/>
      <c r="DX151" s="50"/>
      <c r="DY151" s="50"/>
      <c r="DZ151" s="50"/>
      <c r="EA151" s="50"/>
      <c r="EB151" s="50"/>
      <c r="EC151" s="50"/>
      <c r="ED151" s="50"/>
      <c r="EE151" s="50"/>
      <c r="EF151" s="50"/>
      <c r="EG151" s="50"/>
      <c r="EH151" s="50"/>
      <c r="EI151" s="50"/>
      <c r="EJ151" s="50"/>
      <c r="EK151" s="50"/>
      <c r="EL151" s="50">
        <v>1</v>
      </c>
      <c r="EM151" s="50"/>
      <c r="EN151" s="50"/>
      <c r="EO151" s="50"/>
      <c r="EP151" s="50"/>
      <c r="EQ151" s="50"/>
      <c r="ER151" s="50"/>
      <c r="ET151" s="55">
        <f t="shared" si="8"/>
        <v>1</v>
      </c>
    </row>
    <row r="152" spans="1:150" s="5" customFormat="1" ht="16" customHeight="1" x14ac:dyDescent="0.2">
      <c r="A152" s="5">
        <v>63</v>
      </c>
      <c r="B152" s="8" t="s">
        <v>678</v>
      </c>
      <c r="C152" s="8" t="s">
        <v>387</v>
      </c>
      <c r="D152" s="5">
        <v>136</v>
      </c>
      <c r="E152" s="5" t="s">
        <v>388</v>
      </c>
      <c r="F152" s="21" t="s">
        <v>389</v>
      </c>
      <c r="G152" s="21">
        <v>151</v>
      </c>
      <c r="H152" s="5">
        <f t="shared" si="6"/>
        <v>63136</v>
      </c>
      <c r="I152" t="s">
        <v>1174</v>
      </c>
      <c r="J152">
        <v>133</v>
      </c>
      <c r="K152">
        <v>117</v>
      </c>
      <c r="L152">
        <v>78</v>
      </c>
      <c r="M152" s="6">
        <v>255</v>
      </c>
      <c r="N152" s="6" t="str">
        <f t="shared" si="7"/>
        <v>151: (133, 117, 78, 255, Vegetation gain (amount) (vegetation thickening): 63136),</v>
      </c>
      <c r="O152" s="5" t="str">
        <f>VLOOKUP(Australia!B152,Impacts!$A$2:$B$80,2, FALSE)</f>
        <v>Expansion of whole plant communities into an area. This includes native vegetation.</v>
      </c>
      <c r="P152" s="5" t="str">
        <f>VLOOKUP(E152,Pressures!$A$2:$B$145,2,FALSE)</f>
        <v>Increasing shrub and tree density on grazed rangelands, woodlands and forests that may or may not have supported such woody plant populations in the past.</v>
      </c>
      <c r="W152" s="29">
        <v>112112</v>
      </c>
      <c r="Y152" s="29">
        <v>124124</v>
      </c>
      <c r="AU152" s="31">
        <v>11</v>
      </c>
      <c r="AV152" s="31">
        <v>22</v>
      </c>
      <c r="AW152" s="5">
        <v>0</v>
      </c>
      <c r="AX152" s="5">
        <v>0</v>
      </c>
      <c r="AZ152" s="5">
        <v>1</v>
      </c>
      <c r="BA152" s="5">
        <v>2</v>
      </c>
      <c r="BB152" s="5">
        <v>3</v>
      </c>
      <c r="BD152" s="7">
        <v>111111</v>
      </c>
      <c r="BE152" s="7">
        <v>112112</v>
      </c>
      <c r="BF152" s="7">
        <v>123123</v>
      </c>
      <c r="BG152" s="7">
        <v>124124</v>
      </c>
      <c r="BV152" s="5">
        <v>22</v>
      </c>
      <c r="BX152" s="5" t="s">
        <v>717</v>
      </c>
      <c r="BZ152" s="31">
        <v>21</v>
      </c>
      <c r="CB152" s="45">
        <v>1615</v>
      </c>
      <c r="CC152" s="45">
        <v>1613</v>
      </c>
      <c r="CD152" s="45">
        <v>1612</v>
      </c>
      <c r="CE152" s="45">
        <v>1610</v>
      </c>
      <c r="CF152" s="45">
        <v>1513</v>
      </c>
      <c r="CG152" s="45">
        <v>1512</v>
      </c>
      <c r="CH152" s="45">
        <v>1510</v>
      </c>
      <c r="CI152" s="45">
        <v>1312</v>
      </c>
      <c r="CJ152" s="45">
        <v>1310</v>
      </c>
      <c r="DK152" s="8"/>
      <c r="DL152" s="8"/>
      <c r="DM152" s="8"/>
      <c r="DN152" s="8"/>
      <c r="DO152" s="50"/>
      <c r="DP152" s="50"/>
      <c r="DQ152" s="50"/>
      <c r="DR152" s="50"/>
      <c r="DS152" s="50"/>
      <c r="DT152" s="50"/>
      <c r="DU152" s="50"/>
      <c r="DV152" s="50"/>
      <c r="DW152" s="50"/>
      <c r="DX152" s="50"/>
      <c r="DY152" s="50"/>
      <c r="DZ152" s="50"/>
      <c r="EA152" s="50"/>
      <c r="EB152" s="50"/>
      <c r="EC152" s="50"/>
      <c r="ED152" s="50"/>
      <c r="EE152" s="50"/>
      <c r="EF152" s="50"/>
      <c r="EG152" s="50"/>
      <c r="EH152" s="50"/>
      <c r="EI152" s="50">
        <v>1</v>
      </c>
      <c r="EJ152" s="50"/>
      <c r="EK152" s="50"/>
      <c r="EL152" s="50"/>
      <c r="EM152" s="50"/>
      <c r="EN152" s="50"/>
      <c r="EO152" s="50"/>
      <c r="EP152" s="50"/>
      <c r="EQ152" s="50"/>
      <c r="ER152" s="50"/>
      <c r="ET152" s="55">
        <f t="shared" si="8"/>
        <v>1</v>
      </c>
    </row>
    <row r="153" spans="1:150" s="5" customFormat="1" ht="16" customHeight="1" x14ac:dyDescent="0.2">
      <c r="A153" s="5">
        <v>64</v>
      </c>
      <c r="B153" s="8" t="s">
        <v>673</v>
      </c>
      <c r="C153" s="39" t="s">
        <v>352</v>
      </c>
      <c r="D153" s="5">
        <v>2</v>
      </c>
      <c r="E153" s="5" t="s">
        <v>353</v>
      </c>
      <c r="F153" s="21" t="s">
        <v>390</v>
      </c>
      <c r="G153" s="21">
        <v>152</v>
      </c>
      <c r="H153" s="5">
        <f t="shared" si="6"/>
        <v>64002</v>
      </c>
      <c r="I153" t="s">
        <v>1175</v>
      </c>
      <c r="J153">
        <v>0</v>
      </c>
      <c r="K153">
        <v>117</v>
      </c>
      <c r="L153">
        <v>94</v>
      </c>
      <c r="M153" s="6">
        <v>255</v>
      </c>
      <c r="N153" s="6" t="str">
        <f t="shared" si="7"/>
        <v>152: (0, 117, 94, 255, Vegetation gain (extent) (afforestation): 64002),</v>
      </c>
      <c r="O153" s="5" t="str">
        <f>VLOOKUP(Australia!B153,Impacts!$A$2:$B$80,2, FALSE)</f>
        <v>An increase in the area occupied by plants.</v>
      </c>
      <c r="P153" s="5" t="str">
        <f>VLOOKUP(E153,Pressures!$A$2:$B$145,2,FALSE)</f>
        <v>Establishment of forest through planting and/or deliberate seeding on land that, until then, was under a different land use.</v>
      </c>
      <c r="V153" s="29">
        <v>111111</v>
      </c>
      <c r="AE153" s="29">
        <v>111112</v>
      </c>
      <c r="AF153" s="29">
        <v>111124</v>
      </c>
      <c r="AG153" s="33">
        <v>123123</v>
      </c>
      <c r="AH153" s="32">
        <v>123112</v>
      </c>
      <c r="AI153" s="32">
        <v>123124</v>
      </c>
      <c r="AU153" s="31">
        <v>1</v>
      </c>
      <c r="CB153" s="31">
        <v>1615</v>
      </c>
      <c r="CC153" s="31">
        <v>1613</v>
      </c>
      <c r="CD153" s="31">
        <v>1612</v>
      </c>
      <c r="CE153" s="31">
        <v>1610</v>
      </c>
      <c r="CF153" s="31">
        <v>1513</v>
      </c>
      <c r="CG153" s="31">
        <v>1512</v>
      </c>
      <c r="CH153" s="31">
        <v>1510</v>
      </c>
      <c r="CI153" s="31">
        <v>1312</v>
      </c>
      <c r="CJ153" s="31">
        <v>1310</v>
      </c>
      <c r="DK153" s="8"/>
      <c r="DL153" s="8"/>
      <c r="DM153" s="8"/>
      <c r="DN153" s="8"/>
      <c r="DO153" s="50"/>
      <c r="DP153" s="50"/>
      <c r="DQ153" s="50"/>
      <c r="DR153" s="50"/>
      <c r="DS153" s="50"/>
      <c r="DT153" s="50"/>
      <c r="DU153" s="50"/>
      <c r="DV153" s="50"/>
      <c r="DW153" s="50"/>
      <c r="DX153" s="50"/>
      <c r="DY153" s="50"/>
      <c r="DZ153" s="50"/>
      <c r="EA153" s="50"/>
      <c r="EB153" s="50"/>
      <c r="EC153" s="50"/>
      <c r="ED153" s="50"/>
      <c r="EE153" s="50"/>
      <c r="EF153" s="50"/>
      <c r="EG153" s="50"/>
      <c r="EH153" s="50">
        <v>1</v>
      </c>
      <c r="EI153" s="50"/>
      <c r="EJ153" s="50"/>
      <c r="EK153" s="50"/>
      <c r="EL153" s="50"/>
      <c r="EM153" s="50"/>
      <c r="EN153" s="50"/>
      <c r="EO153" s="50"/>
      <c r="EP153" s="50"/>
      <c r="EQ153" s="50"/>
      <c r="ER153" s="50"/>
      <c r="ET153" s="55">
        <f t="shared" si="8"/>
        <v>1</v>
      </c>
    </row>
    <row r="154" spans="1:150" s="24" customFormat="1" ht="16" customHeight="1" x14ac:dyDescent="0.2">
      <c r="A154" s="24">
        <v>64</v>
      </c>
      <c r="B154" s="40" t="s">
        <v>673</v>
      </c>
      <c r="C154" s="40" t="s">
        <v>391</v>
      </c>
      <c r="D154" s="24">
        <v>15</v>
      </c>
      <c r="E154" s="24" t="s">
        <v>392</v>
      </c>
      <c r="F154" s="24" t="s">
        <v>393</v>
      </c>
      <c r="G154" s="24">
        <v>153</v>
      </c>
      <c r="H154" s="24">
        <f t="shared" si="6"/>
        <v>64015</v>
      </c>
      <c r="I154" s="25" t="s">
        <v>1176</v>
      </c>
      <c r="J154" s="25">
        <v>0</v>
      </c>
      <c r="K154" s="25">
        <v>255</v>
      </c>
      <c r="L154" s="25">
        <v>0</v>
      </c>
      <c r="M154" s="26">
        <v>255</v>
      </c>
      <c r="N154" s="26" t="str">
        <f t="shared" si="7"/>
        <v>153: (0, 255, 0, 255, Vegetation gain (extent) (colonisation): 64015),</v>
      </c>
      <c r="O154" s="24" t="str">
        <f>VLOOKUP(Australia!B154,Impacts!$A$2:$B$80,2, FALSE)</f>
        <v>An increase in the area occupied by plants.</v>
      </c>
      <c r="P154" s="24" t="str">
        <f>VLOOKUP(E154,Pressures!$A$2:$B$145,2,FALSE)</f>
        <v>Occupation of a habitat or territory by a biological community or of an ecological niche by a single population of a species.</v>
      </c>
      <c r="V154" s="5"/>
      <c r="W154" s="5"/>
      <c r="X154" s="5"/>
      <c r="Y154" s="5"/>
      <c r="AE154" s="32">
        <v>216112</v>
      </c>
      <c r="AF154" s="32">
        <v>216124</v>
      </c>
      <c r="AG154" s="33">
        <v>220112</v>
      </c>
      <c r="AH154" s="33">
        <v>220124</v>
      </c>
      <c r="AI154" s="33"/>
      <c r="AU154" s="31">
        <v>1</v>
      </c>
      <c r="AV154" s="31">
        <v>2</v>
      </c>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31">
        <v>1615</v>
      </c>
      <c r="CC154" s="31">
        <v>1613</v>
      </c>
      <c r="CD154" s="31">
        <v>1612</v>
      </c>
      <c r="CE154" s="31">
        <v>1610</v>
      </c>
      <c r="CF154" s="31">
        <v>1513</v>
      </c>
      <c r="CG154" s="31">
        <v>1512</v>
      </c>
      <c r="CH154" s="31">
        <v>1510</v>
      </c>
      <c r="CI154" s="31">
        <v>1312</v>
      </c>
      <c r="CJ154" s="31">
        <v>1310</v>
      </c>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K154" s="27"/>
      <c r="DL154" s="27"/>
      <c r="DM154" s="27"/>
      <c r="DN154" s="27"/>
      <c r="DO154" s="51"/>
      <c r="DP154" s="51"/>
      <c r="DQ154" s="51"/>
      <c r="DR154" s="51"/>
      <c r="DS154" s="51"/>
      <c r="DT154" s="51"/>
      <c r="DU154" s="51"/>
      <c r="DV154" s="51"/>
      <c r="DW154" s="51"/>
      <c r="DX154" s="51"/>
      <c r="DY154" s="51"/>
      <c r="DZ154" s="51"/>
      <c r="EA154" s="51"/>
      <c r="EB154" s="51"/>
      <c r="EC154" s="51"/>
      <c r="ED154" s="51"/>
      <c r="EE154" s="51"/>
      <c r="EF154" s="51"/>
      <c r="EG154" s="51"/>
      <c r="EH154" s="51"/>
      <c r="EI154" s="51">
        <v>1</v>
      </c>
      <c r="EJ154" s="51"/>
      <c r="EK154" s="51"/>
      <c r="EL154" s="51"/>
      <c r="EM154" s="51"/>
      <c r="EN154" s="51"/>
      <c r="EO154" s="51"/>
      <c r="EP154" s="51"/>
      <c r="EQ154" s="51"/>
      <c r="ER154" s="51"/>
      <c r="ET154" s="55">
        <f t="shared" si="8"/>
        <v>1</v>
      </c>
    </row>
    <row r="155" spans="1:150" s="5" customFormat="1" ht="16" customHeight="1" x14ac:dyDescent="0.2">
      <c r="A155" s="5">
        <v>64</v>
      </c>
      <c r="B155" s="40" t="s">
        <v>673</v>
      </c>
      <c r="C155" s="40" t="s">
        <v>184</v>
      </c>
      <c r="D155" s="5">
        <v>27</v>
      </c>
      <c r="E155" s="5" t="s">
        <v>185</v>
      </c>
      <c r="F155" s="22" t="s">
        <v>406</v>
      </c>
      <c r="G155" s="21">
        <v>154</v>
      </c>
      <c r="H155" s="5">
        <f t="shared" si="6"/>
        <v>64027</v>
      </c>
      <c r="I155" t="s">
        <v>1177</v>
      </c>
      <c r="J155">
        <v>0</v>
      </c>
      <c r="K155">
        <v>73</v>
      </c>
      <c r="L155">
        <v>83</v>
      </c>
      <c r="M155" s="6">
        <v>255</v>
      </c>
      <c r="N155" s="6" t="str">
        <f t="shared" si="7"/>
        <v>154: (0, 73, 83, 255, Vegetation gain (extent) (decreased wave action): 64027),</v>
      </c>
      <c r="O155" s="5" t="str">
        <f>VLOOKUP(Australia!B155,Impacts!$A$2:$B$80,2, FALSE)</f>
        <v>An increase in the area occupied by plants.</v>
      </c>
      <c r="P155" s="5" t="str">
        <f>VLOOKUP(E155,Pressures!$A$2:$B$145,2,FALSE)</f>
        <v>Disturbance on the surface of a liquid body, as the sea or a lake, in the form of a moving ridge or swell that impacts on the structure of land elements.</v>
      </c>
      <c r="AG155" s="33"/>
      <c r="AH155" s="33"/>
      <c r="AI155" s="33"/>
      <c r="AU155" s="31">
        <v>1</v>
      </c>
      <c r="AV155" s="31">
        <v>2</v>
      </c>
      <c r="CB155" s="31">
        <v>1615</v>
      </c>
      <c r="CC155" s="31">
        <v>1613</v>
      </c>
      <c r="CD155" s="31">
        <v>1612</v>
      </c>
      <c r="CE155" s="31">
        <v>1610</v>
      </c>
      <c r="CF155" s="31">
        <v>1513</v>
      </c>
      <c r="CG155" s="31">
        <v>1512</v>
      </c>
      <c r="CH155" s="31">
        <v>1510</v>
      </c>
      <c r="CI155" s="31">
        <v>1312</v>
      </c>
      <c r="CJ155" s="31">
        <v>1310</v>
      </c>
      <c r="DK155" s="8"/>
      <c r="DL155" s="8"/>
      <c r="DM155" s="8"/>
      <c r="DN155" s="8"/>
      <c r="DO155" s="50"/>
      <c r="DP155" s="50"/>
      <c r="DQ155" s="50"/>
      <c r="DR155" s="50"/>
      <c r="DS155" s="50"/>
      <c r="DT155" s="50"/>
      <c r="DU155" s="50"/>
      <c r="DV155" s="50"/>
      <c r="DW155" s="50"/>
      <c r="DX155" s="50"/>
      <c r="DY155" s="50"/>
      <c r="DZ155" s="50"/>
      <c r="EA155" s="50"/>
      <c r="EB155" s="50"/>
      <c r="EC155" s="50"/>
      <c r="ED155" s="50"/>
      <c r="EE155" s="50">
        <v>1</v>
      </c>
      <c r="EF155" s="50"/>
      <c r="EG155" s="50"/>
      <c r="EH155" s="50"/>
      <c r="EI155" s="50"/>
      <c r="EJ155" s="50"/>
      <c r="EK155" s="50"/>
      <c r="EL155" s="50"/>
      <c r="EM155" s="50"/>
      <c r="EN155" s="50"/>
      <c r="EO155" s="50"/>
      <c r="EP155" s="50"/>
      <c r="EQ155" s="50"/>
      <c r="ER155" s="50"/>
      <c r="ET155" s="55">
        <f t="shared" si="8"/>
        <v>1</v>
      </c>
    </row>
    <row r="156" spans="1:150" s="5" customFormat="1" ht="16" customHeight="1" x14ac:dyDescent="0.2">
      <c r="A156" s="5">
        <v>64</v>
      </c>
      <c r="B156" s="40" t="s">
        <v>673</v>
      </c>
      <c r="C156" s="40" t="s">
        <v>358</v>
      </c>
      <c r="D156" s="5">
        <v>33</v>
      </c>
      <c r="E156" s="5" t="s">
        <v>359</v>
      </c>
      <c r="F156" s="21" t="s">
        <v>394</v>
      </c>
      <c r="G156" s="21">
        <v>155</v>
      </c>
      <c r="H156" s="5">
        <f t="shared" si="6"/>
        <v>64033</v>
      </c>
      <c r="I156" t="s">
        <v>1178</v>
      </c>
      <c r="J156">
        <v>0</v>
      </c>
      <c r="K156">
        <v>128</v>
      </c>
      <c r="L156">
        <v>0</v>
      </c>
      <c r="M156" s="6">
        <v>255</v>
      </c>
      <c r="N156" s="6" t="str">
        <f t="shared" si="7"/>
        <v>155: (0, 128, 0, 255, Vegetation gain (extent) (ecological restoration): 64033),</v>
      </c>
      <c r="O156" s="5" t="str">
        <f>VLOOKUP(Australia!B156,Impacts!$A$2:$B$80,2, FALSE)</f>
        <v>An increase in the area occupied by plants.</v>
      </c>
      <c r="P156" s="5" t="str">
        <f>VLOOKUP(E156,Pressures!$A$2:$B$145,2,FALSE)</f>
        <v>The process of assisting the recovery of an ecosystem that has been degraded, damaged or destroyed including through mechanical habitat rejuvenation.</v>
      </c>
      <c r="AE156" s="32">
        <v>227112</v>
      </c>
      <c r="AF156" s="32">
        <v>227124</v>
      </c>
      <c r="AG156" s="32">
        <v>228112</v>
      </c>
      <c r="AH156" s="32">
        <v>228124</v>
      </c>
      <c r="AI156" s="32">
        <v>220112</v>
      </c>
      <c r="AJ156" s="32">
        <v>220124</v>
      </c>
      <c r="AU156" s="31">
        <v>1</v>
      </c>
      <c r="AV156" s="31">
        <v>2</v>
      </c>
      <c r="CB156" s="31">
        <v>1615</v>
      </c>
      <c r="CC156" s="31">
        <v>1613</v>
      </c>
      <c r="CD156" s="31">
        <v>1612</v>
      </c>
      <c r="CE156" s="31">
        <v>1610</v>
      </c>
      <c r="CF156" s="31">
        <v>1513</v>
      </c>
      <c r="CG156" s="31">
        <v>1512</v>
      </c>
      <c r="CH156" s="31">
        <v>1510</v>
      </c>
      <c r="CI156" s="31">
        <v>1312</v>
      </c>
      <c r="CJ156" s="31">
        <v>1310</v>
      </c>
      <c r="DK156" s="8">
        <v>-1</v>
      </c>
      <c r="DL156" s="8">
        <v>1</v>
      </c>
      <c r="DM156" s="8"/>
      <c r="DN156" s="8"/>
      <c r="DO156" s="50"/>
      <c r="DP156" s="50"/>
      <c r="DQ156" s="50"/>
      <c r="DR156" s="50"/>
      <c r="DS156" s="50"/>
      <c r="DT156" s="50"/>
      <c r="DU156" s="50"/>
      <c r="DV156" s="50"/>
      <c r="DW156" s="50"/>
      <c r="DX156" s="50"/>
      <c r="DY156" s="50"/>
      <c r="DZ156" s="50"/>
      <c r="EA156" s="50"/>
      <c r="EB156" s="50"/>
      <c r="EC156" s="50"/>
      <c r="ED156" s="50"/>
      <c r="EE156" s="50"/>
      <c r="EF156" s="50"/>
      <c r="EG156" s="50"/>
      <c r="EH156" s="50"/>
      <c r="EI156" s="50"/>
      <c r="EJ156" s="50"/>
      <c r="EK156" s="50"/>
      <c r="EL156" s="50">
        <v>1</v>
      </c>
      <c r="EM156" s="50"/>
      <c r="EN156" s="50"/>
      <c r="EO156" s="50"/>
      <c r="EP156" s="50"/>
      <c r="EQ156" s="50"/>
      <c r="ER156" s="50"/>
      <c r="ET156" s="55">
        <f t="shared" si="8"/>
        <v>1</v>
      </c>
    </row>
    <row r="157" spans="1:150" s="5" customFormat="1" ht="16" customHeight="1" x14ac:dyDescent="0.2">
      <c r="A157" s="5">
        <v>64</v>
      </c>
      <c r="B157" s="40" t="s">
        <v>673</v>
      </c>
      <c r="C157" s="40" t="s">
        <v>395</v>
      </c>
      <c r="D157" s="5">
        <v>50</v>
      </c>
      <c r="E157" s="5" t="s">
        <v>396</v>
      </c>
      <c r="F157" s="21" t="s">
        <v>397</v>
      </c>
      <c r="G157" s="21">
        <v>156</v>
      </c>
      <c r="H157" s="5">
        <f t="shared" si="6"/>
        <v>64050</v>
      </c>
      <c r="I157" t="s">
        <v>1179</v>
      </c>
      <c r="J157">
        <v>124</v>
      </c>
      <c r="K157">
        <v>252</v>
      </c>
      <c r="L157">
        <v>0</v>
      </c>
      <c r="M157" s="6">
        <v>255</v>
      </c>
      <c r="N157" s="6" t="str">
        <f t="shared" si="7"/>
        <v>156: (124, 252, 0, 255, Vegetation gain (extent) (greenspace construction): 64050),</v>
      </c>
      <c r="O157" s="5" t="str">
        <f>VLOOKUP(Australia!B157,Impacts!$A$2:$B$80,2, FALSE)</f>
        <v>An increase in the area occupied by plants.</v>
      </c>
      <c r="P157" s="5" t="str">
        <f>VLOOKUP(E157,Pressures!$A$2:$B$145,2,FALSE)</f>
        <v>Replacement of urban built spaces with vegetation.</v>
      </c>
      <c r="AE157" s="32">
        <v>215111</v>
      </c>
      <c r="AF157" s="32">
        <v>215124</v>
      </c>
      <c r="AU157" s="31">
        <v>1</v>
      </c>
      <c r="AV157" s="31">
        <v>2</v>
      </c>
      <c r="CB157" s="31">
        <v>1615</v>
      </c>
      <c r="CC157" s="31">
        <v>1613</v>
      </c>
      <c r="CD157" s="31">
        <v>1612</v>
      </c>
      <c r="CE157" s="31">
        <v>1610</v>
      </c>
      <c r="CF157" s="31">
        <v>1513</v>
      </c>
      <c r="CG157" s="31">
        <v>1512</v>
      </c>
      <c r="CH157" s="31">
        <v>1510</v>
      </c>
      <c r="CI157" s="31">
        <v>1312</v>
      </c>
      <c r="CJ157" s="31">
        <v>1310</v>
      </c>
      <c r="DK157" s="8"/>
      <c r="DL157" s="8"/>
      <c r="DM157" s="8"/>
      <c r="DN157" s="8"/>
      <c r="DO157" s="50"/>
      <c r="DP157" s="50"/>
      <c r="DQ157" s="50"/>
      <c r="DR157" s="50"/>
      <c r="DS157" s="50"/>
      <c r="DT157" s="50"/>
      <c r="DU157" s="50"/>
      <c r="DV157" s="50"/>
      <c r="DW157" s="50"/>
      <c r="DX157" s="50"/>
      <c r="DY157" s="50"/>
      <c r="DZ157" s="50"/>
      <c r="EA157" s="50"/>
      <c r="EB157" s="50"/>
      <c r="EC157" s="50"/>
      <c r="ED157" s="50"/>
      <c r="EE157" s="50"/>
      <c r="EF157" s="50"/>
      <c r="EG157" s="50"/>
      <c r="EH157" s="50"/>
      <c r="EI157" s="50"/>
      <c r="EJ157" s="50"/>
      <c r="EK157" s="50"/>
      <c r="EL157" s="50">
        <v>1</v>
      </c>
      <c r="EM157" s="50"/>
      <c r="EN157" s="50"/>
      <c r="EO157" s="50"/>
      <c r="EP157" s="50"/>
      <c r="EQ157" s="50"/>
      <c r="ER157" s="50"/>
      <c r="ET157" s="55">
        <f t="shared" si="8"/>
        <v>1</v>
      </c>
    </row>
    <row r="158" spans="1:150" s="5" customFormat="1" ht="16" customHeight="1" x14ac:dyDescent="0.2">
      <c r="A158" s="5">
        <v>64</v>
      </c>
      <c r="B158" s="40" t="s">
        <v>673</v>
      </c>
      <c r="C158" s="40" t="s">
        <v>398</v>
      </c>
      <c r="D158" s="5">
        <v>78</v>
      </c>
      <c r="E158" s="5" t="s">
        <v>399</v>
      </c>
      <c r="F158" s="21" t="s">
        <v>400</v>
      </c>
      <c r="G158" s="21">
        <v>157</v>
      </c>
      <c r="H158" s="5">
        <f t="shared" si="6"/>
        <v>64078</v>
      </c>
      <c r="I158" t="s">
        <v>1180</v>
      </c>
      <c r="J158">
        <v>34</v>
      </c>
      <c r="K158">
        <v>139</v>
      </c>
      <c r="L158">
        <v>34</v>
      </c>
      <c r="M158" s="6">
        <v>255</v>
      </c>
      <c r="N158" s="6" t="str">
        <f t="shared" si="7"/>
        <v>157: (34, 139, 34, 255, Vegetation gain (extent) (mine site rehabilitation): 64078),</v>
      </c>
      <c r="O158" s="5" t="str">
        <f>VLOOKUP(Australia!B158,Impacts!$A$2:$B$80,2, FALSE)</f>
        <v>An increase in the area occupied by plants.</v>
      </c>
      <c r="P158" s="5" t="str">
        <f>VLOOKUP(E158,Pressures!$A$2:$B$145,2,FALSE)</f>
        <v>Design and construction of landforms as well as the establishment of sustainable ecosystems or alternative vegetation, depending upon desired post-operational land use.</v>
      </c>
      <c r="AE158" s="32">
        <v>215112</v>
      </c>
      <c r="AF158" s="32">
        <v>215124</v>
      </c>
      <c r="AU158" s="31">
        <v>1</v>
      </c>
      <c r="AV158" s="31">
        <v>2</v>
      </c>
      <c r="AW158" s="5">
        <v>1</v>
      </c>
      <c r="AX158" s="5">
        <v>0</v>
      </c>
      <c r="AZ158" s="5">
        <v>1</v>
      </c>
      <c r="BA158" s="5">
        <v>2</v>
      </c>
      <c r="BB158" s="5">
        <v>3</v>
      </c>
      <c r="BD158" s="7">
        <v>111216</v>
      </c>
      <c r="BE158" s="7">
        <v>112216</v>
      </c>
      <c r="CB158" s="31">
        <v>1615</v>
      </c>
      <c r="CC158" s="31">
        <v>1613</v>
      </c>
      <c r="CD158" s="31">
        <v>1612</v>
      </c>
      <c r="CE158" s="31">
        <v>1610</v>
      </c>
      <c r="CF158" s="31">
        <v>1513</v>
      </c>
      <c r="CG158" s="31">
        <v>1512</v>
      </c>
      <c r="CH158" s="31">
        <v>1510</v>
      </c>
      <c r="CI158" s="31">
        <v>1312</v>
      </c>
      <c r="CJ158" s="31">
        <v>1310</v>
      </c>
      <c r="DK158" s="8"/>
      <c r="DL158" s="8"/>
      <c r="DM158" s="8"/>
      <c r="DN158" s="8"/>
      <c r="DO158" s="50"/>
      <c r="DP158" s="50"/>
      <c r="DQ158" s="50"/>
      <c r="DR158" s="50"/>
      <c r="DS158" s="50"/>
      <c r="DT158" s="50"/>
      <c r="DU158" s="50"/>
      <c r="DV158" s="50"/>
      <c r="DW158" s="50"/>
      <c r="DX158" s="50"/>
      <c r="DY158" s="50"/>
      <c r="DZ158" s="50"/>
      <c r="EA158" s="50"/>
      <c r="EB158" s="50"/>
      <c r="EC158" s="50"/>
      <c r="ED158" s="50"/>
      <c r="EE158" s="50"/>
      <c r="EF158" s="50"/>
      <c r="EG158" s="50"/>
      <c r="EH158" s="50"/>
      <c r="EI158" s="50"/>
      <c r="EJ158" s="50"/>
      <c r="EK158" s="50">
        <v>1</v>
      </c>
      <c r="EL158" s="50">
        <v>1</v>
      </c>
      <c r="EM158" s="50"/>
      <c r="EN158" s="50"/>
      <c r="EO158" s="50"/>
      <c r="EP158" s="50"/>
      <c r="EQ158" s="50"/>
      <c r="ER158" s="50"/>
      <c r="ET158" s="55">
        <f t="shared" si="8"/>
        <v>2</v>
      </c>
    </row>
    <row r="159" spans="1:150" s="5" customFormat="1" ht="16" customHeight="1" x14ac:dyDescent="0.2">
      <c r="A159" s="5">
        <v>64</v>
      </c>
      <c r="B159" s="40" t="s">
        <v>673</v>
      </c>
      <c r="C159" s="40" t="s">
        <v>113</v>
      </c>
      <c r="D159" s="5">
        <v>90</v>
      </c>
      <c r="E159" s="5" t="s">
        <v>114</v>
      </c>
      <c r="F159" s="21" t="s">
        <v>401</v>
      </c>
      <c r="G159" s="21">
        <v>158</v>
      </c>
      <c r="H159" s="5">
        <f t="shared" si="6"/>
        <v>64090</v>
      </c>
      <c r="I159" t="s">
        <v>1181</v>
      </c>
      <c r="J159">
        <v>50</v>
      </c>
      <c r="K159">
        <v>205</v>
      </c>
      <c r="L159">
        <v>50</v>
      </c>
      <c r="M159" s="6">
        <v>255</v>
      </c>
      <c r="N159" s="6" t="str">
        <f t="shared" si="7"/>
        <v>158: (50, 205, 50, 255, Vegetation gain (extent) (planting): 64090),</v>
      </c>
      <c r="O159" s="5" t="str">
        <f>VLOOKUP(Australia!B159,Impacts!$A$2:$B$80,2, FALSE)</f>
        <v>An increase in the area occupied by plants.</v>
      </c>
      <c r="P159" s="5" t="str">
        <f>VLOOKUP(E159,Pressures!$A$2:$B$145,2,FALSE)</f>
        <v>Placement of seeds, seedlings or saplings into the ground so they can grow, leading to an increase in vegetation amount or a change in plant species composition.</v>
      </c>
      <c r="AE159" s="32">
        <v>216112</v>
      </c>
      <c r="AF159" s="32">
        <v>216124</v>
      </c>
      <c r="AU159" s="31">
        <v>1</v>
      </c>
      <c r="AV159" s="31">
        <v>2</v>
      </c>
      <c r="AW159" s="5">
        <v>1</v>
      </c>
      <c r="AX159" s="5">
        <v>0</v>
      </c>
      <c r="AZ159" s="5">
        <v>1</v>
      </c>
      <c r="BA159" s="5">
        <v>2</v>
      </c>
      <c r="BB159" s="5">
        <v>3</v>
      </c>
      <c r="BD159" s="7">
        <v>111216</v>
      </c>
      <c r="CB159" s="31">
        <v>1615</v>
      </c>
      <c r="CC159" s="31">
        <v>1613</v>
      </c>
      <c r="CD159" s="31">
        <v>1612</v>
      </c>
      <c r="CE159" s="31">
        <v>1610</v>
      </c>
      <c r="CF159" s="31">
        <v>1513</v>
      </c>
      <c r="CG159" s="31">
        <v>1512</v>
      </c>
      <c r="CH159" s="31">
        <v>1510</v>
      </c>
      <c r="CI159" s="31">
        <v>1312</v>
      </c>
      <c r="CJ159" s="31">
        <v>1310</v>
      </c>
      <c r="DK159" s="8"/>
      <c r="DL159" s="8"/>
      <c r="DM159" s="8"/>
      <c r="DN159" s="8"/>
      <c r="DO159" s="50"/>
      <c r="DP159" s="50"/>
      <c r="DQ159" s="50"/>
      <c r="DR159" s="50"/>
      <c r="DS159" s="50"/>
      <c r="DT159" s="50"/>
      <c r="DU159" s="50"/>
      <c r="DV159" s="50"/>
      <c r="DW159" s="50"/>
      <c r="DX159" s="50"/>
      <c r="DY159" s="50"/>
      <c r="DZ159" s="50"/>
      <c r="EA159" s="50"/>
      <c r="EB159" s="50"/>
      <c r="EC159" s="50"/>
      <c r="ED159" s="50"/>
      <c r="EE159" s="50"/>
      <c r="EF159" s="50"/>
      <c r="EG159" s="50"/>
      <c r="EH159" s="50">
        <v>1</v>
      </c>
      <c r="EI159" s="50"/>
      <c r="EJ159" s="50"/>
      <c r="EK159" s="50"/>
      <c r="EL159" s="50"/>
      <c r="EM159" s="50"/>
      <c r="EN159" s="50"/>
      <c r="EO159" s="50"/>
      <c r="EP159" s="50"/>
      <c r="EQ159" s="50"/>
      <c r="ER159" s="50"/>
      <c r="ET159" s="55">
        <f t="shared" si="8"/>
        <v>1</v>
      </c>
    </row>
    <row r="160" spans="1:150" s="5" customFormat="1" ht="16" customHeight="1" x14ac:dyDescent="0.2">
      <c r="A160" s="5">
        <v>64</v>
      </c>
      <c r="B160" s="40" t="s">
        <v>673</v>
      </c>
      <c r="C160" s="40" t="s">
        <v>402</v>
      </c>
      <c r="D160" s="5">
        <v>105</v>
      </c>
      <c r="E160" s="5" t="s">
        <v>403</v>
      </c>
      <c r="F160" s="21" t="s">
        <v>691</v>
      </c>
      <c r="G160" s="21">
        <v>159</v>
      </c>
      <c r="H160" s="5">
        <f t="shared" si="6"/>
        <v>64105</v>
      </c>
      <c r="I160" t="s">
        <v>1182</v>
      </c>
      <c r="J160">
        <v>0</v>
      </c>
      <c r="K160">
        <v>128</v>
      </c>
      <c r="L160">
        <v>128</v>
      </c>
      <c r="M160" s="6">
        <v>255</v>
      </c>
      <c r="N160" s="6" t="str">
        <f t="shared" si="7"/>
        <v>159: (0, 128, 128, 255, Vegetation gain (extent) (rehabilitation): 64105),</v>
      </c>
      <c r="O160" s="5" t="str">
        <f>VLOOKUP(Australia!B160,Impacts!$A$2:$B$80,2, FALSE)</f>
        <v>An increase in the area occupied by plants.</v>
      </c>
      <c r="P160" s="5" t="str">
        <f>VLOOKUP(E160,Pressures!$A$2:$B$145,2,FALSE)</f>
        <v>The process of returning the land in a given area to some degree of its former state, after some process (industry, natural disasters etc.) has resulted in its damage.</v>
      </c>
      <c r="AE160" s="32">
        <v>111112</v>
      </c>
      <c r="AF160" s="32">
        <v>111124</v>
      </c>
      <c r="AG160" s="32">
        <v>123112</v>
      </c>
      <c r="AH160" s="32">
        <v>123124</v>
      </c>
      <c r="AU160" s="31">
        <v>1</v>
      </c>
      <c r="AV160" s="31">
        <v>2</v>
      </c>
      <c r="AW160" s="5">
        <v>1</v>
      </c>
      <c r="AX160" s="5">
        <v>0</v>
      </c>
      <c r="AZ160" s="5">
        <v>1</v>
      </c>
      <c r="BA160" s="5">
        <v>2</v>
      </c>
      <c r="BB160" s="5">
        <v>3</v>
      </c>
      <c r="BD160" s="7">
        <v>111216</v>
      </c>
      <c r="CB160" s="31">
        <v>1615</v>
      </c>
      <c r="CC160" s="31">
        <v>1613</v>
      </c>
      <c r="CD160" s="31">
        <v>1612</v>
      </c>
      <c r="CE160" s="31">
        <v>1610</v>
      </c>
      <c r="CF160" s="31">
        <v>1513</v>
      </c>
      <c r="CG160" s="31">
        <v>1512</v>
      </c>
      <c r="CH160" s="31">
        <v>1510</v>
      </c>
      <c r="CI160" s="31">
        <v>1312</v>
      </c>
      <c r="CJ160" s="31">
        <v>1310</v>
      </c>
      <c r="DK160" s="8"/>
      <c r="DL160" s="8"/>
      <c r="DM160" s="8"/>
      <c r="DN160" s="8"/>
      <c r="DO160" s="50"/>
      <c r="DP160" s="50"/>
      <c r="DQ160" s="50"/>
      <c r="DR160" s="50"/>
      <c r="DS160" s="50"/>
      <c r="DT160" s="50"/>
      <c r="DU160" s="50"/>
      <c r="DV160" s="50"/>
      <c r="DW160" s="50"/>
      <c r="DX160" s="50"/>
      <c r="DY160" s="50"/>
      <c r="DZ160" s="50"/>
      <c r="EA160" s="50"/>
      <c r="EB160" s="50"/>
      <c r="EC160" s="50"/>
      <c r="ED160" s="50"/>
      <c r="EE160" s="50"/>
      <c r="EF160" s="50"/>
      <c r="EG160" s="50"/>
      <c r="EH160" s="50"/>
      <c r="EI160" s="50"/>
      <c r="EJ160" s="50"/>
      <c r="EK160" s="50">
        <v>1</v>
      </c>
      <c r="EL160" s="50"/>
      <c r="EM160" s="50"/>
      <c r="EN160" s="50"/>
      <c r="EO160" s="50"/>
      <c r="EP160" s="50"/>
      <c r="EQ160" s="50"/>
      <c r="ER160" s="50"/>
      <c r="ET160" s="55">
        <f t="shared" si="8"/>
        <v>1</v>
      </c>
    </row>
    <row r="161" spans="1:150" s="5" customFormat="1" ht="16" customHeight="1" x14ac:dyDescent="0.2">
      <c r="A161" s="5">
        <v>64</v>
      </c>
      <c r="B161" s="40" t="s">
        <v>673</v>
      </c>
      <c r="C161" s="40" t="s">
        <v>381</v>
      </c>
      <c r="D161" s="5">
        <v>108</v>
      </c>
      <c r="E161" s="5" t="s">
        <v>382</v>
      </c>
      <c r="F161" s="21" t="s">
        <v>404</v>
      </c>
      <c r="G161" s="21">
        <v>160</v>
      </c>
      <c r="H161" s="5">
        <f t="shared" si="6"/>
        <v>64108</v>
      </c>
      <c r="I161" t="s">
        <v>1183</v>
      </c>
      <c r="J161">
        <v>0</v>
      </c>
      <c r="K161">
        <v>100</v>
      </c>
      <c r="L161">
        <v>0</v>
      </c>
      <c r="M161" s="6">
        <v>255</v>
      </c>
      <c r="N161" s="6" t="str">
        <f t="shared" si="7"/>
        <v>160: (0, 100, 0, 255, Vegetation gain (extent) (revegetation): 64108),</v>
      </c>
      <c r="O161" s="5" t="str">
        <f>VLOOKUP(Australia!B161,Impacts!$A$2:$B$80,2, FALSE)</f>
        <v>An increase in the area occupied by plants.</v>
      </c>
      <c r="P161" s="5" t="str">
        <f>VLOOKUP(E161,Pressures!$A$2:$B$145,2,FALSE)</f>
        <v xml:space="preserve">The re-establishment of vegetation (excluding forests) in areas that have been cleared or highly modified. </v>
      </c>
      <c r="AE161" s="32">
        <v>111112</v>
      </c>
      <c r="AF161" s="32">
        <v>111124</v>
      </c>
      <c r="AG161" s="32">
        <v>123112</v>
      </c>
      <c r="AH161" s="32">
        <v>123124</v>
      </c>
      <c r="AU161" s="31">
        <v>1</v>
      </c>
      <c r="AV161" s="31">
        <v>2</v>
      </c>
      <c r="AW161" s="5">
        <v>1</v>
      </c>
      <c r="AX161" s="5">
        <v>0</v>
      </c>
      <c r="AZ161" s="5">
        <v>1</v>
      </c>
      <c r="BA161" s="5">
        <v>2</v>
      </c>
      <c r="BB161" s="5">
        <v>3</v>
      </c>
      <c r="BD161" s="7">
        <v>112220</v>
      </c>
      <c r="CB161" s="31">
        <v>1615</v>
      </c>
      <c r="CC161" s="31">
        <v>1613</v>
      </c>
      <c r="CD161" s="31">
        <v>1612</v>
      </c>
      <c r="CE161" s="31">
        <v>1610</v>
      </c>
      <c r="CF161" s="31">
        <v>1513</v>
      </c>
      <c r="CG161" s="31">
        <v>1512</v>
      </c>
      <c r="CH161" s="31">
        <v>1510</v>
      </c>
      <c r="CI161" s="31">
        <v>1312</v>
      </c>
      <c r="CJ161" s="31">
        <v>1310</v>
      </c>
      <c r="DK161" s="8"/>
      <c r="DL161" s="8"/>
      <c r="DM161" s="8"/>
      <c r="DN161" s="8"/>
      <c r="DO161" s="50"/>
      <c r="DP161" s="50"/>
      <c r="DQ161" s="50"/>
      <c r="DR161" s="50"/>
      <c r="DS161" s="50"/>
      <c r="DT161" s="50"/>
      <c r="DU161" s="50"/>
      <c r="DV161" s="50"/>
      <c r="DW161" s="50"/>
      <c r="DX161" s="50"/>
      <c r="DY161" s="50"/>
      <c r="DZ161" s="50"/>
      <c r="EA161" s="50"/>
      <c r="EB161" s="50"/>
      <c r="EC161" s="50"/>
      <c r="ED161" s="50"/>
      <c r="EE161" s="50"/>
      <c r="EF161" s="50"/>
      <c r="EG161" s="50"/>
      <c r="EH161" s="50">
        <v>1</v>
      </c>
      <c r="EI161" s="50"/>
      <c r="EJ161" s="50"/>
      <c r="EK161" s="50">
        <v>1</v>
      </c>
      <c r="EL161" s="50"/>
      <c r="EM161" s="50"/>
      <c r="EN161" s="50"/>
      <c r="EO161" s="50"/>
      <c r="EP161" s="50"/>
      <c r="EQ161" s="50"/>
      <c r="ER161" s="50"/>
      <c r="ET161" s="55">
        <f t="shared" si="8"/>
        <v>2</v>
      </c>
    </row>
    <row r="162" spans="1:150" s="5" customFormat="1" ht="16" customHeight="1" x14ac:dyDescent="0.2">
      <c r="A162" s="5">
        <v>64</v>
      </c>
      <c r="B162" s="40" t="s">
        <v>673</v>
      </c>
      <c r="C162" s="40" t="s">
        <v>224</v>
      </c>
      <c r="D162" s="5">
        <v>117</v>
      </c>
      <c r="E162" s="5" t="s">
        <v>225</v>
      </c>
      <c r="F162" s="21" t="s">
        <v>405</v>
      </c>
      <c r="G162" s="21">
        <v>161</v>
      </c>
      <c r="H162" s="5">
        <f t="shared" si="6"/>
        <v>64117</v>
      </c>
      <c r="I162" t="s">
        <v>1184</v>
      </c>
      <c r="J162">
        <v>255</v>
      </c>
      <c r="K162">
        <v>245</v>
      </c>
      <c r="L162">
        <v>238</v>
      </c>
      <c r="M162" s="6">
        <v>255</v>
      </c>
      <c r="N162" s="6" t="str">
        <f t="shared" si="7"/>
        <v>161: (255, 245, 238, 255, Vegetation gain (extent) (snowmelt): 64117),</v>
      </c>
      <c r="O162" s="5" t="str">
        <f>VLOOKUP(Australia!B162,Impacts!$A$2:$B$80,2, FALSE)</f>
        <v>An increase in the area occupied by plants.</v>
      </c>
      <c r="P162" s="5" t="str">
        <f>VLOOKUP(E162,Pressures!$A$2:$B$145,2,FALSE)</f>
        <v>Water produced by the melting of snow.</v>
      </c>
      <c r="AE162" s="32">
        <v>228112</v>
      </c>
      <c r="AF162" s="32">
        <v>228123</v>
      </c>
      <c r="AG162" s="32">
        <v>228124</v>
      </c>
      <c r="AH162" s="32">
        <v>228215</v>
      </c>
      <c r="AI162" s="32">
        <v>228216</v>
      </c>
      <c r="AJ162" s="32">
        <v>220111</v>
      </c>
      <c r="AK162" s="32">
        <v>220112</v>
      </c>
      <c r="AL162" s="32">
        <v>220123</v>
      </c>
      <c r="AM162" s="32">
        <v>220124</v>
      </c>
      <c r="AN162" s="32">
        <v>220215</v>
      </c>
      <c r="AO162" s="32">
        <v>220216</v>
      </c>
      <c r="AU162" s="31">
        <v>1</v>
      </c>
      <c r="AV162" s="31">
        <v>2</v>
      </c>
      <c r="AW162" s="5">
        <v>1</v>
      </c>
      <c r="AX162" s="5">
        <v>0</v>
      </c>
      <c r="AZ162" s="5">
        <v>1</v>
      </c>
      <c r="BA162" s="5">
        <v>2</v>
      </c>
      <c r="BB162" s="5">
        <v>3</v>
      </c>
      <c r="BE162" s="7">
        <v>112216</v>
      </c>
      <c r="BG162" s="7">
        <v>124216</v>
      </c>
      <c r="CB162" s="31">
        <v>1615</v>
      </c>
      <c r="CC162" s="31">
        <v>1613</v>
      </c>
      <c r="CD162" s="31">
        <v>1612</v>
      </c>
      <c r="CE162" s="31">
        <v>1610</v>
      </c>
      <c r="CF162" s="31">
        <v>1513</v>
      </c>
      <c r="CG162" s="31">
        <v>1512</v>
      </c>
      <c r="CH162" s="31">
        <v>1510</v>
      </c>
      <c r="CI162" s="31">
        <v>1312</v>
      </c>
      <c r="CJ162" s="31">
        <v>1310</v>
      </c>
      <c r="DK162" s="8"/>
      <c r="DL162" s="8"/>
      <c r="DM162" s="8"/>
      <c r="DN162" s="8"/>
      <c r="DO162" s="50"/>
      <c r="DP162" s="50"/>
      <c r="DQ162" s="50"/>
      <c r="DR162" s="50"/>
      <c r="DS162" s="50"/>
      <c r="DT162" s="50"/>
      <c r="DU162" s="50">
        <v>1</v>
      </c>
      <c r="DV162" s="50"/>
      <c r="DW162" s="50"/>
      <c r="DX162" s="50"/>
      <c r="DY162" s="50">
        <v>1</v>
      </c>
      <c r="DZ162" s="50"/>
      <c r="EA162" s="50"/>
      <c r="EB162" s="50"/>
      <c r="EC162" s="50"/>
      <c r="ED162" s="50"/>
      <c r="EE162" s="50"/>
      <c r="EF162" s="50"/>
      <c r="EG162" s="50"/>
      <c r="EH162" s="50"/>
      <c r="EI162" s="50"/>
      <c r="EJ162" s="50"/>
      <c r="EK162" s="50"/>
      <c r="EL162" s="50"/>
      <c r="EM162" s="50"/>
      <c r="EN162" s="50"/>
      <c r="EO162" s="50"/>
      <c r="EP162" s="50"/>
      <c r="EQ162" s="50"/>
      <c r="ER162" s="50"/>
      <c r="ET162" s="55">
        <f t="shared" si="8"/>
        <v>2</v>
      </c>
    </row>
    <row r="163" spans="1:150" s="5" customFormat="1" ht="16" customHeight="1" x14ac:dyDescent="0.2">
      <c r="A163" s="5">
        <v>65</v>
      </c>
      <c r="B163" s="8" t="s">
        <v>407</v>
      </c>
      <c r="C163" s="8" t="s">
        <v>408</v>
      </c>
      <c r="D163" s="5">
        <v>1</v>
      </c>
      <c r="E163" s="5" t="s">
        <v>409</v>
      </c>
      <c r="F163" s="22" t="s">
        <v>410</v>
      </c>
      <c r="G163" s="21">
        <v>162</v>
      </c>
      <c r="H163" s="5">
        <f t="shared" si="6"/>
        <v>65001</v>
      </c>
      <c r="I163" t="s">
        <v>1185</v>
      </c>
      <c r="J163">
        <v>238</v>
      </c>
      <c r="K163">
        <v>232</v>
      </c>
      <c r="L163">
        <v>170</v>
      </c>
      <c r="M163" s="6">
        <v>255</v>
      </c>
      <c r="N163" s="6" t="str">
        <f t="shared" si="7"/>
        <v>162: (238, 232, 170, 255, Vegetation health deterioration (abandonment of fertilizer application): 65001),</v>
      </c>
      <c r="O163" s="5" t="str">
        <f>VLOOKUP(Australia!B163,Impacts!$A$2:$B$80,2, FALSE)</f>
        <v>Deterioration in the state or function of plants or plant communities.</v>
      </c>
      <c r="P163" s="5" t="str">
        <f>VLOOKUP(E163,Pressures!$A$2:$B$145,2,FALSE)</f>
        <v>No longer enriching soil to increase productivity or health of vegetation.</v>
      </c>
      <c r="V163" s="29">
        <v>111111</v>
      </c>
      <c r="W163" s="29">
        <v>112112</v>
      </c>
      <c r="X163" s="29">
        <v>123123</v>
      </c>
      <c r="Y163" s="29">
        <v>124124</v>
      </c>
      <c r="AU163" s="31">
        <v>11</v>
      </c>
      <c r="AV163" s="31">
        <v>22</v>
      </c>
      <c r="BE163" s="7"/>
      <c r="BG163" s="7"/>
      <c r="CB163" s="45">
        <v>1012</v>
      </c>
      <c r="CC163" s="45">
        <v>1013</v>
      </c>
      <c r="CD163" s="45">
        <v>1015</v>
      </c>
      <c r="CE163" s="45">
        <v>1016</v>
      </c>
      <c r="CF163" s="45">
        <v>1213</v>
      </c>
      <c r="CG163" s="45">
        <v>1215</v>
      </c>
      <c r="CH163" s="46">
        <v>1216</v>
      </c>
      <c r="CI163" s="46">
        <v>1315</v>
      </c>
      <c r="CJ163" s="46">
        <v>1316</v>
      </c>
      <c r="CK163" s="46">
        <v>1516</v>
      </c>
      <c r="DK163" s="8"/>
      <c r="DL163" s="8"/>
      <c r="DM163" s="8"/>
      <c r="DN163" s="8"/>
      <c r="DO163" s="50"/>
      <c r="DP163" s="50"/>
      <c r="DQ163" s="50"/>
      <c r="DR163" s="50"/>
      <c r="DS163" s="50"/>
      <c r="DT163" s="50"/>
      <c r="DU163" s="50"/>
      <c r="DV163" s="50"/>
      <c r="DW163" s="50"/>
      <c r="DX163" s="50"/>
      <c r="DY163" s="50"/>
      <c r="DZ163" s="50"/>
      <c r="EA163" s="50"/>
      <c r="EB163" s="50"/>
      <c r="EC163" s="50"/>
      <c r="ED163" s="50"/>
      <c r="EE163" s="50"/>
      <c r="EF163" s="50"/>
      <c r="EG163" s="50"/>
      <c r="EH163" s="50"/>
      <c r="EI163" s="50"/>
      <c r="EJ163" s="50"/>
      <c r="EK163" s="50"/>
      <c r="EL163" s="50"/>
      <c r="EM163" s="50"/>
      <c r="EN163" s="50">
        <v>1</v>
      </c>
      <c r="EO163" s="50"/>
      <c r="EP163" s="50"/>
      <c r="EQ163" s="50"/>
      <c r="ER163" s="50"/>
      <c r="ET163" s="55">
        <f t="shared" si="8"/>
        <v>1</v>
      </c>
    </row>
    <row r="164" spans="1:150" s="5" customFormat="1" ht="16" customHeight="1" x14ac:dyDescent="0.2">
      <c r="A164" s="5">
        <v>65</v>
      </c>
      <c r="B164" s="8" t="s">
        <v>407</v>
      </c>
      <c r="C164" s="8" t="s">
        <v>411</v>
      </c>
      <c r="D164" s="5">
        <v>24</v>
      </c>
      <c r="E164" s="5" t="s">
        <v>412</v>
      </c>
      <c r="F164" s="21" t="s">
        <v>413</v>
      </c>
      <c r="G164" s="21">
        <v>163</v>
      </c>
      <c r="H164" s="5">
        <f t="shared" si="6"/>
        <v>65024</v>
      </c>
      <c r="I164" t="s">
        <v>1186</v>
      </c>
      <c r="J164">
        <v>245</v>
      </c>
      <c r="K164">
        <v>245</v>
      </c>
      <c r="L164">
        <v>220</v>
      </c>
      <c r="M164" s="6">
        <v>255</v>
      </c>
      <c r="N164" s="6" t="str">
        <f t="shared" si="7"/>
        <v>163: (245, 245, 220, 255, Vegetation health deterioration (decreased nutrient supply in soil): 65024),</v>
      </c>
      <c r="O164" s="5" t="str">
        <f>VLOOKUP(Australia!B164,Impacts!$A$2:$B$80,2, FALSE)</f>
        <v>Deterioration in the state or function of plants or plant communities.</v>
      </c>
      <c r="P164" s="5" t="str">
        <f>VLOOKUP(E164,Pressures!$A$2:$B$145,2,FALSE)</f>
        <v>Reduced availability of nutrients needed for plants to grow or maintain physiological function and potentially influencing vegetation composition.</v>
      </c>
      <c r="V164" s="29">
        <v>111111</v>
      </c>
      <c r="W164" s="29">
        <v>112112</v>
      </c>
      <c r="X164" s="29">
        <v>123123</v>
      </c>
      <c r="Y164" s="29">
        <v>124124</v>
      </c>
      <c r="AU164" s="31">
        <v>11</v>
      </c>
      <c r="AV164" s="31">
        <v>22</v>
      </c>
      <c r="AW164" s="5">
        <v>1</v>
      </c>
      <c r="AX164" s="5">
        <v>0</v>
      </c>
      <c r="AZ164" s="5">
        <v>1</v>
      </c>
      <c r="BA164" s="5">
        <v>2</v>
      </c>
      <c r="BB164" s="5">
        <v>3</v>
      </c>
      <c r="BD164" s="7">
        <v>111216</v>
      </c>
      <c r="BE164" s="7">
        <v>112216</v>
      </c>
      <c r="BF164" s="7">
        <v>123216</v>
      </c>
      <c r="BG164" s="7">
        <v>124216</v>
      </c>
      <c r="CB164" s="45">
        <v>1012</v>
      </c>
      <c r="CC164" s="45">
        <v>1013</v>
      </c>
      <c r="CD164" s="45">
        <v>1015</v>
      </c>
      <c r="CE164" s="45">
        <v>1016</v>
      </c>
      <c r="CF164" s="45">
        <v>1213</v>
      </c>
      <c r="CG164" s="45">
        <v>1215</v>
      </c>
      <c r="CH164" s="46">
        <v>1216</v>
      </c>
      <c r="CI164" s="46">
        <v>1315</v>
      </c>
      <c r="CJ164" s="46">
        <v>1316</v>
      </c>
      <c r="CK164" s="46">
        <v>1516</v>
      </c>
      <c r="DK164" s="8"/>
      <c r="DL164" s="8"/>
      <c r="DM164" s="8"/>
      <c r="DN164" s="8"/>
      <c r="DO164" s="50"/>
      <c r="DP164" s="50"/>
      <c r="DQ164" s="50"/>
      <c r="DR164" s="50"/>
      <c r="DS164" s="50"/>
      <c r="DT164" s="50"/>
      <c r="DU164" s="50"/>
      <c r="DV164" s="50"/>
      <c r="DW164" s="50"/>
      <c r="DX164" s="50"/>
      <c r="DY164" s="50"/>
      <c r="DZ164" s="50"/>
      <c r="EA164" s="50"/>
      <c r="EB164" s="50"/>
      <c r="EC164" s="50"/>
      <c r="ED164" s="50"/>
      <c r="EE164" s="50"/>
      <c r="EF164" s="50"/>
      <c r="EG164" s="50"/>
      <c r="EH164" s="50"/>
      <c r="EI164" s="50"/>
      <c r="EJ164" s="50"/>
      <c r="EK164" s="50"/>
      <c r="EL164" s="50"/>
      <c r="EM164" s="50"/>
      <c r="EN164" s="50"/>
      <c r="EO164" s="50"/>
      <c r="EP164" s="50">
        <v>1</v>
      </c>
      <c r="EQ164" s="50"/>
      <c r="ER164" s="50"/>
      <c r="ET164" s="55">
        <f t="shared" si="8"/>
        <v>1</v>
      </c>
    </row>
    <row r="165" spans="1:150" s="5" customFormat="1" ht="16" customHeight="1" x14ac:dyDescent="0.2">
      <c r="A165" s="5">
        <v>66</v>
      </c>
      <c r="B165" s="8" t="s">
        <v>414</v>
      </c>
      <c r="C165" s="8" t="s">
        <v>365</v>
      </c>
      <c r="D165" s="5">
        <v>43</v>
      </c>
      <c r="E165" s="5" t="s">
        <v>366</v>
      </c>
      <c r="F165" s="21" t="s">
        <v>415</v>
      </c>
      <c r="G165" s="21">
        <v>164</v>
      </c>
      <c r="H165" s="5">
        <f t="shared" si="6"/>
        <v>66043</v>
      </c>
      <c r="I165" t="s">
        <v>1084</v>
      </c>
      <c r="J165">
        <v>0</v>
      </c>
      <c r="K165">
        <v>204</v>
      </c>
      <c r="L165">
        <v>153</v>
      </c>
      <c r="M165" s="6">
        <v>255</v>
      </c>
      <c r="N165" s="6" t="str">
        <f t="shared" si="7"/>
        <v>164: (0, 204, 153, 255, Vegetation health improvement (fertiliser application): 66043),</v>
      </c>
      <c r="O165" s="5" t="str">
        <f>VLOOKUP(Australia!B165,Impacts!$A$2:$B$80,2, FALSE)</f>
        <v>Improvement in the state or function of plants or plant communities.</v>
      </c>
      <c r="P165" s="5" t="str">
        <f>VLOOKUP(E165,Pressures!$A$2:$B$145,2,FALSE)</f>
        <v>Enrichment of soils to increase productivity or health of vegetation.</v>
      </c>
      <c r="V165" s="29">
        <v>111111</v>
      </c>
      <c r="W165" s="29">
        <v>112112</v>
      </c>
      <c r="X165" s="29">
        <v>123123</v>
      </c>
      <c r="Y165" s="29">
        <v>124124</v>
      </c>
      <c r="AU165" s="31">
        <v>11</v>
      </c>
      <c r="AV165" s="31">
        <v>22</v>
      </c>
      <c r="AW165" s="5">
        <v>1</v>
      </c>
      <c r="AX165" s="5">
        <v>0</v>
      </c>
      <c r="AZ165" s="5">
        <v>1</v>
      </c>
      <c r="BA165" s="5">
        <v>2</v>
      </c>
      <c r="BB165" s="5">
        <v>3</v>
      </c>
      <c r="BD165" s="7">
        <v>111216</v>
      </c>
      <c r="BE165" s="7">
        <v>112216</v>
      </c>
      <c r="BF165" s="7">
        <v>123216</v>
      </c>
      <c r="BG165" s="7">
        <v>124216</v>
      </c>
      <c r="CB165" s="45">
        <v>1012</v>
      </c>
      <c r="CC165" s="45">
        <v>1013</v>
      </c>
      <c r="CD165" s="45">
        <v>1015</v>
      </c>
      <c r="CE165" s="45">
        <v>1016</v>
      </c>
      <c r="CF165" s="45">
        <v>1213</v>
      </c>
      <c r="CG165" s="45">
        <v>1215</v>
      </c>
      <c r="CH165" s="46">
        <v>1216</v>
      </c>
      <c r="CI165" s="46">
        <v>1315</v>
      </c>
      <c r="CJ165" s="46">
        <v>1316</v>
      </c>
      <c r="CK165" s="46">
        <v>1516</v>
      </c>
      <c r="DK165" s="8"/>
      <c r="DL165" s="8"/>
      <c r="DM165" s="8"/>
      <c r="DN165" s="8"/>
      <c r="DO165" s="50"/>
      <c r="DP165" s="50"/>
      <c r="DQ165" s="50"/>
      <c r="DR165" s="50"/>
      <c r="DS165" s="50"/>
      <c r="DT165" s="50"/>
      <c r="DU165" s="50"/>
      <c r="DV165" s="50"/>
      <c r="DW165" s="50"/>
      <c r="DX165" s="50"/>
      <c r="DY165" s="50"/>
      <c r="DZ165" s="50"/>
      <c r="EA165" s="50"/>
      <c r="EB165" s="50"/>
      <c r="EC165" s="50"/>
      <c r="ED165" s="50"/>
      <c r="EE165" s="50"/>
      <c r="EF165" s="50"/>
      <c r="EG165" s="50"/>
      <c r="EH165" s="50"/>
      <c r="EI165" s="50"/>
      <c r="EJ165" s="50"/>
      <c r="EK165" s="50"/>
      <c r="EL165" s="50"/>
      <c r="EM165" s="50"/>
      <c r="EN165" s="50">
        <v>1</v>
      </c>
      <c r="EO165" s="50"/>
      <c r="EP165" s="50"/>
      <c r="EQ165" s="50"/>
      <c r="ER165" s="50"/>
      <c r="ET165" s="55">
        <f t="shared" si="8"/>
        <v>1</v>
      </c>
    </row>
    <row r="166" spans="1:150" s="5" customFormat="1" ht="16" customHeight="1" x14ac:dyDescent="0.2">
      <c r="A166" s="5">
        <v>66</v>
      </c>
      <c r="B166" s="8" t="s">
        <v>414</v>
      </c>
      <c r="C166" s="8" t="s">
        <v>416</v>
      </c>
      <c r="D166" s="5">
        <v>65</v>
      </c>
      <c r="E166" s="5" t="s">
        <v>502</v>
      </c>
      <c r="F166" s="22" t="s">
        <v>1031</v>
      </c>
      <c r="G166" s="21">
        <v>165</v>
      </c>
      <c r="H166" s="5">
        <f t="shared" si="6"/>
        <v>66065</v>
      </c>
      <c r="I166" t="s">
        <v>1187</v>
      </c>
      <c r="J166">
        <v>103</v>
      </c>
      <c r="K166">
        <v>146</v>
      </c>
      <c r="L166">
        <v>103</v>
      </c>
      <c r="M166" s="6">
        <v>255</v>
      </c>
      <c r="N166" s="6" t="str">
        <f t="shared" si="7"/>
        <v>165: (103, 146, 103, 255, Vegetation health improvement (increased nutrient supply in soil): 66065),</v>
      </c>
      <c r="O166" s="5" t="str">
        <f>VLOOKUP(Australia!B166,Impacts!$A$2:$B$80,2, FALSE)</f>
        <v>Improvement in the state or function of plants or plant communities.</v>
      </c>
      <c r="P166" s="5" t="str">
        <f>VLOOKUP(E166,Pressures!$A$2:$B$145,2,FALSE)</f>
        <v>Increased availability of soil nutrients needed for plants to grow or maintain physiological function and potentially influencing vegetation composition.</v>
      </c>
      <c r="V166" s="29">
        <v>111111</v>
      </c>
      <c r="W166" s="29">
        <v>112112</v>
      </c>
      <c r="X166" s="29">
        <v>123123</v>
      </c>
      <c r="Y166" s="29">
        <v>124124</v>
      </c>
      <c r="AU166" s="31">
        <v>11</v>
      </c>
      <c r="AV166" s="31">
        <v>22</v>
      </c>
      <c r="BD166" s="7"/>
      <c r="BE166" s="7"/>
      <c r="BF166" s="7"/>
      <c r="BG166" s="7"/>
      <c r="CB166" s="45">
        <v>1012</v>
      </c>
      <c r="CC166" s="45">
        <v>1013</v>
      </c>
      <c r="CD166" s="45">
        <v>1015</v>
      </c>
      <c r="CE166" s="45">
        <v>1016</v>
      </c>
      <c r="CF166" s="45">
        <v>1213</v>
      </c>
      <c r="CG166" s="45">
        <v>1215</v>
      </c>
      <c r="CH166" s="46">
        <v>1216</v>
      </c>
      <c r="CI166" s="46">
        <v>1315</v>
      </c>
      <c r="CJ166" s="46">
        <v>1316</v>
      </c>
      <c r="CK166" s="46">
        <v>1516</v>
      </c>
      <c r="DK166" s="8"/>
      <c r="DL166" s="8"/>
      <c r="DM166" s="8"/>
      <c r="DN166" s="8"/>
      <c r="DO166" s="50"/>
      <c r="DP166" s="50"/>
      <c r="DQ166" s="50"/>
      <c r="DR166" s="50"/>
      <c r="DS166" s="50"/>
      <c r="DT166" s="50"/>
      <c r="DU166" s="50"/>
      <c r="DV166" s="50"/>
      <c r="DW166" s="50"/>
      <c r="DX166" s="50"/>
      <c r="DY166" s="50"/>
      <c r="DZ166" s="50"/>
      <c r="EA166" s="50"/>
      <c r="EB166" s="50"/>
      <c r="EC166" s="50"/>
      <c r="ED166" s="50"/>
      <c r="EE166" s="50"/>
      <c r="EF166" s="50"/>
      <c r="EG166" s="50"/>
      <c r="EH166" s="50"/>
      <c r="EI166" s="50"/>
      <c r="EJ166" s="50"/>
      <c r="EK166" s="50"/>
      <c r="EL166" s="50"/>
      <c r="EM166" s="50"/>
      <c r="EN166" s="50">
        <v>1</v>
      </c>
      <c r="EO166" s="50"/>
      <c r="EP166" s="50"/>
      <c r="EQ166" s="50"/>
      <c r="ER166" s="50"/>
      <c r="ET166" s="55">
        <f t="shared" si="8"/>
        <v>1</v>
      </c>
    </row>
    <row r="167" spans="1:150" s="5" customFormat="1" ht="16" customHeight="1" x14ac:dyDescent="0.2">
      <c r="A167" s="5">
        <v>66</v>
      </c>
      <c r="B167" s="8" t="s">
        <v>414</v>
      </c>
      <c r="C167" s="8" t="s">
        <v>417</v>
      </c>
      <c r="D167" s="5">
        <v>71</v>
      </c>
      <c r="E167" s="5" t="s">
        <v>418</v>
      </c>
      <c r="F167" s="21" t="s">
        <v>419</v>
      </c>
      <c r="G167" s="21">
        <v>166</v>
      </c>
      <c r="H167" s="5">
        <f t="shared" si="6"/>
        <v>66071</v>
      </c>
      <c r="I167" t="s">
        <v>1188</v>
      </c>
      <c r="J167">
        <v>227</v>
      </c>
      <c r="K167">
        <v>11</v>
      </c>
      <c r="L167">
        <v>92</v>
      </c>
      <c r="M167" s="6">
        <v>255</v>
      </c>
      <c r="N167" s="6" t="str">
        <f t="shared" si="7"/>
        <v>166: (227, 11, 92, 255, Vegetation health improvement (irrigation): 66071),</v>
      </c>
      <c r="O167" s="5" t="str">
        <f>VLOOKUP(Australia!B167,Impacts!$A$2:$B$80,2, FALSE)</f>
        <v>Improvement in the state or function of plants or plant communities.</v>
      </c>
      <c r="P167" s="5" t="str">
        <f>VLOOKUP(E167,Pressures!$A$2:$B$145,2,FALSE)</f>
        <v>Artificial supply of water to crops, horticulture or pastures.</v>
      </c>
      <c r="V167" s="29">
        <v>111111</v>
      </c>
      <c r="W167" s="29">
        <v>112112</v>
      </c>
      <c r="X167" s="29">
        <v>123123</v>
      </c>
      <c r="Y167" s="29">
        <v>124124</v>
      </c>
      <c r="AU167" s="31">
        <v>11</v>
      </c>
      <c r="AV167" s="31">
        <v>22</v>
      </c>
      <c r="AW167" s="5">
        <v>1</v>
      </c>
      <c r="AX167" s="5">
        <v>0</v>
      </c>
      <c r="AZ167" s="5">
        <v>1</v>
      </c>
      <c r="BA167" s="5">
        <v>2</v>
      </c>
      <c r="BB167" s="5">
        <v>3</v>
      </c>
      <c r="BD167" s="7">
        <v>111216</v>
      </c>
      <c r="BE167" s="7">
        <v>112216</v>
      </c>
      <c r="BF167" s="7">
        <v>123216</v>
      </c>
      <c r="BG167" s="7">
        <v>124216</v>
      </c>
      <c r="CB167" s="45">
        <v>1615</v>
      </c>
      <c r="CC167" s="45">
        <v>1613</v>
      </c>
      <c r="CD167" s="45">
        <v>1612</v>
      </c>
      <c r="CE167" s="45">
        <v>1610</v>
      </c>
      <c r="CF167" s="45">
        <v>1513</v>
      </c>
      <c r="CG167" s="45">
        <v>1512</v>
      </c>
      <c r="CH167" s="45">
        <v>1510</v>
      </c>
      <c r="CI167" s="45">
        <v>1312</v>
      </c>
      <c r="CJ167" s="45">
        <v>1310</v>
      </c>
      <c r="CK167" s="46" t="s">
        <v>713</v>
      </c>
      <c r="DK167" s="8"/>
      <c r="DL167" s="8"/>
      <c r="DM167" s="8"/>
      <c r="DN167" s="8"/>
      <c r="DO167" s="50"/>
      <c r="DP167" s="50"/>
      <c r="DQ167" s="50"/>
      <c r="DR167" s="50"/>
      <c r="DS167" s="50"/>
      <c r="DT167" s="50"/>
      <c r="DU167" s="50"/>
      <c r="DV167" s="50"/>
      <c r="DW167" s="50"/>
      <c r="DX167" s="50"/>
      <c r="DY167" s="50"/>
      <c r="DZ167" s="50"/>
      <c r="EA167" s="50"/>
      <c r="EB167" s="50"/>
      <c r="EC167" s="50"/>
      <c r="ED167" s="50"/>
      <c r="EE167" s="50"/>
      <c r="EF167" s="50"/>
      <c r="EG167" s="50"/>
      <c r="EH167" s="50"/>
      <c r="EI167" s="50"/>
      <c r="EJ167" s="50"/>
      <c r="EK167" s="50"/>
      <c r="EL167" s="50"/>
      <c r="EM167" s="50">
        <v>1</v>
      </c>
      <c r="EN167" s="50"/>
      <c r="EO167" s="50"/>
      <c r="EP167" s="50"/>
      <c r="EQ167" s="50"/>
      <c r="ER167" s="50"/>
      <c r="ET167" s="55">
        <f t="shared" si="8"/>
        <v>1</v>
      </c>
    </row>
    <row r="168" spans="1:150" s="5" customFormat="1" ht="16" customHeight="1" x14ac:dyDescent="0.2">
      <c r="A168" s="5">
        <v>67</v>
      </c>
      <c r="B168" s="39" t="s">
        <v>679</v>
      </c>
      <c r="C168" s="39" t="s">
        <v>298</v>
      </c>
      <c r="D168" s="5">
        <v>12</v>
      </c>
      <c r="E168" s="5" t="s">
        <v>299</v>
      </c>
      <c r="F168" s="21" t="s">
        <v>420</v>
      </c>
      <c r="G168" s="21">
        <v>167</v>
      </c>
      <c r="H168" s="5">
        <f t="shared" si="6"/>
        <v>67012</v>
      </c>
      <c r="I168" t="s">
        <v>1189</v>
      </c>
      <c r="J168">
        <v>255</v>
      </c>
      <c r="K168">
        <v>140</v>
      </c>
      <c r="L168">
        <v>0</v>
      </c>
      <c r="M168" s="6">
        <v>255</v>
      </c>
      <c r="N168" s="6" t="str">
        <f t="shared" si="7"/>
        <v>167: (255, 140, 0, 255, Vegetation loss (extent) (bushfire): 67012),</v>
      </c>
      <c r="O168" s="5" t="str">
        <f>VLOOKUP(Australia!B168,Impacts!$A$2:$B$80,2, FALSE)</f>
        <v>Loss of vegetation communities from an area.</v>
      </c>
      <c r="P168" s="5" t="str">
        <f>VLOOKUP(E168,Pressures!$A$2:$B$145,2,FALSE)</f>
        <v>Grass fires, forest fires and/or scrub fires started naturally, accidentally, or deliberately.</v>
      </c>
      <c r="AE168" s="32">
        <v>111216</v>
      </c>
      <c r="AF168" s="32">
        <v>112216</v>
      </c>
      <c r="AG168" s="32">
        <v>123216</v>
      </c>
      <c r="AH168" s="32">
        <v>124216</v>
      </c>
      <c r="AW168" s="5">
        <v>1</v>
      </c>
      <c r="AX168" s="5">
        <v>0</v>
      </c>
      <c r="AZ168" s="5">
        <v>1</v>
      </c>
      <c r="BA168" s="5">
        <v>2</v>
      </c>
      <c r="BB168" s="5">
        <v>3</v>
      </c>
      <c r="BE168" s="7">
        <v>112216</v>
      </c>
      <c r="BG168" s="7">
        <v>124216</v>
      </c>
      <c r="DK168" s="8"/>
      <c r="DL168" s="8"/>
      <c r="DM168" s="8"/>
      <c r="DN168" s="8"/>
      <c r="DO168" s="50">
        <v>1</v>
      </c>
      <c r="DP168" s="50">
        <v>1</v>
      </c>
      <c r="DQ168" s="50">
        <v>1</v>
      </c>
      <c r="DR168" s="50"/>
      <c r="DS168" s="50"/>
      <c r="DT168" s="50"/>
      <c r="DU168" s="50"/>
      <c r="DV168" s="50"/>
      <c r="DW168" s="50"/>
      <c r="DX168" s="50"/>
      <c r="DY168" s="50"/>
      <c r="DZ168" s="50"/>
      <c r="EA168" s="50"/>
      <c r="EB168" s="50"/>
      <c r="EC168" s="50"/>
      <c r="ED168" s="50"/>
      <c r="EE168" s="50"/>
      <c r="EF168" s="50"/>
      <c r="EG168" s="50"/>
      <c r="EH168" s="50"/>
      <c r="EI168" s="50"/>
      <c r="EJ168" s="50"/>
      <c r="EK168" s="50"/>
      <c r="EL168" s="50"/>
      <c r="EM168" s="50"/>
      <c r="EN168" s="50"/>
      <c r="EO168" s="50"/>
      <c r="EP168" s="50"/>
      <c r="EQ168" s="50"/>
      <c r="ER168" s="50"/>
      <c r="ET168" s="55">
        <f t="shared" si="8"/>
        <v>3</v>
      </c>
    </row>
    <row r="169" spans="1:150" s="5" customFormat="1" ht="16" customHeight="1" x14ac:dyDescent="0.2">
      <c r="A169" s="5">
        <v>67</v>
      </c>
      <c r="B169" s="39" t="s">
        <v>679</v>
      </c>
      <c r="C169" s="39" t="s">
        <v>421</v>
      </c>
      <c r="D169" s="5">
        <v>27</v>
      </c>
      <c r="E169" s="5" t="s">
        <v>422</v>
      </c>
      <c r="F169" s="21" t="s">
        <v>423</v>
      </c>
      <c r="G169" s="21">
        <v>168</v>
      </c>
      <c r="H169" s="5">
        <f t="shared" si="6"/>
        <v>67027</v>
      </c>
      <c r="I169" t="s">
        <v>1190</v>
      </c>
      <c r="J169">
        <v>255</v>
      </c>
      <c r="K169">
        <v>0</v>
      </c>
      <c r="L169">
        <v>0</v>
      </c>
      <c r="M169" s="6">
        <v>255</v>
      </c>
      <c r="N169" s="6" t="str">
        <f t="shared" si="7"/>
        <v>168: (255, 0, 0, 255, Vegetation loss (extent) (deforestation): 67027),</v>
      </c>
      <c r="O169" s="5" t="str">
        <f>VLOOKUP(Australia!B169,Impacts!$A$2:$B$80,2, FALSE)</f>
        <v>Loss of vegetation communities from an area.</v>
      </c>
      <c r="P169" s="5" t="str">
        <f>VLOOKUP(E169,Pressures!$A$2:$B$145,2,FALSE)</f>
        <v xml:space="preserve">The permanent clearance of a forest, usually rapidly by cutting or burning over a large area, without replanting or natural regeneration. </v>
      </c>
      <c r="AE169" s="32">
        <v>111216</v>
      </c>
      <c r="AF169" s="32">
        <v>112216</v>
      </c>
      <c r="AG169" s="32">
        <v>123216</v>
      </c>
      <c r="AH169" s="32">
        <v>124216</v>
      </c>
      <c r="AW169" s="5">
        <v>1</v>
      </c>
      <c r="AX169" s="5">
        <v>0</v>
      </c>
      <c r="AZ169" s="5">
        <v>1</v>
      </c>
      <c r="BA169" s="5">
        <v>2</v>
      </c>
      <c r="BB169" s="5">
        <v>3</v>
      </c>
      <c r="DK169" s="8"/>
      <c r="DL169" s="8"/>
      <c r="DM169" s="8"/>
      <c r="DN169" s="8"/>
      <c r="DO169" s="50"/>
      <c r="DP169" s="50"/>
      <c r="DQ169" s="50"/>
      <c r="DR169" s="50"/>
      <c r="DS169" s="50"/>
      <c r="DT169" s="50"/>
      <c r="DU169" s="50"/>
      <c r="DV169" s="50"/>
      <c r="DW169" s="50"/>
      <c r="DX169" s="50"/>
      <c r="DY169" s="50"/>
      <c r="DZ169" s="50"/>
      <c r="EA169" s="50"/>
      <c r="EB169" s="50"/>
      <c r="EC169" s="50"/>
      <c r="ED169" s="50"/>
      <c r="EE169" s="50"/>
      <c r="EF169" s="50"/>
      <c r="EG169" s="50"/>
      <c r="EH169" s="50">
        <v>1</v>
      </c>
      <c r="EI169" s="50"/>
      <c r="EJ169" s="50"/>
      <c r="EK169" s="50"/>
      <c r="EL169" s="50"/>
      <c r="EM169" s="50"/>
      <c r="EN169" s="50"/>
      <c r="EO169" s="50"/>
      <c r="EP169" s="50"/>
      <c r="EQ169" s="50"/>
      <c r="ER169" s="50"/>
      <c r="ET169" s="55">
        <f t="shared" si="8"/>
        <v>1</v>
      </c>
    </row>
    <row r="170" spans="1:150" s="5" customFormat="1" ht="16" customHeight="1" x14ac:dyDescent="0.2">
      <c r="A170" s="5">
        <v>67</v>
      </c>
      <c r="B170" s="39" t="s">
        <v>679</v>
      </c>
      <c r="C170" s="39" t="s">
        <v>89</v>
      </c>
      <c r="D170" s="5">
        <v>30</v>
      </c>
      <c r="E170" s="5" t="s">
        <v>90</v>
      </c>
      <c r="F170" s="21" t="s">
        <v>424</v>
      </c>
      <c r="G170" s="21">
        <v>169</v>
      </c>
      <c r="H170" s="5">
        <f t="shared" si="6"/>
        <v>67030</v>
      </c>
      <c r="I170" t="s">
        <v>1191</v>
      </c>
      <c r="J170">
        <v>61</v>
      </c>
      <c r="K170">
        <v>7</v>
      </c>
      <c r="L170">
        <v>52</v>
      </c>
      <c r="M170" s="6">
        <v>255</v>
      </c>
      <c r="N170" s="6" t="str">
        <f t="shared" si="7"/>
        <v>169: (61, 7, 52, 255, Vegetation loss (extent) (drought): 67030),</v>
      </c>
      <c r="O170" s="5" t="str">
        <f>VLOOKUP(Australia!B170,Impacts!$A$2:$B$80,2, FALSE)</f>
        <v>Loss of vegetation communities from an area.</v>
      </c>
      <c r="P170" s="5" t="str">
        <f>VLOOKUP(E170,Pressures!$A$2:$B$145,2,FALSE)</f>
        <v>Areas considered to be suffering from a serious or severe rainfall deficiency.</v>
      </c>
      <c r="AE170" s="32">
        <v>111216</v>
      </c>
      <c r="AF170" s="32">
        <v>112216</v>
      </c>
      <c r="AG170" s="32">
        <v>123216</v>
      </c>
      <c r="AH170" s="32">
        <v>124216</v>
      </c>
      <c r="AU170" s="31">
        <v>10</v>
      </c>
      <c r="AV170" s="31">
        <v>20</v>
      </c>
      <c r="AW170" s="31">
        <v>1</v>
      </c>
      <c r="AX170" s="31">
        <v>0</v>
      </c>
      <c r="AY170" s="31"/>
      <c r="AZ170" s="31">
        <v>1</v>
      </c>
      <c r="BA170" s="31">
        <v>2</v>
      </c>
      <c r="BB170" s="31">
        <v>3</v>
      </c>
      <c r="BC170" s="31"/>
      <c r="BD170" s="31"/>
      <c r="BE170" s="38">
        <v>112112</v>
      </c>
      <c r="BF170" s="31"/>
      <c r="BG170" s="31"/>
      <c r="BH170" s="31"/>
      <c r="BI170" s="31"/>
      <c r="BJ170" s="31"/>
      <c r="BK170" s="31"/>
      <c r="BL170" s="31"/>
      <c r="BM170" s="31"/>
      <c r="BN170" s="31"/>
      <c r="BO170" s="31"/>
      <c r="BP170" s="31"/>
      <c r="BQ170" s="31"/>
      <c r="BR170" s="31"/>
      <c r="BS170" s="31"/>
      <c r="BT170" s="31"/>
      <c r="BU170" s="31"/>
      <c r="BV170" s="31">
        <v>22</v>
      </c>
      <c r="BW170" s="31"/>
      <c r="BX170" s="31" t="s">
        <v>717</v>
      </c>
      <c r="BY170" s="31" t="s">
        <v>717</v>
      </c>
      <c r="BZ170" s="31">
        <v>12</v>
      </c>
      <c r="CA170" s="8"/>
      <c r="CB170" s="45">
        <v>1012</v>
      </c>
      <c r="CC170" s="45">
        <v>1013</v>
      </c>
      <c r="CD170" s="45">
        <v>1015</v>
      </c>
      <c r="CE170" s="45">
        <v>1016</v>
      </c>
      <c r="CF170" s="45">
        <v>1213</v>
      </c>
      <c r="CG170" s="45">
        <v>1215</v>
      </c>
      <c r="CH170" s="46">
        <v>1216</v>
      </c>
      <c r="CI170" s="46">
        <v>1315</v>
      </c>
      <c r="CJ170" s="46">
        <v>1316</v>
      </c>
      <c r="CK170" s="46">
        <v>1516</v>
      </c>
      <c r="CL170" s="46">
        <v>1010</v>
      </c>
      <c r="CM170" s="46">
        <v>1212</v>
      </c>
      <c r="CN170" s="46">
        <v>1313</v>
      </c>
      <c r="CO170" s="46">
        <v>1515</v>
      </c>
      <c r="CP170" s="46">
        <v>1616</v>
      </c>
      <c r="CQ170" s="8"/>
      <c r="CR170" s="8"/>
      <c r="CS170" s="8"/>
      <c r="CT170" s="8"/>
      <c r="CU170" s="8"/>
      <c r="CV170" s="8"/>
      <c r="CW170" s="8"/>
      <c r="CX170" s="8"/>
      <c r="CY170" s="8"/>
      <c r="CZ170" s="8"/>
      <c r="DA170" s="8"/>
      <c r="DB170" s="8"/>
      <c r="DC170" s="8"/>
      <c r="DD170" s="8"/>
      <c r="DE170" s="8"/>
      <c r="DF170" s="8"/>
      <c r="DG170" s="8"/>
      <c r="DK170" s="8">
        <v>-1</v>
      </c>
      <c r="DL170" s="8">
        <v>1</v>
      </c>
      <c r="DM170" s="8"/>
      <c r="DN170" s="8"/>
      <c r="DO170" s="50"/>
      <c r="DP170" s="50"/>
      <c r="DQ170" s="50"/>
      <c r="DR170" s="50"/>
      <c r="DS170" s="50"/>
      <c r="DT170" s="50"/>
      <c r="DU170" s="50"/>
      <c r="DV170" s="50"/>
      <c r="DW170" s="50"/>
      <c r="DX170" s="50"/>
      <c r="DY170" s="50"/>
      <c r="DZ170" s="50"/>
      <c r="EA170" s="50"/>
      <c r="EB170" s="50">
        <v>1</v>
      </c>
      <c r="EC170" s="50"/>
      <c r="ED170" s="50"/>
      <c r="EE170" s="50"/>
      <c r="EF170" s="50"/>
      <c r="EG170" s="50"/>
      <c r="EH170" s="50"/>
      <c r="EI170" s="50"/>
      <c r="EJ170" s="50"/>
      <c r="EK170" s="50"/>
      <c r="EL170" s="50"/>
      <c r="EM170" s="50"/>
      <c r="EN170" s="50"/>
      <c r="EO170" s="50"/>
      <c r="EP170" s="50"/>
      <c r="EQ170" s="50"/>
      <c r="ER170" s="50"/>
      <c r="ET170" s="55">
        <f t="shared" si="8"/>
        <v>1</v>
      </c>
    </row>
    <row r="171" spans="1:150" s="5" customFormat="1" ht="16" customHeight="1" x14ac:dyDescent="0.2">
      <c r="A171" s="5">
        <v>67</v>
      </c>
      <c r="B171" s="39" t="s">
        <v>679</v>
      </c>
      <c r="C171" s="39" t="s">
        <v>95</v>
      </c>
      <c r="D171" s="5">
        <v>39</v>
      </c>
      <c r="E171" s="5" t="s">
        <v>96</v>
      </c>
      <c r="F171" s="21" t="s">
        <v>425</v>
      </c>
      <c r="G171" s="21">
        <v>170</v>
      </c>
      <c r="H171" s="5">
        <f t="shared" si="6"/>
        <v>67039</v>
      </c>
      <c r="I171" t="s">
        <v>1192</v>
      </c>
      <c r="J171">
        <v>255</v>
      </c>
      <c r="K171">
        <v>250</v>
      </c>
      <c r="L171">
        <v>205</v>
      </c>
      <c r="M171" s="6">
        <v>255</v>
      </c>
      <c r="N171" s="6" t="str">
        <f t="shared" si="7"/>
        <v>170: (255, 250, 205, 255, Vegetation loss (extent) (excess rain): 67039),</v>
      </c>
      <c r="O171" s="5" t="str">
        <f>VLOOKUP(Australia!B171,Impacts!$A$2:$B$80,2, FALSE)</f>
        <v>Loss of vegetation communities from an area.</v>
      </c>
      <c r="P171" s="5" t="str">
        <f>VLOOKUP(E171,Pressures!$A$2:$B$145,2,FALSE)</f>
        <v>Heavy rainfall associated with the passage of a storm or tropical cyclone than can produce extensive flooding.</v>
      </c>
      <c r="AE171" s="32">
        <v>111216</v>
      </c>
      <c r="AF171" s="32">
        <v>112216</v>
      </c>
      <c r="AG171" s="32">
        <v>123216</v>
      </c>
      <c r="AH171" s="32">
        <v>124216</v>
      </c>
      <c r="AW171" s="5">
        <v>1</v>
      </c>
      <c r="AX171" s="5">
        <v>0</v>
      </c>
      <c r="AZ171" s="5">
        <v>1</v>
      </c>
      <c r="BA171" s="5">
        <v>2</v>
      </c>
      <c r="BB171" s="5">
        <v>3</v>
      </c>
      <c r="BE171" s="7">
        <v>112112</v>
      </c>
      <c r="BX171" s="5" t="s">
        <v>717</v>
      </c>
      <c r="BY171" s="5" t="s">
        <v>717</v>
      </c>
      <c r="DK171" s="8"/>
      <c r="DL171" s="8"/>
      <c r="DM171" s="8"/>
      <c r="DN171" s="8"/>
      <c r="DO171" s="50"/>
      <c r="DP171" s="50"/>
      <c r="DQ171" s="50"/>
      <c r="DR171" s="50"/>
      <c r="DS171" s="50"/>
      <c r="DT171" s="50"/>
      <c r="DU171" s="50"/>
      <c r="DV171" s="50"/>
      <c r="DW171" s="50"/>
      <c r="DX171" s="50"/>
      <c r="DY171" s="50"/>
      <c r="DZ171" s="50"/>
      <c r="EA171" s="50"/>
      <c r="EB171" s="50">
        <v>1</v>
      </c>
      <c r="EC171" s="50"/>
      <c r="ED171" s="50"/>
      <c r="EE171" s="50"/>
      <c r="EF171" s="50"/>
      <c r="EG171" s="50"/>
      <c r="EH171" s="50"/>
      <c r="EI171" s="50"/>
      <c r="EJ171" s="50"/>
      <c r="EK171" s="50"/>
      <c r="EL171" s="50"/>
      <c r="EM171" s="50"/>
      <c r="EN171" s="50"/>
      <c r="EO171" s="50"/>
      <c r="EP171" s="50"/>
      <c r="EQ171" s="50"/>
      <c r="ER171" s="50"/>
      <c r="ET171" s="55">
        <f t="shared" si="8"/>
        <v>1</v>
      </c>
    </row>
    <row r="172" spans="1:150" s="5" customFormat="1" ht="16" customHeight="1" x14ac:dyDescent="0.2">
      <c r="A172" s="5">
        <v>67</v>
      </c>
      <c r="B172" s="39" t="s">
        <v>679</v>
      </c>
      <c r="C172" s="39" t="s">
        <v>133</v>
      </c>
      <c r="D172" s="5">
        <v>41</v>
      </c>
      <c r="E172" s="5" t="s">
        <v>134</v>
      </c>
      <c r="F172" s="21" t="s">
        <v>426</v>
      </c>
      <c r="G172" s="21">
        <v>171</v>
      </c>
      <c r="H172" s="5">
        <f t="shared" si="6"/>
        <v>67041</v>
      </c>
      <c r="I172" t="s">
        <v>1193</v>
      </c>
      <c r="J172">
        <v>105</v>
      </c>
      <c r="K172">
        <v>105</v>
      </c>
      <c r="L172">
        <v>105</v>
      </c>
      <c r="M172" s="6">
        <v>255</v>
      </c>
      <c r="N172" s="6" t="str">
        <f t="shared" si="7"/>
        <v>171: (105, 105, 105, 255, Vegetation loss (extent) (farmland abandonment): 67041),</v>
      </c>
      <c r="O172" s="5" t="str">
        <f>VLOOKUP(Australia!B172,Impacts!$A$2:$B$80,2, FALSE)</f>
        <v>Loss of vegetation communities from an area.</v>
      </c>
      <c r="P172" s="5" t="str">
        <f>VLOOKUP(E172,Pressures!$A$2:$B$145,2,FALSE)</f>
        <v>The cessation of agricultural activities on a given surface of land.</v>
      </c>
      <c r="AE172" s="32">
        <v>111216</v>
      </c>
      <c r="AF172" s="32">
        <v>112216</v>
      </c>
      <c r="AG172" s="32">
        <v>123216</v>
      </c>
      <c r="AH172" s="32">
        <v>124216</v>
      </c>
      <c r="AW172" s="5">
        <v>1</v>
      </c>
      <c r="AX172" s="5">
        <v>0</v>
      </c>
      <c r="AZ172" s="5">
        <v>1</v>
      </c>
      <c r="BA172" s="5">
        <v>2</v>
      </c>
      <c r="BB172" s="5">
        <v>3</v>
      </c>
      <c r="BE172" s="7">
        <v>112112</v>
      </c>
      <c r="BV172" s="5">
        <v>22</v>
      </c>
      <c r="DK172" s="8"/>
      <c r="DL172" s="8"/>
      <c r="DM172" s="8"/>
      <c r="DN172" s="8"/>
      <c r="DO172" s="50"/>
      <c r="DP172" s="50"/>
      <c r="DQ172" s="50"/>
      <c r="DR172" s="50"/>
      <c r="DS172" s="50"/>
      <c r="DT172" s="50"/>
      <c r="DU172" s="50"/>
      <c r="DV172" s="50"/>
      <c r="DW172" s="50"/>
      <c r="DX172" s="50"/>
      <c r="DY172" s="50"/>
      <c r="DZ172" s="50"/>
      <c r="EA172" s="50"/>
      <c r="EB172" s="50"/>
      <c r="EC172" s="50"/>
      <c r="ED172" s="50"/>
      <c r="EE172" s="50"/>
      <c r="EF172" s="50"/>
      <c r="EG172" s="50"/>
      <c r="EH172" s="50"/>
      <c r="EI172" s="50"/>
      <c r="EJ172" s="50"/>
      <c r="EK172" s="50"/>
      <c r="EL172" s="50"/>
      <c r="EM172" s="50">
        <v>1</v>
      </c>
      <c r="EN172" s="50"/>
      <c r="EO172" s="50"/>
      <c r="EP172" s="50"/>
      <c r="EQ172" s="50"/>
      <c r="ER172" s="50"/>
      <c r="ET172" s="55">
        <f t="shared" si="8"/>
        <v>1</v>
      </c>
    </row>
    <row r="173" spans="1:150" s="5" customFormat="1" ht="16" customHeight="1" x14ac:dyDescent="0.2">
      <c r="A173" s="5">
        <v>67</v>
      </c>
      <c r="B173" s="39" t="s">
        <v>679</v>
      </c>
      <c r="C173" s="39" t="s">
        <v>42</v>
      </c>
      <c r="D173" s="5">
        <v>44</v>
      </c>
      <c r="E173" s="5" t="s">
        <v>43</v>
      </c>
      <c r="F173" s="21" t="s">
        <v>427</v>
      </c>
      <c r="G173" s="21">
        <v>172</v>
      </c>
      <c r="H173" s="5">
        <f t="shared" si="6"/>
        <v>67044</v>
      </c>
      <c r="I173" t="s">
        <v>1194</v>
      </c>
      <c r="J173">
        <v>46</v>
      </c>
      <c r="K173">
        <v>45</v>
      </c>
      <c r="L173">
        <v>136</v>
      </c>
      <c r="M173" s="6">
        <v>255</v>
      </c>
      <c r="N173" s="6" t="str">
        <f t="shared" si="7"/>
        <v>172: (46, 45, 136, 255, Vegetation loss (extent) (flooding): 67044),</v>
      </c>
      <c r="O173" s="5" t="str">
        <f>VLOOKUP(Australia!B173,Impacts!$A$2:$B$80,2, FALSE)</f>
        <v>Loss of vegetation communities from an area.</v>
      </c>
      <c r="P173" s="5" t="str">
        <f>VLOOKUP(E173,Pressures!$A$2:$B$145,2,FALSE)</f>
        <v>The inundation of water over land that is generally dry.</v>
      </c>
      <c r="AE173" s="32">
        <v>112228</v>
      </c>
      <c r="AF173" s="32">
        <v>123228</v>
      </c>
      <c r="AG173" s="32">
        <v>124228</v>
      </c>
      <c r="AH173" s="32">
        <v>215228</v>
      </c>
      <c r="AI173" s="32">
        <v>216228</v>
      </c>
      <c r="AJ173" s="32">
        <v>111220</v>
      </c>
      <c r="AK173" s="32">
        <v>112220</v>
      </c>
      <c r="AL173" s="32">
        <v>123220</v>
      </c>
      <c r="AM173" s="32">
        <v>124220</v>
      </c>
      <c r="AN173" s="32">
        <v>215220</v>
      </c>
      <c r="AO173" s="32">
        <v>216220</v>
      </c>
      <c r="AW173" s="5">
        <v>1</v>
      </c>
      <c r="AX173" s="5">
        <v>0</v>
      </c>
      <c r="AZ173" s="5">
        <v>1</v>
      </c>
      <c r="BA173" s="5">
        <v>2</v>
      </c>
      <c r="BB173" s="5">
        <v>3</v>
      </c>
      <c r="BD173" s="7">
        <v>111124</v>
      </c>
      <c r="DK173" s="8"/>
      <c r="DL173" s="8"/>
      <c r="DM173" s="8"/>
      <c r="DN173" s="8"/>
      <c r="DO173" s="50"/>
      <c r="DP173" s="50"/>
      <c r="DQ173" s="50"/>
      <c r="DR173" s="50"/>
      <c r="DS173" s="50">
        <v>1</v>
      </c>
      <c r="DT173" s="50"/>
      <c r="DU173" s="50"/>
      <c r="DV173" s="50"/>
      <c r="DW173" s="50"/>
      <c r="DX173" s="50"/>
      <c r="DY173" s="50"/>
      <c r="DZ173" s="50"/>
      <c r="EA173" s="50"/>
      <c r="EB173" s="50"/>
      <c r="EC173" s="50"/>
      <c r="ED173" s="50"/>
      <c r="EE173" s="50"/>
      <c r="EF173" s="50"/>
      <c r="EG173" s="50"/>
      <c r="EH173" s="50"/>
      <c r="EI173" s="50"/>
      <c r="EJ173" s="50"/>
      <c r="EK173" s="50"/>
      <c r="EL173" s="50"/>
      <c r="EM173" s="50"/>
      <c r="EN173" s="50"/>
      <c r="EO173" s="50"/>
      <c r="EP173" s="50"/>
      <c r="EQ173" s="50"/>
      <c r="ER173" s="50"/>
      <c r="ET173" s="55">
        <f t="shared" si="8"/>
        <v>1</v>
      </c>
    </row>
    <row r="174" spans="1:150" s="5" customFormat="1" ht="16" customHeight="1" x14ac:dyDescent="0.2">
      <c r="A174" s="5">
        <v>67</v>
      </c>
      <c r="B174" s="39" t="s">
        <v>679</v>
      </c>
      <c r="C174" s="39" t="s">
        <v>428</v>
      </c>
      <c r="D174" s="5">
        <v>72</v>
      </c>
      <c r="E174" s="5" t="s">
        <v>429</v>
      </c>
      <c r="F174" s="21" t="s">
        <v>430</v>
      </c>
      <c r="G174" s="21">
        <v>173</v>
      </c>
      <c r="H174" s="5">
        <f t="shared" si="6"/>
        <v>67072</v>
      </c>
      <c r="I174" t="s">
        <v>1195</v>
      </c>
      <c r="J174">
        <v>255</v>
      </c>
      <c r="K174">
        <v>255</v>
      </c>
      <c r="L174">
        <v>0</v>
      </c>
      <c r="M174" s="6">
        <v>255</v>
      </c>
      <c r="N174" s="6" t="str">
        <f t="shared" si="7"/>
        <v>173: (255, 255, 0, 255, Vegetation loss (extent) (land reclamation): 67072),</v>
      </c>
      <c r="O174" s="5" t="str">
        <f>VLOOKUP(Australia!B174,Impacts!$A$2:$B$80,2, FALSE)</f>
        <v>Loss of vegetation communities from an area.</v>
      </c>
      <c r="P174" s="5" t="str">
        <f>VLOOKUP(E174,Pressures!$A$2:$B$145,2,FALSE)</f>
        <v>The restoration of productivity or use to lands that have been degraded by past human activities or have been impaired by natural phenomena.</v>
      </c>
      <c r="AE174" s="32">
        <v>112228</v>
      </c>
      <c r="AF174" s="32">
        <v>123228</v>
      </c>
      <c r="AG174" s="32">
        <v>124228</v>
      </c>
      <c r="AH174" s="32">
        <v>215228</v>
      </c>
      <c r="AI174" s="32">
        <v>216228</v>
      </c>
      <c r="AJ174" s="32">
        <v>111220</v>
      </c>
      <c r="AK174" s="32">
        <v>112220</v>
      </c>
      <c r="AL174" s="32">
        <v>123220</v>
      </c>
      <c r="AM174" s="32">
        <v>124220</v>
      </c>
      <c r="AN174" s="32">
        <v>215220</v>
      </c>
      <c r="AO174" s="32">
        <v>216220</v>
      </c>
      <c r="AW174" s="5">
        <v>1</v>
      </c>
      <c r="AX174" s="5">
        <v>0</v>
      </c>
      <c r="AZ174" s="5">
        <v>1</v>
      </c>
      <c r="BA174" s="5">
        <v>2</v>
      </c>
      <c r="BB174" s="5">
        <v>3</v>
      </c>
      <c r="BE174" s="7">
        <v>112112</v>
      </c>
      <c r="BG174" s="7">
        <v>124124</v>
      </c>
      <c r="BX174" s="5" t="s">
        <v>717</v>
      </c>
      <c r="BY174" s="5" t="s">
        <v>714</v>
      </c>
      <c r="DK174" s="8"/>
      <c r="DL174" s="8"/>
      <c r="DM174" s="8"/>
      <c r="DN174" s="8"/>
      <c r="DO174" s="50"/>
      <c r="DP174" s="50"/>
      <c r="DQ174" s="50"/>
      <c r="DR174" s="50"/>
      <c r="DS174" s="50"/>
      <c r="DT174" s="50"/>
      <c r="DU174" s="50"/>
      <c r="DV174" s="50"/>
      <c r="DW174" s="50"/>
      <c r="DX174" s="50"/>
      <c r="DY174" s="50"/>
      <c r="DZ174" s="50"/>
      <c r="EA174" s="50"/>
      <c r="EB174" s="50"/>
      <c r="EC174" s="50"/>
      <c r="ED174" s="50"/>
      <c r="EE174" s="50"/>
      <c r="EF174" s="50"/>
      <c r="EG174" s="50"/>
      <c r="EH174" s="50"/>
      <c r="EI174" s="50"/>
      <c r="EJ174" s="50"/>
      <c r="EK174" s="50"/>
      <c r="EL174" s="50">
        <v>1</v>
      </c>
      <c r="EM174" s="50">
        <v>1</v>
      </c>
      <c r="EN174" s="50"/>
      <c r="EO174" s="50"/>
      <c r="EP174" s="50"/>
      <c r="EQ174" s="50"/>
      <c r="ER174" s="50"/>
      <c r="ET174" s="55">
        <f t="shared" si="8"/>
        <v>2</v>
      </c>
    </row>
    <row r="175" spans="1:150" s="5" customFormat="1" ht="16" customHeight="1" x14ac:dyDescent="0.2">
      <c r="A175" s="5">
        <v>67</v>
      </c>
      <c r="B175" s="43" t="s">
        <v>679</v>
      </c>
      <c r="C175" s="43" t="s">
        <v>431</v>
      </c>
      <c r="D175" s="5">
        <v>109</v>
      </c>
      <c r="E175" s="5" t="s">
        <v>432</v>
      </c>
      <c r="F175" s="21" t="s">
        <v>692</v>
      </c>
      <c r="G175" s="21">
        <v>174</v>
      </c>
      <c r="H175" s="5">
        <f t="shared" si="6"/>
        <v>67109</v>
      </c>
      <c r="I175" t="s">
        <v>1196</v>
      </c>
      <c r="J175">
        <v>25</v>
      </c>
      <c r="K175">
        <v>25</v>
      </c>
      <c r="L175">
        <v>112</v>
      </c>
      <c r="M175" s="6">
        <v>255</v>
      </c>
      <c r="N175" s="6" t="str">
        <f t="shared" si="7"/>
        <v>174: (25, 25, 112, 255, Vegetation loss (extent) (sea defence construction): 67109),</v>
      </c>
      <c r="O175" s="5" t="str">
        <f>VLOOKUP(Australia!B175,Impacts!$A$2:$B$80,2, FALSE)</f>
        <v>Loss of vegetation communities from an area.</v>
      </c>
      <c r="P175" s="5" t="str">
        <f>VLOOKUP(E175,Pressures!$A$2:$B$145,2,FALSE)</f>
        <v>Creation of infrastructure for the purpose of coastal protection.</v>
      </c>
      <c r="AB175" s="34">
        <v>227227</v>
      </c>
      <c r="AC175" s="34">
        <v>228228</v>
      </c>
      <c r="AD175" s="34">
        <v>220220</v>
      </c>
      <c r="AW175" s="5">
        <v>1</v>
      </c>
      <c r="AX175" s="5">
        <v>0</v>
      </c>
      <c r="AZ175" s="5">
        <v>1</v>
      </c>
      <c r="BA175" s="5">
        <v>2</v>
      </c>
      <c r="BB175" s="5">
        <v>3</v>
      </c>
      <c r="BD175" s="7">
        <v>111111</v>
      </c>
      <c r="BE175" s="7">
        <v>112112</v>
      </c>
      <c r="BX175" s="5" t="s">
        <v>717</v>
      </c>
      <c r="BY175" s="5" t="s">
        <v>717</v>
      </c>
      <c r="DK175" s="8"/>
      <c r="DL175" s="8"/>
      <c r="DM175" s="8"/>
      <c r="DN175" s="8"/>
      <c r="DO175" s="50"/>
      <c r="DP175" s="50"/>
      <c r="DQ175" s="50"/>
      <c r="DR175" s="50"/>
      <c r="DS175" s="50"/>
      <c r="DT175" s="50"/>
      <c r="DU175" s="50"/>
      <c r="DV175" s="50"/>
      <c r="DW175" s="50"/>
      <c r="DX175" s="50"/>
      <c r="DY175" s="50"/>
      <c r="DZ175" s="50"/>
      <c r="EA175" s="50"/>
      <c r="EB175" s="50"/>
      <c r="EC175" s="50"/>
      <c r="ED175" s="50"/>
      <c r="EE175" s="50"/>
      <c r="EF175" s="50"/>
      <c r="EG175" s="50"/>
      <c r="EH175" s="50"/>
      <c r="EI175" s="50"/>
      <c r="EJ175" s="50"/>
      <c r="EK175" s="50"/>
      <c r="EL175" s="50">
        <v>1</v>
      </c>
      <c r="EM175" s="50"/>
      <c r="EN175" s="50"/>
      <c r="EO175" s="50"/>
      <c r="EP175" s="50"/>
      <c r="EQ175" s="50"/>
      <c r="ER175" s="50"/>
      <c r="ET175" s="55">
        <f t="shared" si="8"/>
        <v>1</v>
      </c>
    </row>
    <row r="176" spans="1:150" s="5" customFormat="1" ht="16" customHeight="1" x14ac:dyDescent="0.2">
      <c r="A176" s="5">
        <v>67</v>
      </c>
      <c r="B176" s="39" t="s">
        <v>679</v>
      </c>
      <c r="C176" s="39" t="s">
        <v>315</v>
      </c>
      <c r="D176" s="5">
        <v>114</v>
      </c>
      <c r="E176" s="5" t="s">
        <v>316</v>
      </c>
      <c r="F176" s="21" t="s">
        <v>433</v>
      </c>
      <c r="G176" s="21">
        <v>175</v>
      </c>
      <c r="H176" s="5">
        <f t="shared" si="6"/>
        <v>67114</v>
      </c>
      <c r="I176" t="s">
        <v>1197</v>
      </c>
      <c r="J176">
        <v>255</v>
      </c>
      <c r="K176">
        <v>0</v>
      </c>
      <c r="L176">
        <v>255</v>
      </c>
      <c r="M176" s="6">
        <v>255</v>
      </c>
      <c r="N176" s="6" t="str">
        <f t="shared" si="7"/>
        <v>175: (255, 0, 255, 255, Vegetation loss (extent) (severe thunderstorm): 67114),</v>
      </c>
      <c r="O176" s="5" t="str">
        <f>VLOOKUP(Australia!B176,Impacts!$A$2:$B$80,2, FALSE)</f>
        <v>Loss of vegetation communities from an area.</v>
      </c>
      <c r="P176" s="5" t="str">
        <f>VLOOKUP(E176,Pressures!$A$2:$B$145,2,FALSE)</f>
        <v>A rain-bearing cloud that also produces lightning and hail one inch or larger in diameter and/or winds equal or exceed 58 miles an hour.</v>
      </c>
      <c r="AE176" s="32">
        <v>111216</v>
      </c>
      <c r="AF176" s="32">
        <v>112216</v>
      </c>
      <c r="AG176" s="32">
        <v>123216</v>
      </c>
      <c r="AH176" s="32">
        <v>124216</v>
      </c>
      <c r="AW176" s="5">
        <v>1</v>
      </c>
      <c r="AX176" s="5">
        <v>0</v>
      </c>
      <c r="AZ176" s="5">
        <v>1</v>
      </c>
      <c r="BA176" s="5">
        <v>2</v>
      </c>
      <c r="BB176" s="5">
        <v>3</v>
      </c>
      <c r="BD176" s="7">
        <v>111111</v>
      </c>
      <c r="BE176" s="7">
        <v>112112</v>
      </c>
      <c r="BF176" s="7">
        <v>123123</v>
      </c>
      <c r="BG176" s="7">
        <v>124124</v>
      </c>
      <c r="BV176" s="5">
        <v>22</v>
      </c>
      <c r="BX176" s="5" t="s">
        <v>717</v>
      </c>
      <c r="BY176" s="5" t="s">
        <v>714</v>
      </c>
      <c r="DK176" s="8"/>
      <c r="DL176" s="8"/>
      <c r="DM176" s="8"/>
      <c r="DN176" s="8"/>
      <c r="DO176" s="50"/>
      <c r="DP176" s="50"/>
      <c r="DQ176" s="50"/>
      <c r="DR176" s="50"/>
      <c r="DS176" s="50"/>
      <c r="DT176" s="50"/>
      <c r="DU176" s="50"/>
      <c r="DV176" s="50"/>
      <c r="DW176" s="50"/>
      <c r="DX176" s="50"/>
      <c r="DY176" s="50"/>
      <c r="DZ176" s="50"/>
      <c r="EA176" s="50"/>
      <c r="EB176" s="50"/>
      <c r="EC176" s="50"/>
      <c r="ED176" s="50">
        <v>1</v>
      </c>
      <c r="EE176" s="50"/>
      <c r="EF176" s="50"/>
      <c r="EG176" s="50"/>
      <c r="EH176" s="50"/>
      <c r="EI176" s="50"/>
      <c r="EJ176" s="50"/>
      <c r="EK176" s="50"/>
      <c r="EL176" s="50"/>
      <c r="EM176" s="50"/>
      <c r="EN176" s="50"/>
      <c r="EO176" s="50"/>
      <c r="EP176" s="50"/>
      <c r="EQ176" s="50"/>
      <c r="ER176" s="50"/>
      <c r="ET176" s="55">
        <f t="shared" si="8"/>
        <v>1</v>
      </c>
    </row>
    <row r="177" spans="1:150" s="5" customFormat="1" ht="16" customHeight="1" x14ac:dyDescent="0.2">
      <c r="A177" s="5">
        <v>67</v>
      </c>
      <c r="B177" s="39" t="s">
        <v>679</v>
      </c>
      <c r="C177" s="39" t="s">
        <v>109</v>
      </c>
      <c r="D177" s="5">
        <v>120</v>
      </c>
      <c r="E177" s="5" t="s">
        <v>110</v>
      </c>
      <c r="F177" s="21" t="s">
        <v>434</v>
      </c>
      <c r="G177" s="21">
        <v>176</v>
      </c>
      <c r="H177" s="5">
        <f t="shared" si="6"/>
        <v>67120</v>
      </c>
      <c r="I177" t="s">
        <v>1198</v>
      </c>
      <c r="J177">
        <v>255</v>
      </c>
      <c r="K177">
        <v>20</v>
      </c>
      <c r="L177">
        <v>147</v>
      </c>
      <c r="M177" s="6">
        <v>255</v>
      </c>
      <c r="N177" s="6" t="str">
        <f t="shared" si="7"/>
        <v>176: (255, 20, 147, 255, Vegetation loss (extent) (strong winds): 67120),</v>
      </c>
      <c r="O177" s="5" t="str">
        <f>VLOOKUP(Australia!B177,Impacts!$A$2:$B$80,2, FALSE)</f>
        <v>Loss of vegetation communities from an area.</v>
      </c>
      <c r="P177" s="5" t="str">
        <f>VLOOKUP(E177,Pressures!$A$2:$B$145,2,FALSE)</f>
        <v>A prolonged period of average wind speeds exceeding 40km/h during the day.</v>
      </c>
      <c r="AE177" s="32">
        <v>111216</v>
      </c>
      <c r="AF177" s="32">
        <v>112216</v>
      </c>
      <c r="AG177" s="32">
        <v>123216</v>
      </c>
      <c r="AH177" s="32">
        <v>124216</v>
      </c>
      <c r="AW177" s="5">
        <v>1</v>
      </c>
      <c r="AX177" s="5">
        <v>0</v>
      </c>
      <c r="AZ177" s="5">
        <v>1</v>
      </c>
      <c r="BA177" s="5">
        <v>2</v>
      </c>
      <c r="BB177" s="5">
        <v>3</v>
      </c>
      <c r="BD177" s="7">
        <v>111111</v>
      </c>
      <c r="BE177" s="7">
        <v>112112</v>
      </c>
      <c r="BV177" s="5">
        <v>22</v>
      </c>
      <c r="BX177" s="5" t="s">
        <v>717</v>
      </c>
      <c r="BY177" s="5" t="s">
        <v>717</v>
      </c>
      <c r="DK177" s="8"/>
      <c r="DL177" s="8"/>
      <c r="DM177" s="8"/>
      <c r="DN177" s="8"/>
      <c r="DO177" s="50"/>
      <c r="DP177" s="50"/>
      <c r="DQ177" s="50"/>
      <c r="DR177" s="50"/>
      <c r="DS177" s="50"/>
      <c r="DT177" s="50"/>
      <c r="DU177" s="50"/>
      <c r="DV177" s="50"/>
      <c r="DW177" s="50"/>
      <c r="DX177" s="50"/>
      <c r="DY177" s="50"/>
      <c r="DZ177" s="50"/>
      <c r="EA177" s="50"/>
      <c r="EB177" s="50"/>
      <c r="EC177" s="50">
        <v>1</v>
      </c>
      <c r="ED177" s="50"/>
      <c r="EE177" s="50"/>
      <c r="EF177" s="50"/>
      <c r="EG177" s="50"/>
      <c r="EH177" s="50"/>
      <c r="EI177" s="50"/>
      <c r="EJ177" s="50"/>
      <c r="EK177" s="50"/>
      <c r="EL177" s="50"/>
      <c r="EM177" s="50"/>
      <c r="EN177" s="50"/>
      <c r="EO177" s="50"/>
      <c r="EP177" s="50"/>
      <c r="EQ177" s="50"/>
      <c r="ER177" s="50"/>
      <c r="ET177" s="55">
        <f t="shared" si="8"/>
        <v>1</v>
      </c>
    </row>
    <row r="178" spans="1:150" s="5" customFormat="1" ht="16" customHeight="1" x14ac:dyDescent="0.2">
      <c r="A178" s="5">
        <v>67</v>
      </c>
      <c r="B178" s="39" t="s">
        <v>679</v>
      </c>
      <c r="C178" s="39" t="s">
        <v>435</v>
      </c>
      <c r="D178" s="5">
        <v>135</v>
      </c>
      <c r="E178" s="5" t="s">
        <v>436</v>
      </c>
      <c r="F178" s="21" t="s">
        <v>437</v>
      </c>
      <c r="G178" s="21">
        <v>177</v>
      </c>
      <c r="H178" s="5">
        <f t="shared" si="6"/>
        <v>67135</v>
      </c>
      <c r="I178" t="s">
        <v>1199</v>
      </c>
      <c r="J178">
        <v>138</v>
      </c>
      <c r="K178">
        <v>43</v>
      </c>
      <c r="L178">
        <v>226</v>
      </c>
      <c r="M178" s="6">
        <v>255</v>
      </c>
      <c r="N178" s="6" t="str">
        <f t="shared" si="7"/>
        <v>177: (138, 43, 226, 255, Vegetation loss (extent) (vegetation clearance): 67135),</v>
      </c>
      <c r="O178" s="5" t="str">
        <f>VLOOKUP(Australia!B178,Impacts!$A$2:$B$80,2, FALSE)</f>
        <v>Loss of vegetation communities from an area.</v>
      </c>
      <c r="P178" s="5" t="str">
        <f>VLOOKUP(E178,Pressures!$A$2:$B$145,2,FALSE)</f>
        <v>Removal of non-forest vegetation from an area to allow new land uses.</v>
      </c>
      <c r="AF178" s="32">
        <v>112216</v>
      </c>
      <c r="AH178" s="32">
        <v>124216</v>
      </c>
      <c r="AW178" s="5">
        <v>1</v>
      </c>
      <c r="AX178" s="5">
        <v>0</v>
      </c>
      <c r="AZ178" s="5">
        <v>1</v>
      </c>
      <c r="BA178" s="5">
        <v>2</v>
      </c>
      <c r="BB178" s="5">
        <v>3</v>
      </c>
      <c r="BD178" s="7">
        <v>111111</v>
      </c>
      <c r="BE178" s="7">
        <v>112112</v>
      </c>
      <c r="BF178" s="7">
        <v>123123</v>
      </c>
      <c r="BG178" s="7">
        <v>124124</v>
      </c>
      <c r="BV178" s="5">
        <v>22</v>
      </c>
      <c r="BX178" s="5" t="s">
        <v>717</v>
      </c>
      <c r="BY178" s="5" t="s">
        <v>714</v>
      </c>
      <c r="DK178" s="8"/>
      <c r="DL178" s="8"/>
      <c r="DM178" s="8"/>
      <c r="DN178" s="8"/>
      <c r="DO178" s="50"/>
      <c r="DP178" s="50"/>
      <c r="DQ178" s="50"/>
      <c r="DR178" s="50"/>
      <c r="DS178" s="50"/>
      <c r="DT178" s="50"/>
      <c r="DU178" s="50"/>
      <c r="DV178" s="50"/>
      <c r="DW178" s="50"/>
      <c r="DX178" s="50"/>
      <c r="DY178" s="50"/>
      <c r="DZ178" s="50"/>
      <c r="EA178" s="50"/>
      <c r="EB178" s="50"/>
      <c r="EC178" s="50"/>
      <c r="ED178" s="50"/>
      <c r="EE178" s="50"/>
      <c r="EF178" s="50"/>
      <c r="EG178" s="50"/>
      <c r="EH178" s="50">
        <v>1</v>
      </c>
      <c r="EI178" s="50"/>
      <c r="EJ178" s="50"/>
      <c r="EK178" s="50"/>
      <c r="EL178" s="50">
        <v>1</v>
      </c>
      <c r="EM178" s="50"/>
      <c r="EN178" s="50"/>
      <c r="EO178" s="50"/>
      <c r="EP178" s="50"/>
      <c r="EQ178" s="50"/>
      <c r="ER178" s="50"/>
      <c r="ET178" s="55">
        <f t="shared" si="8"/>
        <v>2</v>
      </c>
    </row>
    <row r="179" spans="1:150" s="5" customFormat="1" ht="16" customHeight="1" x14ac:dyDescent="0.2">
      <c r="A179" s="5">
        <v>67</v>
      </c>
      <c r="B179" s="39" t="s">
        <v>679</v>
      </c>
      <c r="C179" s="39" t="s">
        <v>184</v>
      </c>
      <c r="D179" s="5">
        <v>139</v>
      </c>
      <c r="E179" s="5" t="s">
        <v>185</v>
      </c>
      <c r="F179" s="21" t="s">
        <v>438</v>
      </c>
      <c r="G179" s="21">
        <v>178</v>
      </c>
      <c r="H179" s="5">
        <f t="shared" si="6"/>
        <v>67139</v>
      </c>
      <c r="I179" t="s">
        <v>1200</v>
      </c>
      <c r="J179">
        <v>127</v>
      </c>
      <c r="K179">
        <v>255</v>
      </c>
      <c r="L179">
        <v>212</v>
      </c>
      <c r="M179" s="6">
        <v>255</v>
      </c>
      <c r="N179" s="6" t="str">
        <f t="shared" si="7"/>
        <v>178: (127, 255, 212, 255, Vegetation loss (extent) (wave action): 67139),</v>
      </c>
      <c r="O179" s="5" t="str">
        <f>VLOOKUP(Australia!B179,Impacts!$A$2:$B$80,2, FALSE)</f>
        <v>Loss of vegetation communities from an area.</v>
      </c>
      <c r="P179" s="5" t="str">
        <f>VLOOKUP(E179,Pressures!$A$2:$B$145,2,FALSE)</f>
        <v>Disturbance on the surface of a liquid body, as the sea or a lake, in the form of a moving ridge or swell that impacts on the structure of land elements.</v>
      </c>
      <c r="AE179" s="32">
        <v>112228</v>
      </c>
      <c r="AF179" s="32">
        <v>123228</v>
      </c>
      <c r="AG179" s="32">
        <v>124228</v>
      </c>
      <c r="AH179" s="32">
        <v>215228</v>
      </c>
      <c r="AI179" s="32">
        <v>216228</v>
      </c>
      <c r="AJ179" s="32">
        <v>111220</v>
      </c>
      <c r="AK179" s="32">
        <v>112220</v>
      </c>
      <c r="AL179" s="32">
        <v>123220</v>
      </c>
      <c r="AM179" s="32">
        <v>124220</v>
      </c>
      <c r="AN179" s="32">
        <v>215220</v>
      </c>
      <c r="AO179" s="32">
        <v>216220</v>
      </c>
      <c r="AU179" s="5" t="s">
        <v>713</v>
      </c>
      <c r="AW179" s="5">
        <v>1</v>
      </c>
      <c r="AX179" s="5">
        <v>0</v>
      </c>
      <c r="AZ179" s="5">
        <v>1</v>
      </c>
      <c r="BA179" s="5">
        <v>2</v>
      </c>
      <c r="BB179" s="5">
        <v>3</v>
      </c>
      <c r="BE179" s="7">
        <v>112112</v>
      </c>
      <c r="BV179" s="5">
        <v>22</v>
      </c>
      <c r="BX179" s="5" t="s">
        <v>717</v>
      </c>
      <c r="BY179" s="5" t="s">
        <v>717</v>
      </c>
      <c r="DK179" s="8"/>
      <c r="DL179" s="8"/>
      <c r="DM179" s="8"/>
      <c r="DN179" s="8"/>
      <c r="DO179" s="50"/>
      <c r="DP179" s="50"/>
      <c r="DQ179" s="50"/>
      <c r="DR179" s="50"/>
      <c r="DS179" s="50">
        <v>1</v>
      </c>
      <c r="DT179" s="50"/>
      <c r="DU179" s="50"/>
      <c r="DV179" s="50"/>
      <c r="DW179" s="50"/>
      <c r="DX179" s="50"/>
      <c r="DY179" s="50"/>
      <c r="DZ179" s="50"/>
      <c r="EA179" s="50"/>
      <c r="EB179" s="50"/>
      <c r="EC179" s="50"/>
      <c r="ED179" s="50"/>
      <c r="EE179" s="50">
        <v>1</v>
      </c>
      <c r="EF179" s="50"/>
      <c r="EG179" s="50"/>
      <c r="EH179" s="50"/>
      <c r="EI179" s="50"/>
      <c r="EJ179" s="50"/>
      <c r="EK179" s="50"/>
      <c r="EL179" s="50"/>
      <c r="EM179" s="50"/>
      <c r="EN179" s="50"/>
      <c r="EO179" s="50"/>
      <c r="EP179" s="50"/>
      <c r="EQ179" s="50"/>
      <c r="ER179" s="50"/>
      <c r="ET179" s="55">
        <f t="shared" si="8"/>
        <v>2</v>
      </c>
    </row>
    <row r="180" spans="1:150" s="5" customFormat="1" ht="16" customHeight="1" x14ac:dyDescent="0.2">
      <c r="A180" s="5">
        <v>68</v>
      </c>
      <c r="B180" s="8" t="s">
        <v>680</v>
      </c>
      <c r="C180" s="8" t="s">
        <v>298</v>
      </c>
      <c r="D180" s="5">
        <v>12</v>
      </c>
      <c r="E180" s="5" t="s">
        <v>299</v>
      </c>
      <c r="F180" s="21" t="s">
        <v>439</v>
      </c>
      <c r="G180" s="21">
        <v>179</v>
      </c>
      <c r="H180" s="5">
        <f t="shared" si="6"/>
        <v>68012</v>
      </c>
      <c r="I180" t="s">
        <v>1201</v>
      </c>
      <c r="J180">
        <v>255</v>
      </c>
      <c r="K180">
        <v>140</v>
      </c>
      <c r="L180">
        <v>0</v>
      </c>
      <c r="M180" s="6">
        <v>255</v>
      </c>
      <c r="N180" s="6" t="str">
        <f t="shared" si="7"/>
        <v>179: (255, 140, 0, 255, Vegetation reduction (amount) (bushfire): 68012),</v>
      </c>
      <c r="O180" s="5" t="str">
        <f>VLOOKUP(Australia!B180,Impacts!$A$2:$B$80,2, FALSE)</f>
        <v>Reduction in the diversity, abundance and/or coverage of plants within an area.</v>
      </c>
      <c r="P180" s="5" t="str">
        <f>VLOOKUP(E180,Pressures!$A$2:$B$145,2,FALSE)</f>
        <v>Grass fires, forest fires and/or scrub fires started naturally, accidentally, or deliberately.</v>
      </c>
      <c r="V180" s="29">
        <v>111111</v>
      </c>
      <c r="W180" s="29">
        <v>112112</v>
      </c>
      <c r="X180" s="29">
        <v>123123</v>
      </c>
      <c r="Y180" s="29">
        <v>124124</v>
      </c>
      <c r="AU180" s="31">
        <v>11</v>
      </c>
      <c r="AV180" s="31">
        <v>22</v>
      </c>
      <c r="AW180" s="5">
        <v>1</v>
      </c>
      <c r="AX180" s="5">
        <v>0</v>
      </c>
      <c r="AZ180" s="5">
        <v>1</v>
      </c>
      <c r="BA180" s="5">
        <v>2</v>
      </c>
      <c r="BB180" s="5">
        <v>3</v>
      </c>
      <c r="BD180" s="7">
        <v>111111</v>
      </c>
      <c r="BX180" s="5" t="s">
        <v>714</v>
      </c>
      <c r="BY180" s="5" t="s">
        <v>717</v>
      </c>
      <c r="BZ180" s="31">
        <v>21</v>
      </c>
      <c r="CB180" s="45">
        <v>1012</v>
      </c>
      <c r="CC180" s="45">
        <v>1013</v>
      </c>
      <c r="CD180" s="45">
        <v>1015</v>
      </c>
      <c r="CE180" s="45">
        <v>1016</v>
      </c>
      <c r="CF180" s="45">
        <v>1213</v>
      </c>
      <c r="CG180" s="45">
        <v>1215</v>
      </c>
      <c r="CH180" s="46">
        <v>1216</v>
      </c>
      <c r="CI180" s="46">
        <v>1315</v>
      </c>
      <c r="CJ180" s="46">
        <v>1316</v>
      </c>
      <c r="CK180" s="46">
        <v>1516</v>
      </c>
      <c r="DK180" s="8"/>
      <c r="DL180" s="8"/>
      <c r="DM180" s="8"/>
      <c r="DN180" s="8"/>
      <c r="DO180" s="50">
        <v>1</v>
      </c>
      <c r="DP180" s="50">
        <v>1</v>
      </c>
      <c r="DQ180" s="50">
        <v>1</v>
      </c>
      <c r="DR180" s="50"/>
      <c r="DS180" s="50"/>
      <c r="DT180" s="50"/>
      <c r="DU180" s="50"/>
      <c r="DV180" s="50"/>
      <c r="DW180" s="50"/>
      <c r="DX180" s="50"/>
      <c r="DY180" s="50"/>
      <c r="DZ180" s="50"/>
      <c r="EA180" s="50"/>
      <c r="EB180" s="50"/>
      <c r="EC180" s="50"/>
      <c r="ED180" s="50"/>
      <c r="EE180" s="50"/>
      <c r="EF180" s="50"/>
      <c r="EG180" s="50"/>
      <c r="EH180" s="50"/>
      <c r="EI180" s="50"/>
      <c r="EJ180" s="50"/>
      <c r="EK180" s="50"/>
      <c r="EL180" s="50"/>
      <c r="EM180" s="50"/>
      <c r="EN180" s="50"/>
      <c r="EO180" s="50"/>
      <c r="EP180" s="50"/>
      <c r="EQ180" s="50"/>
      <c r="ER180" s="50"/>
      <c r="ET180" s="55">
        <f t="shared" si="8"/>
        <v>3</v>
      </c>
    </row>
    <row r="181" spans="1:150" s="5" customFormat="1" ht="16" customHeight="1" x14ac:dyDescent="0.2">
      <c r="A181" s="5">
        <v>68</v>
      </c>
      <c r="B181" s="8" t="s">
        <v>680</v>
      </c>
      <c r="C181" s="8" t="s">
        <v>440</v>
      </c>
      <c r="D181" s="5">
        <v>18</v>
      </c>
      <c r="E181" s="5" t="s">
        <v>441</v>
      </c>
      <c r="F181" s="21" t="s">
        <v>442</v>
      </c>
      <c r="G181" s="21">
        <v>180</v>
      </c>
      <c r="H181" s="5">
        <f t="shared" si="6"/>
        <v>68018</v>
      </c>
      <c r="I181" t="s">
        <v>1202</v>
      </c>
      <c r="J181">
        <v>250</v>
      </c>
      <c r="K181">
        <v>240</v>
      </c>
      <c r="L181">
        <v>230</v>
      </c>
      <c r="M181" s="6">
        <v>255</v>
      </c>
      <c r="N181" s="6" t="str">
        <f t="shared" si="7"/>
        <v>180: (250, 240, 230, 255, Vegetation reduction (amount) (coppicing): 68018),</v>
      </c>
      <c r="O181" s="5" t="str">
        <f>VLOOKUP(Australia!B181,Impacts!$A$2:$B$80,2, FALSE)</f>
        <v>Reduction in the diversity, abundance and/or coverage of plants within an area.</v>
      </c>
      <c r="P181" s="5" t="str">
        <f>VLOOKUP(E181,Pressures!$A$2:$B$145,2,FALSE)</f>
        <v>Area of closely planted trees that are cut back regularly to provide wood.</v>
      </c>
      <c r="W181" s="29">
        <v>112112</v>
      </c>
      <c r="AV181" s="31">
        <v>22</v>
      </c>
      <c r="AW181" s="5">
        <v>1</v>
      </c>
      <c r="AX181" s="5">
        <v>0</v>
      </c>
      <c r="AZ181" s="5">
        <v>1</v>
      </c>
      <c r="BA181" s="5">
        <v>2</v>
      </c>
      <c r="BB181" s="5">
        <v>3</v>
      </c>
      <c r="BE181" s="7">
        <v>112112</v>
      </c>
      <c r="BV181" s="5">
        <v>22</v>
      </c>
      <c r="BX181" s="5" t="s">
        <v>717</v>
      </c>
      <c r="BY181" s="5" t="s">
        <v>717</v>
      </c>
      <c r="CB181" s="45">
        <v>1012</v>
      </c>
      <c r="CC181" s="45">
        <v>1013</v>
      </c>
      <c r="CD181" s="45">
        <v>1015</v>
      </c>
      <c r="CE181" s="45">
        <v>1016</v>
      </c>
      <c r="CF181" s="45">
        <v>1213</v>
      </c>
      <c r="CG181" s="45">
        <v>1215</v>
      </c>
      <c r="CH181" s="46">
        <v>1216</v>
      </c>
      <c r="CI181" s="46">
        <v>1315</v>
      </c>
      <c r="CJ181" s="46">
        <v>1316</v>
      </c>
      <c r="CK181" s="46">
        <v>1516</v>
      </c>
      <c r="DK181" s="8"/>
      <c r="DL181" s="8"/>
      <c r="DM181" s="8"/>
      <c r="DN181" s="8"/>
      <c r="DO181" s="50"/>
      <c r="DP181" s="50"/>
      <c r="DQ181" s="50"/>
      <c r="DR181" s="50"/>
      <c r="DS181" s="50"/>
      <c r="DT181" s="50"/>
      <c r="DU181" s="50"/>
      <c r="DV181" s="50"/>
      <c r="DW181" s="50"/>
      <c r="DX181" s="50"/>
      <c r="DY181" s="50"/>
      <c r="DZ181" s="50"/>
      <c r="EA181" s="50"/>
      <c r="EB181" s="50"/>
      <c r="EC181" s="50"/>
      <c r="ED181" s="50"/>
      <c r="EE181" s="50"/>
      <c r="EF181" s="50"/>
      <c r="EG181" s="50"/>
      <c r="EH181" s="50">
        <v>1</v>
      </c>
      <c r="EI181" s="50"/>
      <c r="EJ181" s="50"/>
      <c r="EK181" s="50"/>
      <c r="EL181" s="50"/>
      <c r="EM181" s="50">
        <v>1</v>
      </c>
      <c r="EN181" s="50"/>
      <c r="EO181" s="50"/>
      <c r="EP181" s="50"/>
      <c r="EQ181" s="50"/>
      <c r="ER181" s="50"/>
      <c r="ET181" s="55">
        <f t="shared" si="8"/>
        <v>2</v>
      </c>
    </row>
    <row r="182" spans="1:150" s="5" customFormat="1" ht="16" customHeight="1" x14ac:dyDescent="0.2">
      <c r="A182" s="5">
        <v>68</v>
      </c>
      <c r="B182" s="8" t="s">
        <v>680</v>
      </c>
      <c r="C182" s="8" t="s">
        <v>411</v>
      </c>
      <c r="D182" s="5">
        <v>24</v>
      </c>
      <c r="E182" s="5" t="s">
        <v>412</v>
      </c>
      <c r="F182" s="21" t="s">
        <v>443</v>
      </c>
      <c r="G182" s="21">
        <v>181</v>
      </c>
      <c r="H182" s="5">
        <f t="shared" si="6"/>
        <v>68024</v>
      </c>
      <c r="I182" t="s">
        <v>1203</v>
      </c>
      <c r="J182">
        <v>139</v>
      </c>
      <c r="K182">
        <v>0</v>
      </c>
      <c r="L182">
        <v>0</v>
      </c>
      <c r="M182" s="6">
        <v>255</v>
      </c>
      <c r="N182" s="6" t="str">
        <f t="shared" si="7"/>
        <v>181: (139, 0, 0, 255, Vegetation reduction (amount) (decreased nutrient supply in soil): 68024),</v>
      </c>
      <c r="O182" s="5" t="str">
        <f>VLOOKUP(Australia!B182,Impacts!$A$2:$B$80,2, FALSE)</f>
        <v>Reduction in the diversity, abundance and/or coverage of plants within an area.</v>
      </c>
      <c r="P182" s="5" t="str">
        <f>VLOOKUP(E182,Pressures!$A$2:$B$145,2,FALSE)</f>
        <v>Reduced availability of nutrients needed for plants to grow or maintain physiological function and potentially influencing vegetation composition.</v>
      </c>
      <c r="V182" s="29">
        <v>111111</v>
      </c>
      <c r="W182" s="29">
        <v>112112</v>
      </c>
      <c r="X182" s="29">
        <v>123123</v>
      </c>
      <c r="Y182" s="29">
        <v>124124</v>
      </c>
      <c r="AU182" s="31">
        <v>11</v>
      </c>
      <c r="AV182" s="31">
        <v>22</v>
      </c>
      <c r="AW182" s="5">
        <v>1</v>
      </c>
      <c r="AX182" s="5">
        <v>0</v>
      </c>
      <c r="AZ182" s="5">
        <v>1</v>
      </c>
      <c r="BA182" s="5">
        <v>2</v>
      </c>
      <c r="BB182" s="5">
        <v>3</v>
      </c>
      <c r="BG182" s="7">
        <v>124124</v>
      </c>
      <c r="CB182" s="45">
        <v>1012</v>
      </c>
      <c r="CC182" s="45">
        <v>1013</v>
      </c>
      <c r="CD182" s="45">
        <v>1015</v>
      </c>
      <c r="CE182" s="45">
        <v>1016</v>
      </c>
      <c r="CF182" s="45">
        <v>1213</v>
      </c>
      <c r="CG182" s="45">
        <v>1215</v>
      </c>
      <c r="CH182" s="46">
        <v>1216</v>
      </c>
      <c r="CI182" s="46">
        <v>1315</v>
      </c>
      <c r="CJ182" s="46">
        <v>1316</v>
      </c>
      <c r="CK182" s="46">
        <v>1516</v>
      </c>
      <c r="DK182" s="8"/>
      <c r="DL182" s="8"/>
      <c r="DM182" s="8"/>
      <c r="DN182" s="8"/>
      <c r="DO182" s="50"/>
      <c r="DP182" s="50"/>
      <c r="DQ182" s="50"/>
      <c r="DR182" s="50"/>
      <c r="DS182" s="50"/>
      <c r="DT182" s="50"/>
      <c r="DU182" s="50"/>
      <c r="DV182" s="50"/>
      <c r="DW182" s="50"/>
      <c r="DX182" s="50"/>
      <c r="DY182" s="50"/>
      <c r="DZ182" s="50"/>
      <c r="EA182" s="50"/>
      <c r="EB182" s="50"/>
      <c r="EC182" s="50"/>
      <c r="ED182" s="50"/>
      <c r="EE182" s="50"/>
      <c r="EF182" s="50"/>
      <c r="EG182" s="50"/>
      <c r="EH182" s="50"/>
      <c r="EI182" s="50"/>
      <c r="EJ182" s="50"/>
      <c r="EK182" s="50"/>
      <c r="EL182" s="50"/>
      <c r="EM182" s="50"/>
      <c r="EN182" s="50"/>
      <c r="EO182" s="50"/>
      <c r="EP182" s="50">
        <v>1</v>
      </c>
      <c r="EQ182" s="50"/>
      <c r="ER182" s="50"/>
      <c r="ET182" s="55">
        <f t="shared" si="8"/>
        <v>1</v>
      </c>
    </row>
    <row r="183" spans="1:150" s="5" customFormat="1" ht="16" customHeight="1" x14ac:dyDescent="0.2">
      <c r="A183" s="5">
        <v>68</v>
      </c>
      <c r="B183" s="8" t="s">
        <v>680</v>
      </c>
      <c r="C183" s="8" t="s">
        <v>133</v>
      </c>
      <c r="D183" s="5">
        <v>41</v>
      </c>
      <c r="E183" s="5" t="s">
        <v>134</v>
      </c>
      <c r="F183" s="21" t="s">
        <v>444</v>
      </c>
      <c r="G183" s="21">
        <v>182</v>
      </c>
      <c r="H183" s="5">
        <f t="shared" si="6"/>
        <v>68041</v>
      </c>
      <c r="I183" t="s">
        <v>1204</v>
      </c>
      <c r="J183">
        <v>128</v>
      </c>
      <c r="K183">
        <v>128</v>
      </c>
      <c r="L183">
        <v>128</v>
      </c>
      <c r="M183" s="6">
        <v>255</v>
      </c>
      <c r="N183" s="6" t="str">
        <f t="shared" si="7"/>
        <v>182: (128, 128, 128, 255, Vegetation reduction (amount) (farmland abandonment): 68041),</v>
      </c>
      <c r="O183" s="5" t="str">
        <f>VLOOKUP(Australia!B183,Impacts!$A$2:$B$80,2, FALSE)</f>
        <v>Reduction in the diversity, abundance and/or coverage of plants within an area.</v>
      </c>
      <c r="P183" s="5" t="str">
        <f>VLOOKUP(E183,Pressures!$A$2:$B$145,2,FALSE)</f>
        <v>The cessation of agricultural activities on a given surface of land.</v>
      </c>
      <c r="V183" s="29">
        <v>111111</v>
      </c>
      <c r="W183" s="29">
        <v>112112</v>
      </c>
      <c r="X183" s="29">
        <v>123123</v>
      </c>
      <c r="Y183" s="29">
        <v>124124</v>
      </c>
      <c r="AU183" s="31">
        <v>22</v>
      </c>
      <c r="AV183" s="31">
        <v>21</v>
      </c>
      <c r="AW183" s="5">
        <v>1</v>
      </c>
      <c r="AX183" s="5">
        <v>0</v>
      </c>
      <c r="AZ183" s="5">
        <v>1</v>
      </c>
      <c r="BA183" s="5">
        <v>2</v>
      </c>
      <c r="BB183" s="5">
        <v>3</v>
      </c>
      <c r="BE183" s="7">
        <v>112112</v>
      </c>
      <c r="BX183" s="5" t="s">
        <v>717</v>
      </c>
      <c r="BY183" s="5" t="s">
        <v>717</v>
      </c>
      <c r="CB183" s="45">
        <v>1012</v>
      </c>
      <c r="CC183" s="45">
        <v>1013</v>
      </c>
      <c r="CD183" s="45">
        <v>1015</v>
      </c>
      <c r="CE183" s="45">
        <v>1016</v>
      </c>
      <c r="CF183" s="45">
        <v>1213</v>
      </c>
      <c r="CG183" s="45">
        <v>1215</v>
      </c>
      <c r="CH183" s="46">
        <v>1216</v>
      </c>
      <c r="CI183" s="46">
        <v>1315</v>
      </c>
      <c r="CJ183" s="46">
        <v>1316</v>
      </c>
      <c r="CK183" s="46">
        <v>1516</v>
      </c>
      <c r="DK183" s="8"/>
      <c r="DL183" s="8"/>
      <c r="DM183" s="8"/>
      <c r="DN183" s="8"/>
      <c r="DO183" s="50"/>
      <c r="DP183" s="50"/>
      <c r="DQ183" s="50"/>
      <c r="DR183" s="50"/>
      <c r="DS183" s="50"/>
      <c r="DT183" s="50"/>
      <c r="DU183" s="50"/>
      <c r="DV183" s="50"/>
      <c r="DW183" s="50"/>
      <c r="DX183" s="50"/>
      <c r="DY183" s="50"/>
      <c r="DZ183" s="50"/>
      <c r="EA183" s="50"/>
      <c r="EB183" s="50"/>
      <c r="EC183" s="50"/>
      <c r="ED183" s="50"/>
      <c r="EE183" s="50"/>
      <c r="EF183" s="50"/>
      <c r="EG183" s="50"/>
      <c r="EH183" s="50"/>
      <c r="EI183" s="50"/>
      <c r="EJ183" s="50"/>
      <c r="EK183" s="50"/>
      <c r="EL183" s="50"/>
      <c r="EM183" s="50">
        <v>1</v>
      </c>
      <c r="EN183" s="50"/>
      <c r="EO183" s="50"/>
      <c r="EP183" s="50"/>
      <c r="EQ183" s="50"/>
      <c r="ER183" s="50"/>
      <c r="ET183" s="55">
        <f t="shared" si="8"/>
        <v>1</v>
      </c>
    </row>
    <row r="184" spans="1:150" s="5" customFormat="1" ht="16" customHeight="1" x14ac:dyDescent="0.2">
      <c r="A184" s="5">
        <v>68</v>
      </c>
      <c r="B184" s="8" t="s">
        <v>680</v>
      </c>
      <c r="C184" s="8" t="s">
        <v>445</v>
      </c>
      <c r="D184" s="5">
        <v>47</v>
      </c>
      <c r="E184" s="5" t="s">
        <v>446</v>
      </c>
      <c r="F184" s="21" t="s">
        <v>447</v>
      </c>
      <c r="G184" s="21">
        <v>183</v>
      </c>
      <c r="H184" s="5">
        <f t="shared" si="6"/>
        <v>68047</v>
      </c>
      <c r="I184" t="s">
        <v>1205</v>
      </c>
      <c r="J184">
        <v>165</v>
      </c>
      <c r="K184">
        <v>42</v>
      </c>
      <c r="L184">
        <v>42</v>
      </c>
      <c r="M184" s="6">
        <v>255</v>
      </c>
      <c r="N184" s="6" t="str">
        <f t="shared" si="7"/>
        <v>183: (165, 42, 42, 255, Vegetation reduction (amount) (fuelwood collection): 68047),</v>
      </c>
      <c r="O184" s="5" t="str">
        <f>VLOOKUP(Australia!B184,Impacts!$A$2:$B$80,2, FALSE)</f>
        <v>Reduction in the diversity, abundance and/or coverage of plants within an area.</v>
      </c>
      <c r="P184" s="5" t="str">
        <f>VLOOKUP(E184,Pressures!$A$2:$B$145,2,FALSE)</f>
        <v>Extraction of wood for fuel by collecting dead wood or by harvesting trees or their branches.</v>
      </c>
      <c r="V184" s="29" t="s">
        <v>713</v>
      </c>
      <c r="W184" s="29">
        <v>112112</v>
      </c>
      <c r="X184" s="29" t="s">
        <v>713</v>
      </c>
      <c r="Y184" s="29">
        <v>124124</v>
      </c>
      <c r="AU184" s="31">
        <v>11</v>
      </c>
      <c r="AW184" s="5">
        <v>1</v>
      </c>
      <c r="AX184" s="5">
        <v>0</v>
      </c>
      <c r="AZ184" s="5">
        <v>1</v>
      </c>
      <c r="BA184" s="5">
        <v>2</v>
      </c>
      <c r="BB184" s="5">
        <v>3</v>
      </c>
      <c r="BD184" s="7">
        <v>111111</v>
      </c>
      <c r="BX184" s="5" t="s">
        <v>717</v>
      </c>
      <c r="BY184" s="5" t="s">
        <v>717</v>
      </c>
      <c r="CB184" s="45">
        <v>1012</v>
      </c>
      <c r="CC184" s="45">
        <v>1013</v>
      </c>
      <c r="CD184" s="45">
        <v>1015</v>
      </c>
      <c r="CE184" s="45">
        <v>1016</v>
      </c>
      <c r="CF184" s="45">
        <v>1213</v>
      </c>
      <c r="CG184" s="45">
        <v>1215</v>
      </c>
      <c r="CH184" s="46">
        <v>1216</v>
      </c>
      <c r="CI184" s="46">
        <v>1315</v>
      </c>
      <c r="CJ184" s="46">
        <v>1316</v>
      </c>
      <c r="CK184" s="46">
        <v>1516</v>
      </c>
      <c r="DK184" s="8"/>
      <c r="DL184" s="8"/>
      <c r="DM184" s="8"/>
      <c r="DN184" s="8"/>
      <c r="DO184" s="50"/>
      <c r="DP184" s="50"/>
      <c r="DQ184" s="50"/>
      <c r="DR184" s="50"/>
      <c r="DS184" s="50"/>
      <c r="DT184" s="50"/>
      <c r="DU184" s="50"/>
      <c r="DV184" s="50"/>
      <c r="DW184" s="50"/>
      <c r="DX184" s="50"/>
      <c r="DY184" s="50"/>
      <c r="DZ184" s="50"/>
      <c r="EA184" s="50"/>
      <c r="EB184" s="50"/>
      <c r="EC184" s="50"/>
      <c r="ED184" s="50"/>
      <c r="EE184" s="50"/>
      <c r="EF184" s="50"/>
      <c r="EG184" s="50"/>
      <c r="EH184" s="50">
        <v>1</v>
      </c>
      <c r="EI184" s="50"/>
      <c r="EJ184" s="50"/>
      <c r="EK184" s="50"/>
      <c r="EL184" s="50"/>
      <c r="EM184" s="50"/>
      <c r="EN184" s="50"/>
      <c r="EO184" s="50"/>
      <c r="EP184" s="50"/>
      <c r="EQ184" s="50"/>
      <c r="ER184" s="50"/>
      <c r="ET184" s="55">
        <f t="shared" si="8"/>
        <v>1</v>
      </c>
    </row>
    <row r="185" spans="1:150" s="5" customFormat="1" ht="16" customHeight="1" x14ac:dyDescent="0.2">
      <c r="A185" s="5">
        <v>68</v>
      </c>
      <c r="B185" s="8" t="s">
        <v>680</v>
      </c>
      <c r="C185" s="8" t="s">
        <v>448</v>
      </c>
      <c r="D185" s="5">
        <v>55</v>
      </c>
      <c r="E185" s="5" t="s">
        <v>449</v>
      </c>
      <c r="F185" s="21" t="s">
        <v>450</v>
      </c>
      <c r="G185" s="21">
        <v>184</v>
      </c>
      <c r="H185" s="5">
        <f t="shared" si="6"/>
        <v>68055</v>
      </c>
      <c r="I185" t="s">
        <v>1206</v>
      </c>
      <c r="J185">
        <v>139</v>
      </c>
      <c r="K185">
        <v>0</v>
      </c>
      <c r="L185">
        <v>139</v>
      </c>
      <c r="M185" s="6">
        <v>255</v>
      </c>
      <c r="N185" s="6" t="str">
        <f t="shared" si="7"/>
        <v>184: (139, 0, 139, 255, Vegetation reduction (amount) (harvesting): 68055),</v>
      </c>
      <c r="O185" s="5" t="str">
        <f>VLOOKUP(Australia!B185,Impacts!$A$2:$B$80,2, FALSE)</f>
        <v>Reduction in the diversity, abundance and/or coverage of plants within an area.</v>
      </c>
      <c r="P185" s="5" t="str">
        <f>VLOOKUP(E185,Pressures!$A$2:$B$145,2,FALSE)</f>
        <v>Act of removing a crop from where it was growing and moving it to a more secure location for processing, consumption, or storage.</v>
      </c>
      <c r="V185" s="35">
        <v>111111</v>
      </c>
      <c r="W185" s="35" t="s">
        <v>713</v>
      </c>
      <c r="X185" s="35">
        <v>123123</v>
      </c>
      <c r="Y185" s="35" t="s">
        <v>713</v>
      </c>
      <c r="AU185" s="31">
        <v>11</v>
      </c>
      <c r="AV185" s="31">
        <v>22</v>
      </c>
      <c r="AW185" s="5">
        <v>1</v>
      </c>
      <c r="AX185" s="5">
        <v>0</v>
      </c>
      <c r="AZ185" s="5">
        <v>1</v>
      </c>
      <c r="BA185" s="5">
        <v>2</v>
      </c>
      <c r="BB185" s="5">
        <v>3</v>
      </c>
      <c r="BD185" s="7">
        <v>111111</v>
      </c>
      <c r="BE185" s="7">
        <v>112112</v>
      </c>
      <c r="BG185" s="7">
        <v>124124</v>
      </c>
      <c r="BX185" s="5" t="s">
        <v>717</v>
      </c>
      <c r="BY185" s="5" t="s">
        <v>717</v>
      </c>
      <c r="CB185" s="45">
        <v>1012</v>
      </c>
      <c r="CC185" s="45">
        <v>1013</v>
      </c>
      <c r="CD185" s="45">
        <v>1015</v>
      </c>
      <c r="CE185" s="45">
        <v>1016</v>
      </c>
      <c r="CF185" s="45">
        <v>1213</v>
      </c>
      <c r="CG185" s="45">
        <v>1215</v>
      </c>
      <c r="CH185" s="46">
        <v>1216</v>
      </c>
      <c r="CI185" s="46">
        <v>1315</v>
      </c>
      <c r="CJ185" s="46">
        <v>1316</v>
      </c>
      <c r="CK185" s="46">
        <v>1516</v>
      </c>
      <c r="DK185" s="8"/>
      <c r="DL185" s="8"/>
      <c r="DM185" s="8"/>
      <c r="DN185" s="8"/>
      <c r="DO185" s="50"/>
      <c r="DP185" s="50"/>
      <c r="DQ185" s="50"/>
      <c r="DR185" s="50"/>
      <c r="DS185" s="50"/>
      <c r="DT185" s="50"/>
      <c r="DU185" s="50"/>
      <c r="DV185" s="50"/>
      <c r="DW185" s="50"/>
      <c r="DX185" s="50"/>
      <c r="DY185" s="50"/>
      <c r="DZ185" s="50"/>
      <c r="EA185" s="50"/>
      <c r="EB185" s="50"/>
      <c r="EC185" s="50"/>
      <c r="ED185" s="50"/>
      <c r="EE185" s="50"/>
      <c r="EF185" s="50"/>
      <c r="EG185" s="50"/>
      <c r="EH185" s="50"/>
      <c r="EI185" s="50"/>
      <c r="EJ185" s="50"/>
      <c r="EK185" s="50"/>
      <c r="EL185" s="50"/>
      <c r="EM185" s="50">
        <v>1</v>
      </c>
      <c r="EN185" s="50"/>
      <c r="EO185" s="50"/>
      <c r="EP185" s="50"/>
      <c r="EQ185" s="50"/>
      <c r="ER185" s="50"/>
      <c r="ET185" s="55">
        <f t="shared" si="8"/>
        <v>1</v>
      </c>
    </row>
    <row r="186" spans="1:150" s="5" customFormat="1" ht="16" customHeight="1" x14ac:dyDescent="0.2">
      <c r="A186" s="5">
        <v>68</v>
      </c>
      <c r="B186" s="8" t="s">
        <v>680</v>
      </c>
      <c r="C186" s="8" t="s">
        <v>106</v>
      </c>
      <c r="D186" s="5">
        <v>67</v>
      </c>
      <c r="E186" s="5" t="s">
        <v>107</v>
      </c>
      <c r="F186" s="21" t="s">
        <v>452</v>
      </c>
      <c r="G186" s="21">
        <v>185</v>
      </c>
      <c r="H186" s="5">
        <f t="shared" si="6"/>
        <v>68067</v>
      </c>
      <c r="I186" t="s">
        <v>1207</v>
      </c>
      <c r="J186">
        <v>252</v>
      </c>
      <c r="K186">
        <v>108</v>
      </c>
      <c r="L186">
        <v>133</v>
      </c>
      <c r="M186" s="6">
        <v>255</v>
      </c>
      <c r="N186" s="6" t="str">
        <f t="shared" si="7"/>
        <v>185: (252, 108, 133, 255, Vegetation reduction (amount) (insect herbivory): 68067),</v>
      </c>
      <c r="O186" s="5" t="str">
        <f>VLOOKUP(Australia!B186,Impacts!$A$2:$B$80,2, FALSE)</f>
        <v>Reduction in the diversity, abundance and/or coverage of plants within an area.</v>
      </c>
      <c r="P186" s="5" t="str">
        <f>VLOOKUP(E186,Pressures!$A$2:$B$145,2,FALSE)</f>
        <v>Increased presence of plant-consuming insects in an area.</v>
      </c>
      <c r="V186" s="35">
        <v>111111</v>
      </c>
      <c r="W186" s="35">
        <v>112112</v>
      </c>
      <c r="X186" s="35">
        <v>123123</v>
      </c>
      <c r="Y186" s="35">
        <v>124124</v>
      </c>
      <c r="AU186" s="31">
        <v>11</v>
      </c>
      <c r="AV186" s="31">
        <v>22</v>
      </c>
      <c r="AW186" s="5">
        <v>1</v>
      </c>
      <c r="AX186" s="5">
        <v>0</v>
      </c>
      <c r="AZ186" s="5">
        <v>1</v>
      </c>
      <c r="BA186" s="5">
        <v>2</v>
      </c>
      <c r="BB186" s="5">
        <v>3</v>
      </c>
      <c r="BO186" s="7" t="s">
        <v>713</v>
      </c>
      <c r="CB186" s="45">
        <v>1012</v>
      </c>
      <c r="CC186" s="45">
        <v>1013</v>
      </c>
      <c r="CD186" s="45">
        <v>1015</v>
      </c>
      <c r="CE186" s="45">
        <v>1016</v>
      </c>
      <c r="CF186" s="45">
        <v>1213</v>
      </c>
      <c r="CG186" s="45">
        <v>1215</v>
      </c>
      <c r="CH186" s="46">
        <v>1216</v>
      </c>
      <c r="CI186" s="46">
        <v>1315</v>
      </c>
      <c r="CJ186" s="46">
        <v>1316</v>
      </c>
      <c r="CK186" s="46">
        <v>1516</v>
      </c>
      <c r="DK186" s="8"/>
      <c r="DL186" s="8"/>
      <c r="DM186" s="8"/>
      <c r="DN186" s="8"/>
      <c r="DO186" s="50"/>
      <c r="DP186" s="50"/>
      <c r="DQ186" s="50"/>
      <c r="DR186" s="50"/>
      <c r="DS186" s="50"/>
      <c r="DT186" s="50"/>
      <c r="DU186" s="50"/>
      <c r="DV186" s="50"/>
      <c r="DW186" s="50"/>
      <c r="DX186" s="50"/>
      <c r="DY186" s="50"/>
      <c r="DZ186" s="50"/>
      <c r="EA186" s="50"/>
      <c r="EB186" s="50"/>
      <c r="EC186" s="50"/>
      <c r="ED186" s="50"/>
      <c r="EE186" s="50"/>
      <c r="EF186" s="50"/>
      <c r="EG186" s="50"/>
      <c r="EH186" s="50"/>
      <c r="EI186" s="50">
        <v>1</v>
      </c>
      <c r="EJ186" s="50"/>
      <c r="EK186" s="50"/>
      <c r="EL186" s="50"/>
      <c r="EM186" s="50"/>
      <c r="EN186" s="50"/>
      <c r="EO186" s="50"/>
      <c r="EP186" s="50"/>
      <c r="EQ186" s="50"/>
      <c r="ER186" s="50"/>
      <c r="ET186" s="55">
        <f t="shared" si="8"/>
        <v>1</v>
      </c>
    </row>
    <row r="187" spans="1:150" s="5" customFormat="1" ht="16" customHeight="1" x14ac:dyDescent="0.2">
      <c r="A187" s="5">
        <v>68</v>
      </c>
      <c r="B187" s="8" t="s">
        <v>680</v>
      </c>
      <c r="C187" s="8" t="s">
        <v>453</v>
      </c>
      <c r="D187" s="5">
        <v>81</v>
      </c>
      <c r="E187" s="5" t="s">
        <v>454</v>
      </c>
      <c r="F187" s="21" t="s">
        <v>455</v>
      </c>
      <c r="G187" s="21">
        <v>186</v>
      </c>
      <c r="H187" s="5">
        <f t="shared" si="6"/>
        <v>68081</v>
      </c>
      <c r="I187" t="s">
        <v>1208</v>
      </c>
      <c r="J187">
        <v>255</v>
      </c>
      <c r="K187">
        <v>163</v>
      </c>
      <c r="L187">
        <v>67</v>
      </c>
      <c r="M187" s="6">
        <v>255</v>
      </c>
      <c r="N187" s="6" t="str">
        <f t="shared" si="7"/>
        <v>186: (255, 163, 67, 255, Vegetation reduction (amount) (mowing): 68081),</v>
      </c>
      <c r="O187" s="5" t="str">
        <f>VLOOKUP(Australia!B187,Impacts!$A$2:$B$80,2, FALSE)</f>
        <v>Reduction in the diversity, abundance and/or coverage of plants within an area.</v>
      </c>
      <c r="P187" s="5" t="str">
        <f>VLOOKUP(E187,Pressures!$A$2:$B$145,2,FALSE)</f>
        <v>Cutting down ( grass, crops, etc) with a hand implement or machine</v>
      </c>
      <c r="V187" s="35">
        <v>111111</v>
      </c>
      <c r="W187" s="35">
        <v>112112</v>
      </c>
      <c r="AU187" s="31">
        <v>22</v>
      </c>
      <c r="AW187" s="5">
        <v>1</v>
      </c>
      <c r="AX187" s="5">
        <v>0</v>
      </c>
      <c r="AZ187" s="5">
        <v>1</v>
      </c>
      <c r="BA187" s="5">
        <v>2</v>
      </c>
      <c r="BB187" s="5">
        <v>3</v>
      </c>
      <c r="CB187" s="45">
        <v>1012</v>
      </c>
      <c r="CC187" s="45">
        <v>1013</v>
      </c>
      <c r="CD187" s="45">
        <v>1015</v>
      </c>
      <c r="CE187" s="45">
        <v>1016</v>
      </c>
      <c r="CF187" s="45">
        <v>1213</v>
      </c>
      <c r="CG187" s="45">
        <v>1215</v>
      </c>
      <c r="CH187" s="46">
        <v>1216</v>
      </c>
      <c r="CI187" s="46">
        <v>1315</v>
      </c>
      <c r="CJ187" s="46">
        <v>1316</v>
      </c>
      <c r="CK187" s="46">
        <v>1516</v>
      </c>
      <c r="DK187" s="8"/>
      <c r="DL187" s="8"/>
      <c r="DM187" s="8"/>
      <c r="DN187" s="8"/>
      <c r="DO187" s="50"/>
      <c r="DP187" s="50"/>
      <c r="DQ187" s="50"/>
      <c r="DR187" s="50"/>
      <c r="DS187" s="50"/>
      <c r="DT187" s="50"/>
      <c r="DU187" s="50"/>
      <c r="DV187" s="50"/>
      <c r="DW187" s="50"/>
      <c r="DX187" s="50"/>
      <c r="DY187" s="50"/>
      <c r="DZ187" s="50"/>
      <c r="EA187" s="50"/>
      <c r="EB187" s="50"/>
      <c r="EC187" s="50"/>
      <c r="ED187" s="50"/>
      <c r="EE187" s="50"/>
      <c r="EF187" s="50"/>
      <c r="EG187" s="50"/>
      <c r="EH187" s="50"/>
      <c r="EI187" s="50"/>
      <c r="EJ187" s="50"/>
      <c r="EK187" s="50"/>
      <c r="EL187" s="50"/>
      <c r="EM187" s="50">
        <v>1</v>
      </c>
      <c r="EN187" s="50"/>
      <c r="EO187" s="50"/>
      <c r="EP187" s="50"/>
      <c r="EQ187" s="50"/>
      <c r="ER187" s="50"/>
      <c r="ET187" s="55">
        <f t="shared" si="8"/>
        <v>1</v>
      </c>
    </row>
    <row r="188" spans="1:150" s="5" customFormat="1" ht="16" customHeight="1" x14ac:dyDescent="0.2">
      <c r="A188" s="5">
        <v>68</v>
      </c>
      <c r="B188" s="8" t="s">
        <v>680</v>
      </c>
      <c r="C188" s="8" t="s">
        <v>330</v>
      </c>
      <c r="D188" s="5">
        <v>83</v>
      </c>
      <c r="E188" s="5" t="s">
        <v>331</v>
      </c>
      <c r="F188" s="21" t="s">
        <v>451</v>
      </c>
      <c r="G188" s="21">
        <v>187</v>
      </c>
      <c r="H188" s="5">
        <f t="shared" si="6"/>
        <v>68083</v>
      </c>
      <c r="I188" t="s">
        <v>1209</v>
      </c>
      <c r="J188">
        <v>255</v>
      </c>
      <c r="K188">
        <v>160</v>
      </c>
      <c r="L188">
        <v>0</v>
      </c>
      <c r="M188" s="6">
        <v>255</v>
      </c>
      <c r="N188" s="6" t="str">
        <f t="shared" si="7"/>
        <v>187: (255, 160, 0, 255, Vegetation reduction (amount) (non-insect herbivory (natural)): 68083),</v>
      </c>
      <c r="O188" s="5" t="str">
        <f>VLOOKUP(Australia!B188,Impacts!$A$2:$B$80,2, FALSE)</f>
        <v>Reduction in the diversity, abundance and/or coverage of plants within an area.</v>
      </c>
      <c r="P188" s="5" t="str">
        <f>VLOOKUP(E188,Pressures!$A$2:$B$145,2,FALSE)</f>
        <v>The feeding on living plant parts by animals excluding insects.</v>
      </c>
      <c r="V188" s="35">
        <v>111111</v>
      </c>
      <c r="W188" s="35">
        <v>112112</v>
      </c>
      <c r="X188" s="35">
        <v>123123</v>
      </c>
      <c r="Y188" s="36">
        <v>124124</v>
      </c>
      <c r="AU188" s="31">
        <v>11</v>
      </c>
      <c r="AV188" s="31">
        <v>22</v>
      </c>
      <c r="AW188" s="31">
        <v>1</v>
      </c>
      <c r="AX188" s="31">
        <v>0</v>
      </c>
      <c r="AY188" s="31"/>
      <c r="AZ188" s="31">
        <v>1</v>
      </c>
      <c r="BA188" s="31">
        <v>2</v>
      </c>
      <c r="BB188" s="31">
        <v>3</v>
      </c>
      <c r="BC188" s="31"/>
      <c r="BD188" s="31"/>
      <c r="BE188" s="38">
        <v>112112</v>
      </c>
      <c r="BF188" s="31"/>
      <c r="BG188" s="31"/>
      <c r="BH188" s="31"/>
      <c r="BI188" s="31"/>
      <c r="BJ188" s="31"/>
      <c r="BK188" s="31"/>
      <c r="BL188" s="31"/>
      <c r="BM188" s="31"/>
      <c r="BN188" s="31"/>
      <c r="BO188" s="31"/>
      <c r="BP188" s="31"/>
      <c r="BQ188" s="31"/>
      <c r="BR188" s="31"/>
      <c r="BS188" s="31"/>
      <c r="BT188" s="31"/>
      <c r="BU188" s="31"/>
      <c r="BV188" s="31"/>
      <c r="BW188" s="31"/>
      <c r="BX188" s="31" t="s">
        <v>717</v>
      </c>
      <c r="BY188" s="31"/>
      <c r="BZ188" s="31">
        <v>12</v>
      </c>
      <c r="CB188" s="45">
        <v>1012</v>
      </c>
      <c r="CC188" s="45">
        <v>1013</v>
      </c>
      <c r="CD188" s="45">
        <v>1015</v>
      </c>
      <c r="CE188" s="45">
        <v>1016</v>
      </c>
      <c r="CF188" s="45">
        <v>1213</v>
      </c>
      <c r="CG188" s="45">
        <v>1215</v>
      </c>
      <c r="CH188" s="46">
        <v>1216</v>
      </c>
      <c r="CI188" s="46">
        <v>1315</v>
      </c>
      <c r="CJ188" s="46">
        <v>1316</v>
      </c>
      <c r="CK188" s="46">
        <v>1516</v>
      </c>
      <c r="DK188" s="8"/>
      <c r="DL188" s="8"/>
      <c r="DM188" s="8"/>
      <c r="DN188" s="8"/>
      <c r="DO188" s="50"/>
      <c r="DP188" s="50"/>
      <c r="DQ188" s="50"/>
      <c r="DR188" s="50"/>
      <c r="DS188" s="50"/>
      <c r="DT188" s="50"/>
      <c r="DU188" s="50"/>
      <c r="DV188" s="50"/>
      <c r="DW188" s="50"/>
      <c r="DX188" s="50"/>
      <c r="DY188" s="50"/>
      <c r="DZ188" s="50"/>
      <c r="EA188" s="50"/>
      <c r="EB188" s="50"/>
      <c r="EC188" s="50"/>
      <c r="ED188" s="50"/>
      <c r="EE188" s="50"/>
      <c r="EF188" s="50"/>
      <c r="EG188" s="50"/>
      <c r="EH188" s="50"/>
      <c r="EI188" s="50">
        <v>1</v>
      </c>
      <c r="EJ188" s="50"/>
      <c r="EK188" s="50"/>
      <c r="EL188" s="50"/>
      <c r="EM188" s="50"/>
      <c r="EN188" s="50"/>
      <c r="EO188" s="50"/>
      <c r="EP188" s="50"/>
      <c r="EQ188" s="50"/>
      <c r="ER188" s="50"/>
      <c r="ET188" s="55">
        <f t="shared" si="8"/>
        <v>1</v>
      </c>
    </row>
    <row r="189" spans="1:150" s="5" customFormat="1" ht="16" customHeight="1" x14ac:dyDescent="0.2">
      <c r="A189" s="5">
        <v>68</v>
      </c>
      <c r="B189" s="8" t="s">
        <v>680</v>
      </c>
      <c r="C189" s="8" t="s">
        <v>58</v>
      </c>
      <c r="D189" s="5">
        <v>86</v>
      </c>
      <c r="E189" s="5" t="s">
        <v>59</v>
      </c>
      <c r="F189" s="21" t="s">
        <v>457</v>
      </c>
      <c r="G189" s="21">
        <v>188</v>
      </c>
      <c r="H189" s="5">
        <f t="shared" si="6"/>
        <v>68086</v>
      </c>
      <c r="I189" t="s">
        <v>1210</v>
      </c>
      <c r="J189">
        <v>227</v>
      </c>
      <c r="K189">
        <v>37</v>
      </c>
      <c r="L189">
        <v>107</v>
      </c>
      <c r="M189" s="6">
        <v>255</v>
      </c>
      <c r="N189" s="6" t="str">
        <f t="shared" si="7"/>
        <v>188: (227, 37, 107, 255, Vegetation reduction (amount) (overgrazing (natural)): 68086),</v>
      </c>
      <c r="O189" s="5" t="str">
        <f>VLOOKUP(Australia!B189,Impacts!$A$2:$B$80,2, FALSE)</f>
        <v>Reduction in the diversity, abundance and/or coverage of plants within an area.</v>
      </c>
      <c r="P189" s="5" t="str">
        <f>VLOOKUP(E189,Pressures!$A$2:$B$145,2,FALSE)</f>
        <v>Excessive grazing by natural animal populations without sufficient rest, resulting in declines in the biomass or health of vegetation.</v>
      </c>
      <c r="W189" s="35">
        <v>112112</v>
      </c>
      <c r="Y189" s="32">
        <v>124124</v>
      </c>
      <c r="AU189" s="31">
        <v>11</v>
      </c>
      <c r="AV189" s="31">
        <v>22</v>
      </c>
      <c r="AW189" s="31">
        <v>1</v>
      </c>
      <c r="AX189" s="31">
        <v>0</v>
      </c>
      <c r="AY189" s="31"/>
      <c r="AZ189" s="31">
        <v>1</v>
      </c>
      <c r="BA189" s="31">
        <v>2</v>
      </c>
      <c r="BB189" s="31">
        <v>3</v>
      </c>
      <c r="BC189" s="31"/>
      <c r="BD189" s="38">
        <v>111111</v>
      </c>
      <c r="BE189" s="31"/>
      <c r="BF189" s="31"/>
      <c r="BG189" s="31"/>
      <c r="BH189" s="31"/>
      <c r="BI189" s="31"/>
      <c r="BJ189" s="31"/>
      <c r="BK189" s="31"/>
      <c r="BL189" s="31"/>
      <c r="BM189" s="31"/>
      <c r="BN189" s="31"/>
      <c r="BO189" s="31"/>
      <c r="BP189" s="31"/>
      <c r="BQ189" s="31"/>
      <c r="BR189" s="31"/>
      <c r="BS189" s="31"/>
      <c r="BT189" s="31"/>
      <c r="BU189" s="31"/>
      <c r="BV189" s="31"/>
      <c r="BW189" s="31"/>
      <c r="BX189" s="31"/>
      <c r="BY189" s="31"/>
      <c r="BZ189" s="31">
        <v>12</v>
      </c>
      <c r="CB189" s="45">
        <v>1012</v>
      </c>
      <c r="CC189" s="45">
        <v>1013</v>
      </c>
      <c r="CD189" s="45">
        <v>1015</v>
      </c>
      <c r="CE189" s="45">
        <v>1016</v>
      </c>
      <c r="CF189" s="45">
        <v>1213</v>
      </c>
      <c r="CG189" s="45">
        <v>1215</v>
      </c>
      <c r="CH189" s="46">
        <v>1216</v>
      </c>
      <c r="CI189" s="46">
        <v>1315</v>
      </c>
      <c r="CJ189" s="46">
        <v>1316</v>
      </c>
      <c r="CK189" s="46">
        <v>1516</v>
      </c>
      <c r="DK189" s="8"/>
      <c r="DL189" s="8"/>
      <c r="DM189" s="8"/>
      <c r="DN189" s="8"/>
      <c r="DO189" s="50"/>
      <c r="DP189" s="50"/>
      <c r="DQ189" s="50"/>
      <c r="DR189" s="50"/>
      <c r="DS189" s="50"/>
      <c r="DT189" s="50"/>
      <c r="DU189" s="50"/>
      <c r="DV189" s="50"/>
      <c r="DW189" s="50"/>
      <c r="DX189" s="50"/>
      <c r="DY189" s="50"/>
      <c r="DZ189" s="50"/>
      <c r="EA189" s="50"/>
      <c r="EB189" s="50"/>
      <c r="EC189" s="50"/>
      <c r="ED189" s="50"/>
      <c r="EE189" s="50"/>
      <c r="EF189" s="50"/>
      <c r="EG189" s="50"/>
      <c r="EH189" s="50"/>
      <c r="EI189" s="50">
        <v>1</v>
      </c>
      <c r="EJ189" s="50"/>
      <c r="EK189" s="50"/>
      <c r="EL189" s="50"/>
      <c r="EM189" s="50"/>
      <c r="EN189" s="50"/>
      <c r="EO189" s="50"/>
      <c r="EP189" s="50"/>
      <c r="EQ189" s="50"/>
      <c r="ER189" s="50"/>
      <c r="ET189" s="55">
        <f t="shared" si="8"/>
        <v>1</v>
      </c>
    </row>
    <row r="190" spans="1:150" s="5" customFormat="1" ht="16" customHeight="1" x14ac:dyDescent="0.2">
      <c r="A190" s="5">
        <v>68</v>
      </c>
      <c r="B190" s="8" t="s">
        <v>680</v>
      </c>
      <c r="C190" s="8" t="s">
        <v>55</v>
      </c>
      <c r="D190" s="5">
        <v>87</v>
      </c>
      <c r="E190" s="5" t="s">
        <v>56</v>
      </c>
      <c r="F190" s="21" t="s">
        <v>456</v>
      </c>
      <c r="G190" s="21">
        <v>189</v>
      </c>
      <c r="H190" s="5">
        <f t="shared" si="6"/>
        <v>68087</v>
      </c>
      <c r="I190" t="s">
        <v>1211</v>
      </c>
      <c r="J190">
        <v>217</v>
      </c>
      <c r="K190">
        <v>0</v>
      </c>
      <c r="L190">
        <v>0</v>
      </c>
      <c r="M190" s="6">
        <v>255</v>
      </c>
      <c r="N190" s="6" t="str">
        <f t="shared" si="7"/>
        <v>189: (217, 0, 0, 255, Vegetation reduction (amount) (overgrazing (stock)): 68087),</v>
      </c>
      <c r="O190" s="5" t="str">
        <f>VLOOKUP(Australia!B190,Impacts!$A$2:$B$80,2, FALSE)</f>
        <v>Reduction in the diversity, abundance and/or coverage of plants within an area.</v>
      </c>
      <c r="P190" s="5" t="str">
        <f>VLOOKUP(E190,Pressures!$A$2:$B$145,2,FALSE)</f>
        <v>Excessive grazing by domesticated stock without sufficient rest, resulting in declines in the biomass or health of vegetation.</v>
      </c>
      <c r="V190" s="35">
        <v>111111</v>
      </c>
      <c r="AU190" s="31">
        <v>22</v>
      </c>
      <c r="AV190" s="5" t="s">
        <v>713</v>
      </c>
      <c r="AW190" s="5">
        <v>1</v>
      </c>
      <c r="AX190" s="5">
        <v>0</v>
      </c>
      <c r="AZ190" s="5">
        <v>1</v>
      </c>
      <c r="BA190" s="5">
        <v>2</v>
      </c>
      <c r="BB190" s="5">
        <v>3</v>
      </c>
      <c r="CB190" s="45">
        <v>1012</v>
      </c>
      <c r="CC190" s="45">
        <v>1013</v>
      </c>
      <c r="CD190" s="45">
        <v>1015</v>
      </c>
      <c r="CE190" s="45">
        <v>1016</v>
      </c>
      <c r="CF190" s="45">
        <v>1213</v>
      </c>
      <c r="CG190" s="45">
        <v>1215</v>
      </c>
      <c r="CH190" s="46">
        <v>1216</v>
      </c>
      <c r="CI190" s="46">
        <v>1315</v>
      </c>
      <c r="CJ190" s="46">
        <v>1316</v>
      </c>
      <c r="CK190" s="46">
        <v>1516</v>
      </c>
      <c r="DK190" s="8"/>
      <c r="DL190" s="8"/>
      <c r="DM190" s="8"/>
      <c r="DN190" s="8"/>
      <c r="DO190" s="50"/>
      <c r="DP190" s="50"/>
      <c r="DQ190" s="50"/>
      <c r="DR190" s="50"/>
      <c r="DS190" s="50"/>
      <c r="DT190" s="50"/>
      <c r="DU190" s="50"/>
      <c r="DV190" s="50"/>
      <c r="DW190" s="50"/>
      <c r="DX190" s="50"/>
      <c r="DY190" s="50"/>
      <c r="DZ190" s="50"/>
      <c r="EA190" s="50"/>
      <c r="EB190" s="50"/>
      <c r="EC190" s="50"/>
      <c r="ED190" s="50"/>
      <c r="EE190" s="50"/>
      <c r="EF190" s="50"/>
      <c r="EG190" s="50"/>
      <c r="EH190" s="50"/>
      <c r="EI190" s="50"/>
      <c r="EJ190" s="50">
        <v>1</v>
      </c>
      <c r="EK190" s="50"/>
      <c r="EL190" s="50"/>
      <c r="EM190" s="50"/>
      <c r="EN190" s="50"/>
      <c r="EO190" s="50"/>
      <c r="EP190" s="50"/>
      <c r="EQ190" s="50"/>
      <c r="ER190" s="50"/>
      <c r="ET190" s="55">
        <f t="shared" si="8"/>
        <v>1</v>
      </c>
    </row>
    <row r="191" spans="1:150" s="5" customFormat="1" ht="16" customHeight="1" x14ac:dyDescent="0.2">
      <c r="A191" s="5">
        <v>68</v>
      </c>
      <c r="B191" s="8" t="s">
        <v>680</v>
      </c>
      <c r="C191" s="8" t="s">
        <v>494</v>
      </c>
      <c r="D191" s="5">
        <v>93</v>
      </c>
      <c r="E191" s="5" t="s">
        <v>495</v>
      </c>
      <c r="F191" s="22" t="s">
        <v>1033</v>
      </c>
      <c r="G191" s="21">
        <v>190</v>
      </c>
      <c r="H191" s="5">
        <f t="shared" si="6"/>
        <v>68093</v>
      </c>
      <c r="I191" t="s">
        <v>1212</v>
      </c>
      <c r="J191">
        <v>255</v>
      </c>
      <c r="K191">
        <v>160</v>
      </c>
      <c r="L191">
        <v>122</v>
      </c>
      <c r="M191" s="6">
        <v>255</v>
      </c>
      <c r="N191" s="6" t="str">
        <f t="shared" si="7"/>
        <v>190: (255, 160, 122, 255, Vegetation reduction (amount) (pesticide application): 68093),</v>
      </c>
      <c r="O191" s="5" t="str">
        <f>VLOOKUP(Australia!B191,Impacts!$A$2:$B$80,2, FALSE)</f>
        <v>Reduction in the diversity, abundance and/or coverage of plants within an area.</v>
      </c>
      <c r="P191" s="5" t="str">
        <f>VLOOKUP(E191,Pressures!$A$2:$B$145,2,FALSE)</f>
        <v>Use of a substance that is intended to kill, repel or otherwise control any organism that is designated a “pest”.</v>
      </c>
      <c r="W191" s="35">
        <v>112112</v>
      </c>
      <c r="X191" s="5" t="s">
        <v>713</v>
      </c>
      <c r="Y191" s="32">
        <v>124124</v>
      </c>
      <c r="AU191" s="31">
        <v>11</v>
      </c>
      <c r="AV191" s="31">
        <v>22</v>
      </c>
      <c r="BD191" s="7"/>
      <c r="BE191" s="7"/>
      <c r="BG191" s="7"/>
      <c r="CB191" s="45">
        <v>1012</v>
      </c>
      <c r="CC191" s="45">
        <v>1013</v>
      </c>
      <c r="CD191" s="45">
        <v>1015</v>
      </c>
      <c r="CE191" s="45">
        <v>1016</v>
      </c>
      <c r="CF191" s="45">
        <v>1213</v>
      </c>
      <c r="CG191" s="45">
        <v>1215</v>
      </c>
      <c r="CH191" s="46">
        <v>1216</v>
      </c>
      <c r="CI191" s="46">
        <v>1315</v>
      </c>
      <c r="CJ191" s="46">
        <v>1316</v>
      </c>
      <c r="CK191" s="46">
        <v>1516</v>
      </c>
      <c r="DK191" s="8"/>
      <c r="DL191" s="8"/>
      <c r="DM191" s="8"/>
      <c r="DN191" s="8"/>
      <c r="DO191" s="50"/>
      <c r="DP191" s="50"/>
      <c r="DQ191" s="50"/>
      <c r="DR191" s="50"/>
      <c r="DS191" s="50"/>
      <c r="DT191" s="50"/>
      <c r="DU191" s="50"/>
      <c r="DV191" s="50"/>
      <c r="DW191" s="50"/>
      <c r="DX191" s="50"/>
      <c r="DY191" s="50"/>
      <c r="DZ191" s="50"/>
      <c r="EA191" s="50"/>
      <c r="EB191" s="50"/>
      <c r="EC191" s="50"/>
      <c r="ED191" s="50"/>
      <c r="EE191" s="50"/>
      <c r="EF191" s="50"/>
      <c r="EG191" s="50"/>
      <c r="EH191" s="50"/>
      <c r="EI191" s="50"/>
      <c r="EJ191" s="50"/>
      <c r="EK191" s="50"/>
      <c r="EL191" s="50"/>
      <c r="EM191" s="50"/>
      <c r="EN191" s="50">
        <v>1</v>
      </c>
      <c r="EO191" s="50"/>
      <c r="EP191" s="50"/>
      <c r="EQ191" s="50"/>
      <c r="ER191" s="50"/>
      <c r="ET191" s="55">
        <f t="shared" si="8"/>
        <v>1</v>
      </c>
    </row>
    <row r="192" spans="1:150" s="5" customFormat="1" ht="16" customHeight="1" x14ac:dyDescent="0.2">
      <c r="A192" s="5">
        <v>68</v>
      </c>
      <c r="B192" s="8" t="s">
        <v>680</v>
      </c>
      <c r="C192" s="8" t="s">
        <v>309</v>
      </c>
      <c r="D192" s="5">
        <v>93</v>
      </c>
      <c r="E192" s="5" t="s">
        <v>310</v>
      </c>
      <c r="F192" s="21" t="s">
        <v>458</v>
      </c>
      <c r="G192" s="21">
        <v>191</v>
      </c>
      <c r="H192" s="5">
        <f t="shared" si="6"/>
        <v>68093</v>
      </c>
      <c r="I192" t="s">
        <v>1213</v>
      </c>
      <c r="J192">
        <v>255</v>
      </c>
      <c r="K192">
        <v>99</v>
      </c>
      <c r="L192">
        <v>71</v>
      </c>
      <c r="M192" s="6">
        <v>255</v>
      </c>
      <c r="N192" s="6" t="str">
        <f t="shared" si="7"/>
        <v>191: (255, 99, 71, 255, Vegetation reduction (amount) (prescribed burn): 68093),</v>
      </c>
      <c r="O192" s="5" t="str">
        <f>VLOOKUP(Australia!B192,Impacts!$A$2:$B$80,2, FALSE)</f>
        <v>Reduction in the diversity, abundance and/or coverage of plants within an area.</v>
      </c>
      <c r="P192" s="5" t="str">
        <f>VLOOKUP(E192,Pressures!$A$2:$B$145,2,FALSE)</f>
        <v>The process of planning and applying fire to a predetermined area, under specific environmental conditions, to achieve a desired outcome.</v>
      </c>
      <c r="W192" s="35">
        <v>112112</v>
      </c>
      <c r="X192" s="5" t="s">
        <v>713</v>
      </c>
      <c r="Y192" s="32">
        <v>124124</v>
      </c>
      <c r="AU192" s="31">
        <v>11</v>
      </c>
      <c r="AV192" s="31">
        <v>22</v>
      </c>
      <c r="AW192" s="5">
        <v>-1</v>
      </c>
      <c r="AX192" s="5">
        <v>0</v>
      </c>
      <c r="AZ192" s="5">
        <v>1</v>
      </c>
      <c r="BA192" s="5">
        <v>2</v>
      </c>
      <c r="BB192" s="5">
        <v>3</v>
      </c>
      <c r="BE192" s="7">
        <v>112112</v>
      </c>
      <c r="BV192" s="5">
        <v>22</v>
      </c>
      <c r="BX192" s="5" t="s">
        <v>716</v>
      </c>
      <c r="BY192" s="5" t="s">
        <v>714</v>
      </c>
      <c r="BZ192" s="31">
        <v>12</v>
      </c>
      <c r="CB192" s="45">
        <v>1012</v>
      </c>
      <c r="CC192" s="45">
        <v>1013</v>
      </c>
      <c r="CD192" s="45">
        <v>1015</v>
      </c>
      <c r="CE192" s="45">
        <v>1016</v>
      </c>
      <c r="CF192" s="45">
        <v>1213</v>
      </c>
      <c r="CG192" s="45">
        <v>1215</v>
      </c>
      <c r="CH192" s="46">
        <v>1216</v>
      </c>
      <c r="CI192" s="46">
        <v>1315</v>
      </c>
      <c r="CJ192" s="46">
        <v>1316</v>
      </c>
      <c r="CK192" s="46">
        <v>1516</v>
      </c>
      <c r="DK192" s="8"/>
      <c r="DL192" s="8"/>
      <c r="DM192" s="8"/>
      <c r="DN192" s="8"/>
      <c r="DO192" s="50">
        <v>1</v>
      </c>
      <c r="DP192" s="50">
        <v>1</v>
      </c>
      <c r="DQ192" s="50">
        <v>1</v>
      </c>
      <c r="DR192" s="50"/>
      <c r="DS192" s="50"/>
      <c r="DT192" s="50"/>
      <c r="DU192" s="50"/>
      <c r="DV192" s="50"/>
      <c r="DW192" s="50"/>
      <c r="DX192" s="50"/>
      <c r="DY192" s="50"/>
      <c r="DZ192" s="50"/>
      <c r="EA192" s="50"/>
      <c r="EB192" s="50"/>
      <c r="EC192" s="50"/>
      <c r="ED192" s="50"/>
      <c r="EE192" s="50"/>
      <c r="EF192" s="50"/>
      <c r="EG192" s="50"/>
      <c r="EH192" s="50"/>
      <c r="EI192" s="50"/>
      <c r="EJ192" s="50"/>
      <c r="EK192" s="50"/>
      <c r="EL192" s="50"/>
      <c r="EM192" s="50"/>
      <c r="EN192" s="50"/>
      <c r="EO192" s="50"/>
      <c r="EP192" s="50"/>
      <c r="EQ192" s="50"/>
      <c r="ER192" s="50"/>
      <c r="ET192" s="55">
        <f t="shared" si="8"/>
        <v>3</v>
      </c>
    </row>
    <row r="193" spans="1:150" s="5" customFormat="1" ht="16" customHeight="1" x14ac:dyDescent="0.2">
      <c r="A193" s="5">
        <v>68</v>
      </c>
      <c r="B193" s="8" t="s">
        <v>680</v>
      </c>
      <c r="C193" s="8" t="s">
        <v>72</v>
      </c>
      <c r="D193" s="5">
        <v>112</v>
      </c>
      <c r="E193" s="5" t="s">
        <v>73</v>
      </c>
      <c r="F193" s="21" t="s">
        <v>459</v>
      </c>
      <c r="G193" s="21">
        <v>192</v>
      </c>
      <c r="H193" s="5">
        <f t="shared" si="6"/>
        <v>68112</v>
      </c>
      <c r="I193" t="s">
        <v>1214</v>
      </c>
      <c r="J193">
        <v>226</v>
      </c>
      <c r="K193">
        <v>114</v>
      </c>
      <c r="L193">
        <v>91</v>
      </c>
      <c r="M193" s="6">
        <v>255</v>
      </c>
      <c r="N193" s="6" t="str">
        <f t="shared" si="7"/>
        <v>192: (226, 114, 91, 255, Vegetation reduction (amount) (sedimentation): 68112),</v>
      </c>
      <c r="O193" s="5" t="str">
        <f>VLOOKUP(Australia!B193,Impacts!$A$2:$B$80,2, FALSE)</f>
        <v>Reduction in the diversity, abundance and/or coverage of plants within an area.</v>
      </c>
      <c r="P193" s="5" t="str">
        <f>VLOOKUP(E193,Pressures!$A$2:$B$145,2,FALSE)</f>
        <v>Deposition of sediment from flowing water (in channels or floodplains) or standing water (in wetlands, lakes, or oceans).</v>
      </c>
      <c r="V193" s="32">
        <v>111111</v>
      </c>
      <c r="W193" s="32">
        <v>112112</v>
      </c>
      <c r="X193" s="32">
        <v>123123</v>
      </c>
      <c r="Y193" s="32">
        <v>124124</v>
      </c>
      <c r="AU193" s="31">
        <v>11</v>
      </c>
      <c r="AV193" s="31">
        <v>22</v>
      </c>
      <c r="AW193" s="5">
        <v>1</v>
      </c>
      <c r="AX193" s="5">
        <v>0</v>
      </c>
      <c r="AZ193" s="5">
        <v>1</v>
      </c>
      <c r="BA193" s="5">
        <v>2</v>
      </c>
      <c r="BB193" s="5">
        <v>3</v>
      </c>
      <c r="BE193" s="7">
        <v>112112</v>
      </c>
      <c r="BV193" s="5">
        <v>22</v>
      </c>
      <c r="BX193" s="5" t="s">
        <v>716</v>
      </c>
      <c r="CB193" s="45">
        <v>1012</v>
      </c>
      <c r="CC193" s="45">
        <v>1013</v>
      </c>
      <c r="CD193" s="45">
        <v>1015</v>
      </c>
      <c r="CE193" s="45">
        <v>1016</v>
      </c>
      <c r="CF193" s="45">
        <v>1213</v>
      </c>
      <c r="CG193" s="45">
        <v>1215</v>
      </c>
      <c r="CH193" s="46">
        <v>1216</v>
      </c>
      <c r="CI193" s="46">
        <v>1315</v>
      </c>
      <c r="CJ193" s="46">
        <v>1316</v>
      </c>
      <c r="CK193" s="46">
        <v>1516</v>
      </c>
      <c r="DK193" s="8"/>
      <c r="DL193" s="8"/>
      <c r="DM193" s="8"/>
      <c r="DN193" s="8"/>
      <c r="DO193" s="50"/>
      <c r="DP193" s="50"/>
      <c r="DQ193" s="50"/>
      <c r="DR193" s="50"/>
      <c r="DS193" s="50"/>
      <c r="DT193" s="50"/>
      <c r="DU193" s="50"/>
      <c r="DV193" s="50">
        <v>1</v>
      </c>
      <c r="DW193" s="50"/>
      <c r="DX193" s="50"/>
      <c r="DY193" s="50"/>
      <c r="DZ193" s="50"/>
      <c r="EA193" s="50"/>
      <c r="EB193" s="50"/>
      <c r="EC193" s="50"/>
      <c r="ED193" s="50"/>
      <c r="EE193" s="50"/>
      <c r="EF193" s="50"/>
      <c r="EG193" s="50"/>
      <c r="EH193" s="50"/>
      <c r="EI193" s="50"/>
      <c r="EJ193" s="50"/>
      <c r="EK193" s="50"/>
      <c r="EL193" s="50"/>
      <c r="EM193" s="50"/>
      <c r="EN193" s="50"/>
      <c r="EO193" s="50"/>
      <c r="EP193" s="50"/>
      <c r="EQ193" s="50"/>
      <c r="ER193" s="50"/>
      <c r="ET193" s="55">
        <f t="shared" si="8"/>
        <v>1</v>
      </c>
    </row>
    <row r="194" spans="1:150" s="5" customFormat="1" ht="16" customHeight="1" x14ac:dyDescent="0.2">
      <c r="A194" s="5">
        <v>68</v>
      </c>
      <c r="B194" s="8" t="s">
        <v>680</v>
      </c>
      <c r="C194" s="8" t="s">
        <v>460</v>
      </c>
      <c r="D194" s="5">
        <v>113</v>
      </c>
      <c r="E194" s="5" t="s">
        <v>461</v>
      </c>
      <c r="F194" s="21" t="s">
        <v>462</v>
      </c>
      <c r="G194" s="21">
        <v>193</v>
      </c>
      <c r="H194" s="5">
        <f t="shared" si="6"/>
        <v>68113</v>
      </c>
      <c r="I194" t="s">
        <v>1215</v>
      </c>
      <c r="J194">
        <v>255</v>
      </c>
      <c r="K194">
        <v>105</v>
      </c>
      <c r="L194">
        <v>180</v>
      </c>
      <c r="M194" s="6">
        <v>255</v>
      </c>
      <c r="N194" s="6" t="str">
        <f t="shared" si="7"/>
        <v>193: (255, 105, 180, 255, Vegetation reduction (amount) (selective logging): 68113),</v>
      </c>
      <c r="O194" s="5" t="str">
        <f>VLOOKUP(Australia!B194,Impacts!$A$2:$B$80,2, FALSE)</f>
        <v>Reduction in the diversity, abundance and/or coverage of plants within an area.</v>
      </c>
      <c r="P194" s="5" t="str">
        <f>VLOOKUP(E194,Pressures!$A$2:$B$145,2,FALSE)</f>
        <v>A type of (exploitation) cutting that removes only certain types of trees (a) above a certain size, (b) of high value, or (c) of specific size for specific purposes.</v>
      </c>
      <c r="W194" s="32">
        <v>112112</v>
      </c>
      <c r="AU194" s="31">
        <v>11</v>
      </c>
      <c r="AW194" s="5">
        <v>1</v>
      </c>
      <c r="AX194" s="5">
        <v>0</v>
      </c>
      <c r="AZ194" s="5">
        <v>1</v>
      </c>
      <c r="BA194" s="5">
        <v>2</v>
      </c>
      <c r="BB194" s="5">
        <v>3</v>
      </c>
      <c r="BE194" s="7">
        <v>112112</v>
      </c>
      <c r="BG194" s="7">
        <v>124124</v>
      </c>
      <c r="BV194" s="5">
        <v>22</v>
      </c>
      <c r="BX194" s="5" t="s">
        <v>716</v>
      </c>
      <c r="CB194" s="45">
        <v>1012</v>
      </c>
      <c r="CC194" s="45">
        <v>1013</v>
      </c>
      <c r="CD194" s="45">
        <v>1015</v>
      </c>
      <c r="CE194" s="45">
        <v>1016</v>
      </c>
      <c r="CF194" s="45">
        <v>1213</v>
      </c>
      <c r="CG194" s="45">
        <v>1215</v>
      </c>
      <c r="CH194" s="46">
        <v>1216</v>
      </c>
      <c r="CI194" s="46">
        <v>1315</v>
      </c>
      <c r="CJ194" s="46">
        <v>1316</v>
      </c>
      <c r="CK194" s="46">
        <v>1516</v>
      </c>
      <c r="DK194" s="8"/>
      <c r="DL194" s="8"/>
      <c r="DM194" s="8"/>
      <c r="DN194" s="8"/>
      <c r="DO194" s="50"/>
      <c r="DP194" s="50"/>
      <c r="DQ194" s="50"/>
      <c r="DR194" s="50"/>
      <c r="DS194" s="50"/>
      <c r="DT194" s="50"/>
      <c r="DU194" s="50"/>
      <c r="DV194" s="50"/>
      <c r="DW194" s="50"/>
      <c r="DX194" s="50"/>
      <c r="DY194" s="50"/>
      <c r="DZ194" s="50"/>
      <c r="EA194" s="50"/>
      <c r="EB194" s="50"/>
      <c r="EC194" s="50"/>
      <c r="ED194" s="50"/>
      <c r="EE194" s="50"/>
      <c r="EF194" s="50"/>
      <c r="EG194" s="50"/>
      <c r="EH194" s="50">
        <v>1</v>
      </c>
      <c r="EI194" s="50"/>
      <c r="EJ194" s="50"/>
      <c r="EK194" s="50"/>
      <c r="EL194" s="50"/>
      <c r="EM194" s="50"/>
      <c r="EN194" s="50"/>
      <c r="EO194" s="50"/>
      <c r="EP194" s="50"/>
      <c r="EQ194" s="50"/>
      <c r="ER194" s="50"/>
      <c r="ET194" s="55">
        <f t="shared" si="8"/>
        <v>1</v>
      </c>
    </row>
    <row r="195" spans="1:150" s="5" customFormat="1" ht="16" customHeight="1" x14ac:dyDescent="0.2">
      <c r="A195" s="5">
        <v>68</v>
      </c>
      <c r="B195" s="8" t="s">
        <v>680</v>
      </c>
      <c r="C195" s="8" t="s">
        <v>463</v>
      </c>
      <c r="D195" s="5">
        <v>121</v>
      </c>
      <c r="E195" s="5" t="s">
        <v>464</v>
      </c>
      <c r="F195" s="21" t="s">
        <v>465</v>
      </c>
      <c r="G195" s="21">
        <v>194</v>
      </c>
      <c r="H195" s="5">
        <f t="shared" ref="H195:H244" si="9">(A195*1000)+D195</f>
        <v>68121</v>
      </c>
      <c r="I195" t="s">
        <v>1216</v>
      </c>
      <c r="J195">
        <v>182</v>
      </c>
      <c r="K195">
        <v>49</v>
      </c>
      <c r="L195">
        <v>108</v>
      </c>
      <c r="M195" s="6">
        <v>255</v>
      </c>
      <c r="N195" s="6" t="str">
        <f t="shared" ref="N195:N247" si="10">G195&amp;": ("&amp;J195&amp;", "&amp;K195&amp;", "&amp;L195&amp;", "&amp;M195&amp;", "&amp;F195&amp;": "&amp;H195&amp;"),"</f>
        <v>194: (182, 49, 108, 255, Vegetation reduction (amount) (stubble burn): 68121),</v>
      </c>
      <c r="O195" s="5" t="str">
        <f>VLOOKUP(Australia!B195,Impacts!$A$2:$B$80,2, FALSE)</f>
        <v>Reduction in the diversity, abundance and/or coverage of plants within an area.</v>
      </c>
      <c r="P195" s="5" t="str">
        <f>VLOOKUP(E195,Pressures!$A$2:$B$145,2,FALSE)</f>
        <v>An area with straw stubble that remains after grains (e.g., paddy, wheat) have been harvested and which has been intentionally set on fire.</v>
      </c>
      <c r="V195" s="32">
        <v>111111</v>
      </c>
      <c r="AU195" s="31">
        <v>22</v>
      </c>
      <c r="AW195" s="5">
        <v>1</v>
      </c>
      <c r="AX195" s="5">
        <v>0</v>
      </c>
      <c r="AZ195" s="5">
        <v>1</v>
      </c>
      <c r="BA195" s="5">
        <v>2</v>
      </c>
      <c r="BB195" s="5">
        <v>3</v>
      </c>
      <c r="BE195" s="7">
        <v>112112</v>
      </c>
      <c r="BG195" s="7">
        <v>124124</v>
      </c>
      <c r="BV195" s="5">
        <v>22</v>
      </c>
      <c r="BX195" s="5" t="s">
        <v>716</v>
      </c>
      <c r="CB195" s="45">
        <v>1012</v>
      </c>
      <c r="CC195" s="45">
        <v>1013</v>
      </c>
      <c r="CD195" s="45">
        <v>1015</v>
      </c>
      <c r="CE195" s="45">
        <v>1016</v>
      </c>
      <c r="CF195" s="45">
        <v>1213</v>
      </c>
      <c r="CG195" s="45">
        <v>1215</v>
      </c>
      <c r="CH195" s="46">
        <v>1216</v>
      </c>
      <c r="CI195" s="46">
        <v>1315</v>
      </c>
      <c r="CJ195" s="46">
        <v>1316</v>
      </c>
      <c r="CK195" s="46">
        <v>1516</v>
      </c>
      <c r="DK195" s="8"/>
      <c r="DL195" s="8"/>
      <c r="DM195" s="8"/>
      <c r="DN195" s="8"/>
      <c r="DO195" s="50">
        <v>1</v>
      </c>
      <c r="DP195" s="50"/>
      <c r="DQ195" s="50">
        <v>1</v>
      </c>
      <c r="DR195" s="50"/>
      <c r="DS195" s="50"/>
      <c r="DT195" s="50"/>
      <c r="DU195" s="50"/>
      <c r="DV195" s="50"/>
      <c r="DW195" s="50"/>
      <c r="DX195" s="50"/>
      <c r="DY195" s="50"/>
      <c r="DZ195" s="50"/>
      <c r="EA195" s="50"/>
      <c r="EB195" s="50"/>
      <c r="EC195" s="50"/>
      <c r="ED195" s="50"/>
      <c r="EE195" s="50"/>
      <c r="EF195" s="50"/>
      <c r="EG195" s="50"/>
      <c r="EH195" s="50"/>
      <c r="EI195" s="50"/>
      <c r="EJ195" s="50"/>
      <c r="EK195" s="50"/>
      <c r="EL195" s="50"/>
      <c r="EM195" s="50">
        <v>1</v>
      </c>
      <c r="EN195" s="50"/>
      <c r="EO195" s="50"/>
      <c r="EP195" s="50"/>
      <c r="EQ195" s="50"/>
      <c r="ER195" s="50"/>
      <c r="ET195" s="55">
        <f t="shared" ref="ET195:ET247" si="11">SUM(DO195:ES195)</f>
        <v>3</v>
      </c>
    </row>
    <row r="196" spans="1:150" s="5" customFormat="1" ht="16" customHeight="1" x14ac:dyDescent="0.2">
      <c r="A196" s="5">
        <v>68</v>
      </c>
      <c r="B196" s="8" t="s">
        <v>680</v>
      </c>
      <c r="C196" s="8" t="s">
        <v>349</v>
      </c>
      <c r="D196" s="5">
        <v>125</v>
      </c>
      <c r="E196" s="5" t="s">
        <v>350</v>
      </c>
      <c r="F196" s="21" t="s">
        <v>466</v>
      </c>
      <c r="G196" s="21">
        <v>195</v>
      </c>
      <c r="H196" s="5">
        <f t="shared" si="9"/>
        <v>68125</v>
      </c>
      <c r="I196" t="s">
        <v>1217</v>
      </c>
      <c r="J196">
        <v>178</v>
      </c>
      <c r="K196">
        <v>34</v>
      </c>
      <c r="L196">
        <v>34</v>
      </c>
      <c r="M196" s="6">
        <v>255</v>
      </c>
      <c r="N196" s="6" t="str">
        <f t="shared" si="10"/>
        <v>195: (178, 34, 34, 255, Vegetation reduction (amount) (thinning): 68125),</v>
      </c>
      <c r="O196" s="5" t="str">
        <f>VLOOKUP(Australia!B196,Impacts!$A$2:$B$80,2, FALSE)</f>
        <v>Reduction in the diversity, abundance and/or coverage of plants within an area.</v>
      </c>
      <c r="P196" s="5" t="str">
        <f>VLOOKUP(E196,Pressures!$A$2:$B$145,2,FALSE)</f>
        <v xml:space="preserve">Removal or death of plants or parts of plants to decrease plant density in a stand and facilitate growth of remaining plants. </v>
      </c>
      <c r="V196" s="32">
        <v>111111</v>
      </c>
      <c r="AU196" s="31">
        <v>11</v>
      </c>
      <c r="AW196" s="5">
        <v>1</v>
      </c>
      <c r="AX196" s="5">
        <v>0</v>
      </c>
      <c r="AZ196" s="5">
        <v>1</v>
      </c>
      <c r="BA196" s="5">
        <v>2</v>
      </c>
      <c r="BB196" s="5">
        <v>3</v>
      </c>
      <c r="BE196" s="7">
        <v>112112</v>
      </c>
      <c r="BG196" s="7">
        <v>124124</v>
      </c>
      <c r="BV196" s="5">
        <v>22</v>
      </c>
      <c r="BX196" s="5" t="s">
        <v>716</v>
      </c>
      <c r="CB196" s="45">
        <v>1012</v>
      </c>
      <c r="CC196" s="45">
        <v>1013</v>
      </c>
      <c r="CD196" s="45">
        <v>1015</v>
      </c>
      <c r="CE196" s="45">
        <v>1016</v>
      </c>
      <c r="CF196" s="45">
        <v>1213</v>
      </c>
      <c r="CG196" s="45">
        <v>1215</v>
      </c>
      <c r="CH196" s="46">
        <v>1216</v>
      </c>
      <c r="CI196" s="46">
        <v>1315</v>
      </c>
      <c r="CJ196" s="46">
        <v>1316</v>
      </c>
      <c r="CK196" s="46">
        <v>1516</v>
      </c>
      <c r="DK196" s="8"/>
      <c r="DL196" s="8"/>
      <c r="DM196" s="8"/>
      <c r="DN196" s="8"/>
      <c r="DO196" s="50"/>
      <c r="DP196" s="50"/>
      <c r="DQ196" s="50"/>
      <c r="DR196" s="50"/>
      <c r="DS196" s="50"/>
      <c r="DT196" s="50"/>
      <c r="DU196" s="50"/>
      <c r="DV196" s="50"/>
      <c r="DW196" s="50"/>
      <c r="DX196" s="50"/>
      <c r="DY196" s="50"/>
      <c r="DZ196" s="50"/>
      <c r="EA196" s="50"/>
      <c r="EB196" s="50"/>
      <c r="EC196" s="50"/>
      <c r="ED196" s="50"/>
      <c r="EE196" s="50"/>
      <c r="EF196" s="50"/>
      <c r="EG196" s="50"/>
      <c r="EH196" s="50">
        <v>1</v>
      </c>
      <c r="EI196" s="50"/>
      <c r="EJ196" s="50"/>
      <c r="EK196" s="50"/>
      <c r="EL196" s="50"/>
      <c r="EM196" s="50">
        <v>1</v>
      </c>
      <c r="EN196" s="50"/>
      <c r="EO196" s="50"/>
      <c r="EP196" s="50"/>
      <c r="EQ196" s="50"/>
      <c r="ER196" s="50"/>
      <c r="ET196" s="55">
        <f t="shared" si="11"/>
        <v>2</v>
      </c>
    </row>
    <row r="197" spans="1:150" s="5" customFormat="1" ht="16" customHeight="1" x14ac:dyDescent="0.2">
      <c r="A197" s="5">
        <v>69</v>
      </c>
      <c r="B197" s="8" t="s">
        <v>681</v>
      </c>
      <c r="C197" s="8" t="s">
        <v>99</v>
      </c>
      <c r="D197" s="5">
        <v>48</v>
      </c>
      <c r="E197" s="5" t="s">
        <v>100</v>
      </c>
      <c r="F197" s="21" t="s">
        <v>468</v>
      </c>
      <c r="G197" s="21">
        <v>196</v>
      </c>
      <c r="H197" s="5">
        <f t="shared" si="9"/>
        <v>69048</v>
      </c>
      <c r="I197" t="s">
        <v>1218</v>
      </c>
      <c r="J197">
        <v>255</v>
      </c>
      <c r="K197">
        <v>105</v>
      </c>
      <c r="L197">
        <v>180</v>
      </c>
      <c r="M197" s="6">
        <v>255</v>
      </c>
      <c r="N197" s="6" t="str">
        <f t="shared" si="10"/>
        <v>196: (255, 105, 180, 255, Vegetation reduction in understorey (amount) (grazing (natural)): 69048),</v>
      </c>
      <c r="O197" s="5" t="str">
        <f>VLOOKUP(Australia!B197,Impacts!$A$2:$B$80,2, FALSE)</f>
        <v>Reduction in the diversity, abundance and/or coverage of subcanopy plants within an area.</v>
      </c>
      <c r="P197" s="5" t="str">
        <f>VLOOKUP(E197,Pressures!$A$2:$B$145,2,FALSE)</f>
        <v>Repetitive consumption of herbaceous or woody vegetation by herbivores/omnivores.</v>
      </c>
      <c r="W197" s="32">
        <v>112112</v>
      </c>
      <c r="AU197" s="31">
        <v>11</v>
      </c>
      <c r="AV197" s="31">
        <v>22</v>
      </c>
      <c r="AW197" s="5">
        <v>1</v>
      </c>
      <c r="AX197" s="5">
        <v>0</v>
      </c>
      <c r="AZ197" s="5">
        <v>1</v>
      </c>
      <c r="BA197" s="5">
        <v>2</v>
      </c>
      <c r="BB197" s="5">
        <v>3</v>
      </c>
      <c r="BE197" s="7">
        <v>112112</v>
      </c>
      <c r="BG197" s="7">
        <v>124124</v>
      </c>
      <c r="BV197" s="5">
        <v>22</v>
      </c>
      <c r="BX197" s="5" t="s">
        <v>716</v>
      </c>
      <c r="BZ197" s="31">
        <v>12</v>
      </c>
      <c r="CA197" s="28" t="s">
        <v>713</v>
      </c>
      <c r="CB197" s="45">
        <v>1012</v>
      </c>
      <c r="CC197" s="45">
        <v>1013</v>
      </c>
      <c r="CD197" s="45">
        <v>1015</v>
      </c>
      <c r="CE197" s="45">
        <v>1016</v>
      </c>
      <c r="CF197" s="45">
        <v>1213</v>
      </c>
      <c r="CG197" s="45">
        <v>1215</v>
      </c>
      <c r="CH197" s="46">
        <v>1216</v>
      </c>
      <c r="CI197" s="46">
        <v>1315</v>
      </c>
      <c r="CJ197" s="46">
        <v>1316</v>
      </c>
      <c r="CK197" s="46">
        <v>1516</v>
      </c>
      <c r="DK197" s="8"/>
      <c r="DL197" s="8"/>
      <c r="DM197" s="8"/>
      <c r="DN197" s="8"/>
      <c r="DO197" s="50"/>
      <c r="DP197" s="50"/>
      <c r="DQ197" s="50"/>
      <c r="DR197" s="50"/>
      <c r="DS197" s="50"/>
      <c r="DT197" s="50"/>
      <c r="DU197" s="50"/>
      <c r="DV197" s="50"/>
      <c r="DW197" s="50"/>
      <c r="DX197" s="50"/>
      <c r="DY197" s="50"/>
      <c r="DZ197" s="50"/>
      <c r="EA197" s="50"/>
      <c r="EB197" s="50"/>
      <c r="EC197" s="50"/>
      <c r="ED197" s="50"/>
      <c r="EE197" s="50"/>
      <c r="EF197" s="50"/>
      <c r="EG197" s="50"/>
      <c r="EH197" s="50"/>
      <c r="EI197" s="50">
        <v>1</v>
      </c>
      <c r="EJ197" s="50"/>
      <c r="EK197" s="50"/>
      <c r="EL197" s="50"/>
      <c r="EM197" s="50"/>
      <c r="EN197" s="50"/>
      <c r="EO197" s="50"/>
      <c r="EP197" s="50"/>
      <c r="EQ197" s="50"/>
      <c r="ER197" s="50"/>
      <c r="ET197" s="55">
        <f t="shared" si="11"/>
        <v>1</v>
      </c>
    </row>
    <row r="198" spans="1:150" s="5" customFormat="1" ht="16" customHeight="1" x14ac:dyDescent="0.2">
      <c r="A198" s="5">
        <v>69</v>
      </c>
      <c r="B198" s="8" t="s">
        <v>681</v>
      </c>
      <c r="C198" s="8" t="s">
        <v>102</v>
      </c>
      <c r="D198" s="5">
        <v>49</v>
      </c>
      <c r="E198" s="5" t="s">
        <v>103</v>
      </c>
      <c r="F198" s="21" t="s">
        <v>469</v>
      </c>
      <c r="G198" s="21">
        <v>197</v>
      </c>
      <c r="H198" s="5">
        <f t="shared" si="9"/>
        <v>69049</v>
      </c>
      <c r="I198" t="s">
        <v>1219</v>
      </c>
      <c r="J198">
        <v>227</v>
      </c>
      <c r="K198">
        <v>11</v>
      </c>
      <c r="L198">
        <v>92</v>
      </c>
      <c r="M198" s="6">
        <v>255</v>
      </c>
      <c r="N198" s="6" t="str">
        <f t="shared" si="10"/>
        <v>197: (227, 11, 92, 255, Vegetation reduction in understorey (amount) (grazing (stock)): 69049),</v>
      </c>
      <c r="O198" s="5" t="str">
        <f>VLOOKUP(Australia!B198,Impacts!$A$2:$B$80,2, FALSE)</f>
        <v>Reduction in the diversity, abundance and/or coverage of subcanopy plants within an area.</v>
      </c>
      <c r="P198" s="5" t="str">
        <f>VLOOKUP(E198,Pressures!$A$2:$B$145,2,FALSE)</f>
        <v>Repetitive consumption of herbaceous or woody vegetation by domesticated herbivores/omnivores.</v>
      </c>
      <c r="W198" s="32">
        <v>112112</v>
      </c>
      <c r="AU198" s="31">
        <v>11</v>
      </c>
      <c r="AV198" s="31">
        <v>22</v>
      </c>
      <c r="AW198" s="5">
        <v>1</v>
      </c>
      <c r="AX198" s="5">
        <v>0</v>
      </c>
      <c r="AZ198" s="5">
        <v>1</v>
      </c>
      <c r="BA198" s="5">
        <v>2</v>
      </c>
      <c r="BB198" s="5">
        <v>3</v>
      </c>
      <c r="BE198" s="7">
        <v>112112</v>
      </c>
      <c r="BG198" s="7">
        <v>124124</v>
      </c>
      <c r="BV198" s="5">
        <v>22</v>
      </c>
      <c r="BX198" s="5" t="s">
        <v>716</v>
      </c>
      <c r="BZ198" s="31">
        <v>12</v>
      </c>
      <c r="CA198" s="28" t="s">
        <v>713</v>
      </c>
      <c r="CB198" s="45">
        <v>1012</v>
      </c>
      <c r="CC198" s="45">
        <v>1013</v>
      </c>
      <c r="CD198" s="45">
        <v>1015</v>
      </c>
      <c r="CE198" s="45">
        <v>1016</v>
      </c>
      <c r="CF198" s="45">
        <v>1213</v>
      </c>
      <c r="CG198" s="45">
        <v>1215</v>
      </c>
      <c r="CH198" s="46">
        <v>1216</v>
      </c>
      <c r="CI198" s="46">
        <v>1315</v>
      </c>
      <c r="CJ198" s="46">
        <v>1316</v>
      </c>
      <c r="CK198" s="46">
        <v>1516</v>
      </c>
      <c r="DK198" s="8"/>
      <c r="DL198" s="8"/>
      <c r="DM198" s="8"/>
      <c r="DN198" s="8"/>
      <c r="DO198" s="50"/>
      <c r="DP198" s="50"/>
      <c r="DQ198" s="50"/>
      <c r="DR198" s="50"/>
      <c r="DS198" s="50"/>
      <c r="DT198" s="50"/>
      <c r="DU198" s="50"/>
      <c r="DV198" s="50"/>
      <c r="DW198" s="50"/>
      <c r="DX198" s="50"/>
      <c r="DY198" s="50"/>
      <c r="DZ198" s="50"/>
      <c r="EA198" s="50"/>
      <c r="EB198" s="50"/>
      <c r="EC198" s="50"/>
      <c r="ED198" s="50"/>
      <c r="EE198" s="50"/>
      <c r="EF198" s="50"/>
      <c r="EG198" s="50"/>
      <c r="EH198" s="50"/>
      <c r="EI198" s="50"/>
      <c r="EJ198" s="50">
        <v>1</v>
      </c>
      <c r="EK198" s="50"/>
      <c r="EL198" s="50"/>
      <c r="EM198" s="50"/>
      <c r="EN198" s="50"/>
      <c r="EO198" s="50"/>
      <c r="EP198" s="50"/>
      <c r="EQ198" s="50"/>
      <c r="ER198" s="50"/>
      <c r="ET198" s="55">
        <f t="shared" si="11"/>
        <v>1</v>
      </c>
    </row>
    <row r="199" spans="1:150" s="5" customFormat="1" ht="16" customHeight="1" x14ac:dyDescent="0.2">
      <c r="A199" s="5">
        <v>69</v>
      </c>
      <c r="B199" s="8" t="s">
        <v>681</v>
      </c>
      <c r="C199" s="8" t="s">
        <v>330</v>
      </c>
      <c r="D199" s="5">
        <v>83</v>
      </c>
      <c r="E199" s="5" t="s">
        <v>331</v>
      </c>
      <c r="F199" s="21" t="s">
        <v>467</v>
      </c>
      <c r="G199" s="21">
        <v>198</v>
      </c>
      <c r="H199" s="5">
        <f t="shared" si="9"/>
        <v>69083</v>
      </c>
      <c r="I199" t="s">
        <v>1220</v>
      </c>
      <c r="J199">
        <v>200</v>
      </c>
      <c r="K199">
        <v>162</v>
      </c>
      <c r="L199">
        <v>200</v>
      </c>
      <c r="M199" s="6">
        <v>255</v>
      </c>
      <c r="N199" s="6" t="str">
        <f t="shared" si="10"/>
        <v>198: (200, 162, 200, 255, Vegetation reduction in understorey (amount) (non-insect herbivory (natural)): 69083),</v>
      </c>
      <c r="O199" s="5" t="str">
        <f>VLOOKUP(Australia!B199,Impacts!$A$2:$B$80,2, FALSE)</f>
        <v>Reduction in the diversity, abundance and/or coverage of subcanopy plants within an area.</v>
      </c>
      <c r="P199" s="5" t="str">
        <f>VLOOKUP(E199,Pressures!$A$2:$B$145,2,FALSE)</f>
        <v>The feeding on living plant parts by animals excluding insects.</v>
      </c>
      <c r="W199" s="32">
        <v>112112</v>
      </c>
      <c r="AU199" s="31">
        <v>11</v>
      </c>
      <c r="AV199" s="31">
        <v>22</v>
      </c>
      <c r="AW199" s="5">
        <v>1</v>
      </c>
      <c r="AX199" s="5">
        <v>0</v>
      </c>
      <c r="AZ199" s="5">
        <v>1</v>
      </c>
      <c r="BA199" s="5">
        <v>2</v>
      </c>
      <c r="BB199" s="5">
        <v>3</v>
      </c>
      <c r="BZ199" s="28"/>
      <c r="CA199" s="28"/>
      <c r="CB199" s="45">
        <v>1012</v>
      </c>
      <c r="CC199" s="45">
        <v>1013</v>
      </c>
      <c r="CD199" s="45">
        <v>1015</v>
      </c>
      <c r="CE199" s="45">
        <v>1016</v>
      </c>
      <c r="CF199" s="45">
        <v>1213</v>
      </c>
      <c r="CG199" s="45">
        <v>1215</v>
      </c>
      <c r="CH199" s="46">
        <v>1216</v>
      </c>
      <c r="CI199" s="46">
        <v>1315</v>
      </c>
      <c r="CJ199" s="46">
        <v>1316</v>
      </c>
      <c r="CK199" s="46">
        <v>1516</v>
      </c>
      <c r="DK199" s="8"/>
      <c r="DL199" s="8"/>
      <c r="DM199" s="8"/>
      <c r="DN199" s="8"/>
      <c r="DO199" s="50"/>
      <c r="DP199" s="50"/>
      <c r="DQ199" s="50"/>
      <c r="DR199" s="50"/>
      <c r="DS199" s="50"/>
      <c r="DT199" s="50"/>
      <c r="DU199" s="50"/>
      <c r="DV199" s="50"/>
      <c r="DW199" s="50"/>
      <c r="DX199" s="50"/>
      <c r="DY199" s="50"/>
      <c r="DZ199" s="50"/>
      <c r="EA199" s="50"/>
      <c r="EB199" s="50"/>
      <c r="EC199" s="50"/>
      <c r="ED199" s="50"/>
      <c r="EE199" s="50"/>
      <c r="EF199" s="50"/>
      <c r="EG199" s="50"/>
      <c r="EH199" s="50"/>
      <c r="EI199" s="50">
        <v>1</v>
      </c>
      <c r="EJ199" s="50"/>
      <c r="EK199" s="50"/>
      <c r="EL199" s="50"/>
      <c r="EM199" s="50"/>
      <c r="EN199" s="50"/>
      <c r="EO199" s="50"/>
      <c r="EP199" s="50"/>
      <c r="EQ199" s="50"/>
      <c r="ER199" s="50"/>
      <c r="ET199" s="55">
        <f t="shared" si="11"/>
        <v>1</v>
      </c>
    </row>
    <row r="200" spans="1:150" s="5" customFormat="1" ht="16" customHeight="1" x14ac:dyDescent="0.2">
      <c r="A200" s="5">
        <v>70</v>
      </c>
      <c r="B200" s="8" t="s">
        <v>470</v>
      </c>
      <c r="C200" s="8" t="s">
        <v>471</v>
      </c>
      <c r="D200" s="5">
        <v>5</v>
      </c>
      <c r="E200" s="5" t="s">
        <v>472</v>
      </c>
      <c r="F200" s="21" t="s">
        <v>473</v>
      </c>
      <c r="G200" s="21">
        <v>199</v>
      </c>
      <c r="H200" s="5">
        <f t="shared" si="9"/>
        <v>70005</v>
      </c>
      <c r="I200" t="s">
        <v>1221</v>
      </c>
      <c r="J200">
        <v>245</v>
      </c>
      <c r="K200">
        <v>255</v>
      </c>
      <c r="L200">
        <v>250</v>
      </c>
      <c r="M200" s="6">
        <v>255</v>
      </c>
      <c r="N200" s="6" t="str">
        <f t="shared" si="10"/>
        <v>199: (245, 255, 250, 255, Vegetation species change (amenity development): 70005),</v>
      </c>
      <c r="O200" s="5" t="str">
        <f>VLOOKUP(Australia!B200,Impacts!$A$2:$B$80,2, FALSE)</f>
        <v>Changes in the floristic and or structural composition of vegetation in an area.</v>
      </c>
      <c r="P200" s="5" t="str">
        <f>VLOOKUP(E200,Pressures!$A$2:$B$145,2,FALSE)</f>
        <v xml:space="preserve">Introduction of a positive element or elements that contribute to the overall character or enjoyment of an area. </v>
      </c>
      <c r="V200" s="32">
        <v>111111</v>
      </c>
      <c r="AU200" s="31">
        <v>11</v>
      </c>
      <c r="AV200" s="31">
        <v>22</v>
      </c>
      <c r="AW200" s="5">
        <v>1</v>
      </c>
      <c r="AX200" s="5">
        <v>0</v>
      </c>
      <c r="AZ200" s="5">
        <v>1</v>
      </c>
      <c r="BA200" s="5">
        <v>2</v>
      </c>
      <c r="BB200" s="5">
        <v>3</v>
      </c>
      <c r="BZ200" s="31">
        <v>21</v>
      </c>
      <c r="CA200" s="31">
        <v>12</v>
      </c>
      <c r="CB200" s="45">
        <v>1012</v>
      </c>
      <c r="CC200" s="45">
        <v>1013</v>
      </c>
      <c r="CD200" s="45">
        <v>1015</v>
      </c>
      <c r="CE200" s="45">
        <v>1016</v>
      </c>
      <c r="CF200" s="45">
        <v>1213</v>
      </c>
      <c r="CG200" s="45">
        <v>1215</v>
      </c>
      <c r="CH200" s="46">
        <v>1216</v>
      </c>
      <c r="CI200" s="46">
        <v>1315</v>
      </c>
      <c r="CJ200" s="46">
        <v>1316</v>
      </c>
      <c r="CK200" s="46">
        <v>1516</v>
      </c>
      <c r="CL200" s="46">
        <v>1010</v>
      </c>
      <c r="CM200" s="46">
        <v>1212</v>
      </c>
      <c r="CN200" s="46">
        <v>1313</v>
      </c>
      <c r="CO200" s="46">
        <v>1515</v>
      </c>
      <c r="CP200" s="46">
        <v>1616</v>
      </c>
      <c r="CQ200" s="45">
        <v>1615</v>
      </c>
      <c r="CR200" s="45">
        <v>1613</v>
      </c>
      <c r="CS200" s="45">
        <v>1612</v>
      </c>
      <c r="CT200" s="45">
        <v>1610</v>
      </c>
      <c r="CU200" s="45">
        <v>1513</v>
      </c>
      <c r="CV200" s="45">
        <v>1512</v>
      </c>
      <c r="CW200" s="45">
        <v>1510</v>
      </c>
      <c r="CX200" s="45">
        <v>1312</v>
      </c>
      <c r="CY200" s="45">
        <v>1310</v>
      </c>
      <c r="DK200" s="8"/>
      <c r="DL200" s="8"/>
      <c r="DM200" s="8"/>
      <c r="DN200" s="8"/>
      <c r="DO200" s="50"/>
      <c r="DP200" s="50"/>
      <c r="DQ200" s="50"/>
      <c r="DR200" s="50"/>
      <c r="DS200" s="50"/>
      <c r="DT200" s="50"/>
      <c r="DU200" s="50"/>
      <c r="DV200" s="50"/>
      <c r="DW200" s="50"/>
      <c r="DX200" s="50"/>
      <c r="DY200" s="50"/>
      <c r="DZ200" s="50"/>
      <c r="EA200" s="50"/>
      <c r="EB200" s="50"/>
      <c r="EC200" s="50"/>
      <c r="ED200" s="50"/>
      <c r="EE200" s="50"/>
      <c r="EF200" s="50"/>
      <c r="EG200" s="50"/>
      <c r="EH200" s="50"/>
      <c r="EI200" s="50"/>
      <c r="EJ200" s="50"/>
      <c r="EK200" s="50"/>
      <c r="EL200" s="50">
        <v>1</v>
      </c>
      <c r="EM200" s="50"/>
      <c r="EN200" s="50"/>
      <c r="EO200" s="50"/>
      <c r="EP200" s="50"/>
      <c r="EQ200" s="50"/>
      <c r="ER200" s="50"/>
      <c r="ET200" s="55">
        <f t="shared" si="11"/>
        <v>1</v>
      </c>
    </row>
    <row r="201" spans="1:150" s="5" customFormat="1" ht="16" customHeight="1" x14ac:dyDescent="0.2">
      <c r="A201" s="5">
        <v>70</v>
      </c>
      <c r="B201" s="8" t="s">
        <v>470</v>
      </c>
      <c r="C201" s="8" t="s">
        <v>474</v>
      </c>
      <c r="D201" s="5">
        <v>10</v>
      </c>
      <c r="E201" s="5" t="s">
        <v>475</v>
      </c>
      <c r="F201" s="21" t="s">
        <v>476</v>
      </c>
      <c r="G201" s="21">
        <v>200</v>
      </c>
      <c r="H201" s="5">
        <f t="shared" si="9"/>
        <v>70010</v>
      </c>
      <c r="I201" t="s">
        <v>1222</v>
      </c>
      <c r="J201">
        <v>85</v>
      </c>
      <c r="K201">
        <v>93</v>
      </c>
      <c r="L201">
        <v>80</v>
      </c>
      <c r="M201" s="6">
        <v>255</v>
      </c>
      <c r="N201" s="6" t="str">
        <f t="shared" si="10"/>
        <v>200: (85, 93, 80, 255, Vegetation species change (atmospheric deposition): 70010),</v>
      </c>
      <c r="O201" s="5" t="str">
        <f>VLOOKUP(Australia!B201,Impacts!$A$2:$B$80,2, FALSE)</f>
        <v>Changes in the floristic and or structural composition of vegetation in an area.</v>
      </c>
      <c r="P201" s="5" t="str">
        <f>VLOOKUP(E201,Pressures!$A$2:$B$145,2,FALSE)</f>
        <v>The process whereby precipitation (rain, snow, fog), particles, aerosols, and gases move from the atmosphere to the Earth's surface.</v>
      </c>
      <c r="W201" s="32">
        <v>112112</v>
      </c>
      <c r="Y201" s="32">
        <v>124124</v>
      </c>
      <c r="AU201" s="31">
        <v>11</v>
      </c>
      <c r="AV201" s="31">
        <v>22</v>
      </c>
      <c r="AW201" s="5">
        <v>1</v>
      </c>
      <c r="AX201" s="5">
        <v>0</v>
      </c>
      <c r="AZ201" s="5">
        <v>1</v>
      </c>
      <c r="BA201" s="5">
        <v>2</v>
      </c>
      <c r="BB201" s="5">
        <v>3</v>
      </c>
      <c r="BE201" s="7">
        <v>112112</v>
      </c>
      <c r="BG201" s="7">
        <v>124124</v>
      </c>
      <c r="BV201" s="5">
        <v>22</v>
      </c>
      <c r="BX201" s="5" t="s">
        <v>716</v>
      </c>
      <c r="BZ201" s="28"/>
      <c r="CA201" s="28"/>
      <c r="CB201" s="45">
        <v>1012</v>
      </c>
      <c r="CC201" s="45">
        <v>1013</v>
      </c>
      <c r="CD201" s="45">
        <v>1015</v>
      </c>
      <c r="CE201" s="45">
        <v>1016</v>
      </c>
      <c r="CF201" s="45">
        <v>1213</v>
      </c>
      <c r="CG201" s="45">
        <v>1215</v>
      </c>
      <c r="CH201" s="46">
        <v>1216</v>
      </c>
      <c r="CI201" s="46">
        <v>1315</v>
      </c>
      <c r="CJ201" s="46">
        <v>1316</v>
      </c>
      <c r="CK201" s="46">
        <v>1516</v>
      </c>
      <c r="CL201" s="46">
        <v>1010</v>
      </c>
      <c r="CM201" s="46">
        <v>1212</v>
      </c>
      <c r="CN201" s="46">
        <v>1313</v>
      </c>
      <c r="CO201" s="46">
        <v>1515</v>
      </c>
      <c r="CP201" s="46">
        <v>1616</v>
      </c>
      <c r="CQ201" s="45">
        <v>1615</v>
      </c>
      <c r="CR201" s="45">
        <v>1613</v>
      </c>
      <c r="CS201" s="45">
        <v>1612</v>
      </c>
      <c r="CT201" s="45">
        <v>1610</v>
      </c>
      <c r="CU201" s="45">
        <v>1513</v>
      </c>
      <c r="CV201" s="45">
        <v>1512</v>
      </c>
      <c r="CW201" s="45">
        <v>1510</v>
      </c>
      <c r="CX201" s="45">
        <v>1312</v>
      </c>
      <c r="CY201" s="45">
        <v>1310</v>
      </c>
      <c r="DK201" s="8"/>
      <c r="DL201" s="8"/>
      <c r="DM201" s="8"/>
      <c r="DN201" s="8"/>
      <c r="DO201" s="50"/>
      <c r="DP201" s="50"/>
      <c r="DQ201" s="50"/>
      <c r="DR201" s="50"/>
      <c r="DS201" s="50"/>
      <c r="DT201" s="50"/>
      <c r="DU201" s="50"/>
      <c r="DV201" s="50"/>
      <c r="DW201" s="50"/>
      <c r="DX201" s="50"/>
      <c r="DY201" s="50"/>
      <c r="DZ201" s="50"/>
      <c r="EA201" s="50"/>
      <c r="EB201" s="50">
        <v>1</v>
      </c>
      <c r="EC201" s="50"/>
      <c r="ED201" s="50"/>
      <c r="EE201" s="50"/>
      <c r="EF201" s="50"/>
      <c r="EG201" s="50"/>
      <c r="EH201" s="50"/>
      <c r="EI201" s="50"/>
      <c r="EJ201" s="50"/>
      <c r="EK201" s="50"/>
      <c r="EL201" s="50"/>
      <c r="EM201" s="50"/>
      <c r="EN201" s="50"/>
      <c r="EO201" s="50"/>
      <c r="EP201" s="50"/>
      <c r="EQ201" s="50"/>
      <c r="ER201" s="50"/>
      <c r="ET201" s="55">
        <f t="shared" si="11"/>
        <v>1</v>
      </c>
    </row>
    <row r="202" spans="1:150" s="5" customFormat="1" ht="16" customHeight="1" x14ac:dyDescent="0.2">
      <c r="A202" s="5">
        <v>70</v>
      </c>
      <c r="B202" s="8" t="s">
        <v>470</v>
      </c>
      <c r="C202" s="8" t="s">
        <v>23</v>
      </c>
      <c r="D202" s="5">
        <v>11</v>
      </c>
      <c r="E202" s="5" t="s">
        <v>24</v>
      </c>
      <c r="F202" s="21" t="s">
        <v>511</v>
      </c>
      <c r="G202" s="21">
        <v>201</v>
      </c>
      <c r="H202" s="5">
        <f t="shared" si="9"/>
        <v>70011</v>
      </c>
      <c r="I202" t="s">
        <v>1223</v>
      </c>
      <c r="J202">
        <v>232</v>
      </c>
      <c r="K202">
        <v>97</v>
      </c>
      <c r="L202">
        <v>0</v>
      </c>
      <c r="M202" s="6">
        <v>255</v>
      </c>
      <c r="N202" s="6" t="str">
        <f t="shared" si="10"/>
        <v>201: (232, 97, 0, 255, Vegetation species change (burning): 70011),</v>
      </c>
      <c r="O202" s="5" t="str">
        <f>VLOOKUP(Australia!B202,Impacts!$A$2:$B$80,2, FALSE)</f>
        <v>Changes in the floristic and or structural composition of vegetation in an area.</v>
      </c>
      <c r="P202" s="5" t="str">
        <f>VLOOKUP(E202,Pressures!$A$2:$B$145,2,FALSE)</f>
        <v>On fire.</v>
      </c>
      <c r="W202" s="32">
        <v>112112</v>
      </c>
      <c r="Y202" s="32">
        <v>124124</v>
      </c>
      <c r="AU202" s="31">
        <v>11</v>
      </c>
      <c r="AV202" s="31">
        <v>22</v>
      </c>
      <c r="AW202" s="5">
        <v>1</v>
      </c>
      <c r="AX202" s="5">
        <v>0</v>
      </c>
      <c r="AZ202" s="5">
        <v>1</v>
      </c>
      <c r="BA202" s="5">
        <v>2</v>
      </c>
      <c r="BB202" s="5">
        <v>3</v>
      </c>
      <c r="BE202" s="7">
        <v>112112</v>
      </c>
      <c r="BG202" s="7">
        <v>124124</v>
      </c>
      <c r="BV202" s="5">
        <v>22</v>
      </c>
      <c r="BX202" s="5" t="s">
        <v>716</v>
      </c>
      <c r="BZ202" s="31">
        <v>12</v>
      </c>
      <c r="CA202" s="28"/>
      <c r="CB202" s="45">
        <v>1012</v>
      </c>
      <c r="CC202" s="45">
        <v>1013</v>
      </c>
      <c r="CD202" s="45">
        <v>1015</v>
      </c>
      <c r="CE202" s="45">
        <v>1016</v>
      </c>
      <c r="CF202" s="45">
        <v>1213</v>
      </c>
      <c r="CG202" s="45">
        <v>1215</v>
      </c>
      <c r="CH202" s="46">
        <v>1216</v>
      </c>
      <c r="CI202" s="46">
        <v>1315</v>
      </c>
      <c r="CJ202" s="46">
        <v>1316</v>
      </c>
      <c r="CK202" s="46">
        <v>1516</v>
      </c>
      <c r="CL202" s="46">
        <v>1010</v>
      </c>
      <c r="CM202" s="46">
        <v>1212</v>
      </c>
      <c r="CN202" s="46">
        <v>1313</v>
      </c>
      <c r="CO202" s="46">
        <v>1515</v>
      </c>
      <c r="CP202" s="46">
        <v>1616</v>
      </c>
      <c r="CQ202" s="45">
        <v>1615</v>
      </c>
      <c r="CR202" s="45">
        <v>1613</v>
      </c>
      <c r="CS202" s="45">
        <v>1612</v>
      </c>
      <c r="CT202" s="45">
        <v>1610</v>
      </c>
      <c r="CU202" s="45">
        <v>1513</v>
      </c>
      <c r="CV202" s="45">
        <v>1512</v>
      </c>
      <c r="CW202" s="45">
        <v>1510</v>
      </c>
      <c r="CX202" s="45">
        <v>1312</v>
      </c>
      <c r="CY202" s="45">
        <v>1310</v>
      </c>
      <c r="DK202" s="8"/>
      <c r="DL202" s="8"/>
      <c r="DM202" s="8"/>
      <c r="DN202" s="8"/>
      <c r="DO202" s="50">
        <v>1</v>
      </c>
      <c r="DP202" s="50">
        <v>1</v>
      </c>
      <c r="DQ202" s="50">
        <v>1</v>
      </c>
      <c r="DR202" s="50"/>
      <c r="DS202" s="50"/>
      <c r="DT202" s="50"/>
      <c r="DU202" s="50"/>
      <c r="DV202" s="50"/>
      <c r="DW202" s="50"/>
      <c r="DX202" s="50"/>
      <c r="DY202" s="50"/>
      <c r="DZ202" s="50"/>
      <c r="EA202" s="50"/>
      <c r="EB202" s="50"/>
      <c r="EC202" s="50"/>
      <c r="ED202" s="50"/>
      <c r="EE202" s="50"/>
      <c r="EF202" s="50"/>
      <c r="EG202" s="50"/>
      <c r="EH202" s="50"/>
      <c r="EI202" s="50"/>
      <c r="EJ202" s="50"/>
      <c r="EK202" s="50"/>
      <c r="EL202" s="50"/>
      <c r="EM202" s="50"/>
      <c r="EN202" s="50"/>
      <c r="EO202" s="50"/>
      <c r="EP202" s="50"/>
      <c r="EQ202" s="50"/>
      <c r="ER202" s="50"/>
      <c r="ET202" s="55">
        <f t="shared" si="11"/>
        <v>3</v>
      </c>
    </row>
    <row r="203" spans="1:150" s="5" customFormat="1" ht="16" customHeight="1" x14ac:dyDescent="0.2">
      <c r="A203" s="5">
        <v>70</v>
      </c>
      <c r="B203" s="8" t="s">
        <v>470</v>
      </c>
      <c r="C203" s="8" t="s">
        <v>477</v>
      </c>
      <c r="D203" s="5">
        <v>17</v>
      </c>
      <c r="E203" s="5" t="s">
        <v>478</v>
      </c>
      <c r="F203" s="21" t="s">
        <v>479</v>
      </c>
      <c r="G203" s="21">
        <v>202</v>
      </c>
      <c r="H203" s="5">
        <f t="shared" si="9"/>
        <v>70017</v>
      </c>
      <c r="I203" t="s">
        <v>1224</v>
      </c>
      <c r="J203">
        <v>252</v>
      </c>
      <c r="K203">
        <v>90</v>
      </c>
      <c r="L203">
        <v>141</v>
      </c>
      <c r="M203" s="6">
        <v>255</v>
      </c>
      <c r="N203" s="6" t="str">
        <f t="shared" si="10"/>
        <v>202: (252, 90, 141, 255, Vegetation species change (control of invasive or exotic species): 70017),</v>
      </c>
      <c r="O203" s="5" t="str">
        <f>VLOOKUP(Australia!B203,Impacts!$A$2:$B$80,2, FALSE)</f>
        <v>Changes in the floristic and or structural composition of vegetation in an area.</v>
      </c>
      <c r="P203" s="5" t="str">
        <f>VLOOKUP(E203,Pressures!$A$2:$B$145,2,FALSE)</f>
        <v>Management aimed at reducing or eliminating terrestrial or aquatic invasive flora and fauna species.</v>
      </c>
      <c r="W203" s="32">
        <v>112112</v>
      </c>
      <c r="Y203" s="32">
        <v>124124</v>
      </c>
      <c r="AU203" s="31">
        <v>11</v>
      </c>
      <c r="AV203" s="31">
        <v>22</v>
      </c>
      <c r="AW203" s="5">
        <v>1</v>
      </c>
      <c r="AX203" s="5">
        <v>0</v>
      </c>
      <c r="AZ203" s="5">
        <v>1</v>
      </c>
      <c r="BA203" s="5">
        <v>2</v>
      </c>
      <c r="BB203" s="5">
        <v>3</v>
      </c>
      <c r="BE203" s="7">
        <v>112112</v>
      </c>
      <c r="BG203" s="7">
        <v>124124</v>
      </c>
      <c r="BV203" s="5">
        <v>22</v>
      </c>
      <c r="BX203" s="5" t="s">
        <v>716</v>
      </c>
      <c r="BZ203" s="31">
        <v>12</v>
      </c>
      <c r="CA203" s="31">
        <v>21</v>
      </c>
      <c r="CB203" s="45">
        <v>1012</v>
      </c>
      <c r="CC203" s="45">
        <v>1013</v>
      </c>
      <c r="CD203" s="45">
        <v>1015</v>
      </c>
      <c r="CE203" s="45">
        <v>1016</v>
      </c>
      <c r="CF203" s="45">
        <v>1213</v>
      </c>
      <c r="CG203" s="45">
        <v>1215</v>
      </c>
      <c r="CH203" s="46">
        <v>1216</v>
      </c>
      <c r="CI203" s="46">
        <v>1315</v>
      </c>
      <c r="CJ203" s="46">
        <v>1316</v>
      </c>
      <c r="CK203" s="46">
        <v>1516</v>
      </c>
      <c r="CL203" s="46">
        <v>1010</v>
      </c>
      <c r="CM203" s="46">
        <v>1212</v>
      </c>
      <c r="CN203" s="46">
        <v>1313</v>
      </c>
      <c r="CO203" s="46">
        <v>1515</v>
      </c>
      <c r="CP203" s="46">
        <v>1616</v>
      </c>
      <c r="CQ203" s="45">
        <v>1615</v>
      </c>
      <c r="CR203" s="45">
        <v>1613</v>
      </c>
      <c r="CS203" s="45">
        <v>1612</v>
      </c>
      <c r="CT203" s="45">
        <v>1610</v>
      </c>
      <c r="CU203" s="45">
        <v>1513</v>
      </c>
      <c r="CV203" s="45">
        <v>1512</v>
      </c>
      <c r="CW203" s="45">
        <v>1510</v>
      </c>
      <c r="CX203" s="45">
        <v>1312</v>
      </c>
      <c r="CY203" s="45">
        <v>1310</v>
      </c>
      <c r="DK203" s="8"/>
      <c r="DL203" s="8"/>
      <c r="DM203" s="8"/>
      <c r="DN203" s="8"/>
      <c r="DO203" s="50"/>
      <c r="DP203" s="50"/>
      <c r="DQ203" s="50"/>
      <c r="DR203" s="50"/>
      <c r="DS203" s="50"/>
      <c r="DT203" s="50"/>
      <c r="DU203" s="50"/>
      <c r="DV203" s="50"/>
      <c r="DW203" s="50"/>
      <c r="DX203" s="50"/>
      <c r="DY203" s="50"/>
      <c r="DZ203" s="50"/>
      <c r="EA203" s="50"/>
      <c r="EB203" s="50"/>
      <c r="EC203" s="50"/>
      <c r="ED203" s="50"/>
      <c r="EE203" s="50"/>
      <c r="EF203" s="50"/>
      <c r="EG203" s="50"/>
      <c r="EH203" s="50"/>
      <c r="EI203" s="50">
        <v>1</v>
      </c>
      <c r="EJ203" s="50"/>
      <c r="EK203" s="50"/>
      <c r="EL203" s="50"/>
      <c r="EM203" s="50">
        <v>1</v>
      </c>
      <c r="EN203" s="50"/>
      <c r="EO203" s="50">
        <v>1</v>
      </c>
      <c r="EP203" s="50"/>
      <c r="EQ203" s="50"/>
      <c r="ER203" s="50"/>
      <c r="ET203" s="55">
        <f t="shared" si="11"/>
        <v>3</v>
      </c>
    </row>
    <row r="204" spans="1:150" s="5" customFormat="1" ht="16" customHeight="1" x14ac:dyDescent="0.2">
      <c r="A204" s="5">
        <v>70</v>
      </c>
      <c r="B204" s="8" t="s">
        <v>470</v>
      </c>
      <c r="C204" s="8" t="s">
        <v>78</v>
      </c>
      <c r="D204" s="5">
        <v>22</v>
      </c>
      <c r="E204" s="5" t="s">
        <v>79</v>
      </c>
      <c r="F204" s="21" t="s">
        <v>480</v>
      </c>
      <c r="G204" s="21">
        <v>203</v>
      </c>
      <c r="H204" s="5">
        <f t="shared" si="9"/>
        <v>70022</v>
      </c>
      <c r="I204" t="s">
        <v>1225</v>
      </c>
      <c r="J204">
        <v>244</v>
      </c>
      <c r="K204">
        <v>164</v>
      </c>
      <c r="L204">
        <v>96</v>
      </c>
      <c r="M204" s="6">
        <v>255</v>
      </c>
      <c r="N204" s="6" t="str">
        <f t="shared" si="10"/>
        <v>203: (244, 164, 96, 255, Vegetation species change (decreased acidity): 70022),</v>
      </c>
      <c r="O204" s="5" t="str">
        <f>VLOOKUP(Australia!B204,Impacts!$A$2:$B$80,2, FALSE)</f>
        <v>Changes in the floristic and or structural composition of vegetation in an area.</v>
      </c>
      <c r="P204" s="5" t="str">
        <f>VLOOKUP(E204,Pressures!$A$2:$B$145,2,FALSE)</f>
        <v>A increase in the pH of water or soils across the range of alkaline (7-14), neutral (7) to acidic (0 to 7).</v>
      </c>
      <c r="W204" s="32">
        <v>112112</v>
      </c>
      <c r="Y204" s="32">
        <v>124124</v>
      </c>
      <c r="AU204" s="31">
        <v>11</v>
      </c>
      <c r="AV204" s="31">
        <v>22</v>
      </c>
      <c r="AW204" s="5">
        <v>1</v>
      </c>
      <c r="AX204" s="5">
        <v>0</v>
      </c>
      <c r="AZ204" s="5">
        <v>1</v>
      </c>
      <c r="BA204" s="5">
        <v>2</v>
      </c>
      <c r="BB204" s="5">
        <v>3</v>
      </c>
      <c r="BE204" s="7">
        <v>112112</v>
      </c>
      <c r="BG204" s="7">
        <v>124124</v>
      </c>
      <c r="BV204" s="5">
        <v>22</v>
      </c>
      <c r="BX204" s="5" t="s">
        <v>716</v>
      </c>
      <c r="BZ204" s="28"/>
      <c r="CA204" s="28"/>
      <c r="CB204" s="45">
        <v>1012</v>
      </c>
      <c r="CC204" s="45">
        <v>1013</v>
      </c>
      <c r="CD204" s="45">
        <v>1015</v>
      </c>
      <c r="CE204" s="45">
        <v>1016</v>
      </c>
      <c r="CF204" s="45">
        <v>1213</v>
      </c>
      <c r="CG204" s="45">
        <v>1215</v>
      </c>
      <c r="CH204" s="46">
        <v>1216</v>
      </c>
      <c r="CI204" s="46">
        <v>1315</v>
      </c>
      <c r="CJ204" s="46">
        <v>1316</v>
      </c>
      <c r="CK204" s="46">
        <v>1516</v>
      </c>
      <c r="CL204" s="46">
        <v>1010</v>
      </c>
      <c r="CM204" s="46">
        <v>1212</v>
      </c>
      <c r="CN204" s="46">
        <v>1313</v>
      </c>
      <c r="CO204" s="46">
        <v>1515</v>
      </c>
      <c r="CP204" s="46">
        <v>1616</v>
      </c>
      <c r="CQ204" s="45">
        <v>1615</v>
      </c>
      <c r="CR204" s="45">
        <v>1613</v>
      </c>
      <c r="CS204" s="45">
        <v>1612</v>
      </c>
      <c r="CT204" s="45">
        <v>1610</v>
      </c>
      <c r="CU204" s="45">
        <v>1513</v>
      </c>
      <c r="CV204" s="45">
        <v>1512</v>
      </c>
      <c r="CW204" s="45">
        <v>1510</v>
      </c>
      <c r="CX204" s="45">
        <v>1312</v>
      </c>
      <c r="CY204" s="45">
        <v>1310</v>
      </c>
      <c r="DK204" s="8"/>
      <c r="DL204" s="8"/>
      <c r="DM204" s="8"/>
      <c r="DN204" s="8"/>
      <c r="DO204" s="50"/>
      <c r="DP204" s="50"/>
      <c r="DQ204" s="50"/>
      <c r="DR204" s="50"/>
      <c r="DS204" s="50"/>
      <c r="DT204" s="50"/>
      <c r="DU204" s="50"/>
      <c r="DV204" s="50"/>
      <c r="DW204" s="50"/>
      <c r="DX204" s="50"/>
      <c r="DY204" s="50"/>
      <c r="DZ204" s="50"/>
      <c r="EA204" s="50"/>
      <c r="EB204" s="50"/>
      <c r="EC204" s="50"/>
      <c r="ED204" s="50"/>
      <c r="EE204" s="50"/>
      <c r="EF204" s="50"/>
      <c r="EG204" s="50"/>
      <c r="EH204" s="50"/>
      <c r="EI204" s="50"/>
      <c r="EJ204" s="50"/>
      <c r="EK204" s="50"/>
      <c r="EL204" s="50"/>
      <c r="EM204" s="50"/>
      <c r="EN204" s="50"/>
      <c r="EO204" s="50"/>
      <c r="EP204" s="50">
        <v>1</v>
      </c>
      <c r="EQ204" s="50"/>
      <c r="ER204" s="50">
        <v>1</v>
      </c>
      <c r="ET204" s="55">
        <f t="shared" si="11"/>
        <v>2</v>
      </c>
    </row>
    <row r="205" spans="1:150" s="5" customFormat="1" ht="16" customHeight="1" x14ac:dyDescent="0.2">
      <c r="A205" s="5">
        <v>70</v>
      </c>
      <c r="B205" s="8" t="s">
        <v>470</v>
      </c>
      <c r="C205" s="8" t="s">
        <v>481</v>
      </c>
      <c r="D205" s="5">
        <v>23</v>
      </c>
      <c r="E205" s="5" t="s">
        <v>482</v>
      </c>
      <c r="F205" s="21" t="s">
        <v>483</v>
      </c>
      <c r="G205" s="21">
        <v>204</v>
      </c>
      <c r="H205" s="5">
        <f t="shared" si="9"/>
        <v>70023</v>
      </c>
      <c r="I205" t="s">
        <v>1226</v>
      </c>
      <c r="J205">
        <v>65</v>
      </c>
      <c r="K205">
        <v>105</v>
      </c>
      <c r="L205">
        <v>225</v>
      </c>
      <c r="M205" s="6">
        <v>255</v>
      </c>
      <c r="N205" s="6" t="str">
        <f t="shared" si="10"/>
        <v>204: (65, 105, 225, 255, Vegetation species change (decreased alkalinity): 70023),</v>
      </c>
      <c r="O205" s="5" t="str">
        <f>VLOOKUP(Australia!B205,Impacts!$A$2:$B$80,2, FALSE)</f>
        <v>Changes in the floristic and or structural composition of vegetation in an area.</v>
      </c>
      <c r="P205" s="5" t="str">
        <f>VLOOKUP(E205,Pressures!$A$2:$B$145,2,FALSE)</f>
        <v>Reduced buffering capacity of a water body; a measure of the ability of the water body to neutralize acids and bases and thus maintain a fairly stable pH level.</v>
      </c>
      <c r="W205" s="32">
        <v>112112</v>
      </c>
      <c r="Y205" s="32">
        <v>124124</v>
      </c>
      <c r="AU205" s="31">
        <v>11</v>
      </c>
      <c r="AV205" s="31">
        <v>22</v>
      </c>
      <c r="AW205" s="5">
        <v>1</v>
      </c>
      <c r="AX205" s="5">
        <v>0</v>
      </c>
      <c r="AZ205" s="5">
        <v>1</v>
      </c>
      <c r="BA205" s="5">
        <v>2</v>
      </c>
      <c r="BB205" s="5">
        <v>3</v>
      </c>
      <c r="BE205" s="7">
        <v>112112</v>
      </c>
      <c r="BG205" s="7">
        <v>124124</v>
      </c>
      <c r="BV205" s="5">
        <v>22</v>
      </c>
      <c r="BX205" s="5" t="s">
        <v>716</v>
      </c>
      <c r="BZ205" s="28"/>
      <c r="CA205" s="28"/>
      <c r="CB205" s="45">
        <v>1012</v>
      </c>
      <c r="CC205" s="45">
        <v>1013</v>
      </c>
      <c r="CD205" s="45">
        <v>1015</v>
      </c>
      <c r="CE205" s="45">
        <v>1016</v>
      </c>
      <c r="CF205" s="45">
        <v>1213</v>
      </c>
      <c r="CG205" s="45">
        <v>1215</v>
      </c>
      <c r="CH205" s="46">
        <v>1216</v>
      </c>
      <c r="CI205" s="46">
        <v>1315</v>
      </c>
      <c r="CJ205" s="46">
        <v>1316</v>
      </c>
      <c r="CK205" s="46">
        <v>1516</v>
      </c>
      <c r="CL205" s="46">
        <v>1010</v>
      </c>
      <c r="CM205" s="46">
        <v>1212</v>
      </c>
      <c r="CN205" s="46">
        <v>1313</v>
      </c>
      <c r="CO205" s="46">
        <v>1515</v>
      </c>
      <c r="CP205" s="46">
        <v>1616</v>
      </c>
      <c r="CQ205" s="45">
        <v>1615</v>
      </c>
      <c r="CR205" s="45">
        <v>1613</v>
      </c>
      <c r="CS205" s="45">
        <v>1612</v>
      </c>
      <c r="CT205" s="45">
        <v>1610</v>
      </c>
      <c r="CU205" s="45">
        <v>1513</v>
      </c>
      <c r="CV205" s="45">
        <v>1512</v>
      </c>
      <c r="CW205" s="45">
        <v>1510</v>
      </c>
      <c r="CX205" s="45">
        <v>1312</v>
      </c>
      <c r="CY205" s="45">
        <v>1310</v>
      </c>
      <c r="DK205" s="8"/>
      <c r="DL205" s="8"/>
      <c r="DM205" s="8"/>
      <c r="DN205" s="8"/>
      <c r="DO205" s="50"/>
      <c r="DP205" s="50"/>
      <c r="DQ205" s="50"/>
      <c r="DR205" s="50"/>
      <c r="DS205" s="50"/>
      <c r="DT205" s="50"/>
      <c r="DU205" s="50"/>
      <c r="DV205" s="50"/>
      <c r="DW205" s="50"/>
      <c r="DX205" s="50"/>
      <c r="DY205" s="50"/>
      <c r="DZ205" s="50"/>
      <c r="EA205" s="50"/>
      <c r="EB205" s="50"/>
      <c r="EC205" s="50"/>
      <c r="ED205" s="50"/>
      <c r="EE205" s="50"/>
      <c r="EF205" s="50"/>
      <c r="EG205" s="50"/>
      <c r="EH205" s="50"/>
      <c r="EI205" s="50"/>
      <c r="EJ205" s="50"/>
      <c r="EK205" s="50"/>
      <c r="EL205" s="50"/>
      <c r="EM205" s="50"/>
      <c r="EN205" s="50"/>
      <c r="EO205" s="50"/>
      <c r="EP205" s="50">
        <v>1</v>
      </c>
      <c r="EQ205" s="50"/>
      <c r="ER205" s="50">
        <v>1</v>
      </c>
      <c r="ET205" s="55">
        <f t="shared" si="11"/>
        <v>2</v>
      </c>
    </row>
    <row r="206" spans="1:150" s="5" customFormat="1" ht="16" customHeight="1" x14ac:dyDescent="0.2">
      <c r="A206" s="5">
        <v>70</v>
      </c>
      <c r="B206" s="8" t="s">
        <v>470</v>
      </c>
      <c r="C206" s="8" t="s">
        <v>411</v>
      </c>
      <c r="D206" s="5">
        <v>24</v>
      </c>
      <c r="E206" s="5" t="s">
        <v>412</v>
      </c>
      <c r="F206" s="21" t="s">
        <v>484</v>
      </c>
      <c r="G206" s="21">
        <v>205</v>
      </c>
      <c r="H206" s="5">
        <f t="shared" si="9"/>
        <v>70024</v>
      </c>
      <c r="I206" t="s">
        <v>1227</v>
      </c>
      <c r="J206">
        <v>255</v>
      </c>
      <c r="K206">
        <v>160</v>
      </c>
      <c r="L206">
        <v>122</v>
      </c>
      <c r="M206" s="6">
        <v>255</v>
      </c>
      <c r="N206" s="6" t="str">
        <f t="shared" si="10"/>
        <v>205: (255, 160, 122, 255, Vegetation species change (decreased nutrient supply in soil): 70024),</v>
      </c>
      <c r="O206" s="5" t="str">
        <f>VLOOKUP(Australia!B206,Impacts!$A$2:$B$80,2, FALSE)</f>
        <v>Changes in the floristic and or structural composition of vegetation in an area.</v>
      </c>
      <c r="P206" s="5" t="str">
        <f>VLOOKUP(E206,Pressures!$A$2:$B$145,2,FALSE)</f>
        <v>Reduced availability of nutrients needed for plants to grow or maintain physiological function and potentially influencing vegetation composition.</v>
      </c>
      <c r="W206" s="32">
        <v>112112</v>
      </c>
      <c r="Y206" s="32">
        <v>124124</v>
      </c>
      <c r="AU206" s="31">
        <v>11</v>
      </c>
      <c r="AV206" s="31">
        <v>22</v>
      </c>
      <c r="AW206" s="5">
        <v>-1</v>
      </c>
      <c r="AX206" s="5">
        <v>0</v>
      </c>
      <c r="AZ206" s="5">
        <v>1</v>
      </c>
      <c r="BA206" s="5">
        <v>2</v>
      </c>
      <c r="BB206" s="5">
        <v>3</v>
      </c>
      <c r="BD206" s="7">
        <v>111111</v>
      </c>
      <c r="BE206" s="7">
        <v>112112</v>
      </c>
      <c r="BG206" s="7">
        <v>124124</v>
      </c>
      <c r="BV206" s="5">
        <v>22</v>
      </c>
      <c r="BX206" s="5" t="s">
        <v>716</v>
      </c>
      <c r="BY206" s="5" t="s">
        <v>716</v>
      </c>
      <c r="BZ206" s="28"/>
      <c r="CA206" s="28"/>
      <c r="CB206" s="45">
        <v>1012</v>
      </c>
      <c r="CC206" s="45">
        <v>1013</v>
      </c>
      <c r="CD206" s="45">
        <v>1015</v>
      </c>
      <c r="CE206" s="45">
        <v>1016</v>
      </c>
      <c r="CF206" s="45">
        <v>1213</v>
      </c>
      <c r="CG206" s="45">
        <v>1215</v>
      </c>
      <c r="CH206" s="46">
        <v>1216</v>
      </c>
      <c r="CI206" s="46">
        <v>1315</v>
      </c>
      <c r="CJ206" s="46">
        <v>1316</v>
      </c>
      <c r="CK206" s="46">
        <v>1516</v>
      </c>
      <c r="CL206" s="46">
        <v>1010</v>
      </c>
      <c r="CM206" s="46">
        <v>1212</v>
      </c>
      <c r="CN206" s="46">
        <v>1313</v>
      </c>
      <c r="CO206" s="46">
        <v>1515</v>
      </c>
      <c r="CP206" s="46">
        <v>1616</v>
      </c>
      <c r="CQ206" s="45">
        <v>1615</v>
      </c>
      <c r="CR206" s="45">
        <v>1613</v>
      </c>
      <c r="CS206" s="45">
        <v>1612</v>
      </c>
      <c r="CT206" s="45">
        <v>1610</v>
      </c>
      <c r="CU206" s="45">
        <v>1513</v>
      </c>
      <c r="CV206" s="45">
        <v>1512</v>
      </c>
      <c r="CW206" s="45">
        <v>1510</v>
      </c>
      <c r="CX206" s="45">
        <v>1312</v>
      </c>
      <c r="CY206" s="45">
        <v>1310</v>
      </c>
      <c r="DK206" s="8"/>
      <c r="DL206" s="8"/>
      <c r="DM206" s="8"/>
      <c r="DN206" s="8"/>
      <c r="DO206" s="50"/>
      <c r="DP206" s="50"/>
      <c r="DQ206" s="50"/>
      <c r="DR206" s="50"/>
      <c r="DS206" s="50"/>
      <c r="DT206" s="50"/>
      <c r="DU206" s="50"/>
      <c r="DV206" s="50"/>
      <c r="DW206" s="50"/>
      <c r="DX206" s="50"/>
      <c r="DY206" s="50"/>
      <c r="DZ206" s="50"/>
      <c r="EA206" s="50"/>
      <c r="EB206" s="50"/>
      <c r="EC206" s="50"/>
      <c r="ED206" s="50"/>
      <c r="EE206" s="50"/>
      <c r="EF206" s="50"/>
      <c r="EG206" s="50"/>
      <c r="EH206" s="50"/>
      <c r="EI206" s="50"/>
      <c r="EJ206" s="50"/>
      <c r="EK206" s="50"/>
      <c r="EL206" s="50"/>
      <c r="EM206" s="50"/>
      <c r="EN206" s="50"/>
      <c r="EO206" s="50"/>
      <c r="EP206" s="50">
        <v>1</v>
      </c>
      <c r="EQ206" s="50"/>
      <c r="ER206" s="50"/>
      <c r="ET206" s="55">
        <f t="shared" si="11"/>
        <v>1</v>
      </c>
    </row>
    <row r="207" spans="1:150" s="5" customFormat="1" ht="16" customHeight="1" x14ac:dyDescent="0.2">
      <c r="A207" s="5">
        <v>70</v>
      </c>
      <c r="B207" s="8" t="s">
        <v>470</v>
      </c>
      <c r="C207" s="8" t="s">
        <v>42</v>
      </c>
      <c r="D207" s="5">
        <v>44</v>
      </c>
      <c r="E207" s="5" t="s">
        <v>43</v>
      </c>
      <c r="F207" s="21" t="s">
        <v>485</v>
      </c>
      <c r="G207" s="21">
        <v>206</v>
      </c>
      <c r="H207" s="5">
        <f t="shared" si="9"/>
        <v>70044</v>
      </c>
      <c r="I207" t="s">
        <v>1228</v>
      </c>
      <c r="J207">
        <v>95</v>
      </c>
      <c r="K207">
        <v>158</v>
      </c>
      <c r="L207">
        <v>160</v>
      </c>
      <c r="M207" s="6">
        <v>255</v>
      </c>
      <c r="N207" s="6" t="str">
        <f t="shared" si="10"/>
        <v>206: (95, 158, 160, 255, Vegetation species change (flooding): 70044),</v>
      </c>
      <c r="O207" s="5" t="str">
        <f>VLOOKUP(Australia!B207,Impacts!$A$2:$B$80,2, FALSE)</f>
        <v>Changes in the floristic and or structural composition of vegetation in an area.</v>
      </c>
      <c r="P207" s="5" t="str">
        <f>VLOOKUP(E207,Pressures!$A$2:$B$145,2,FALSE)</f>
        <v>The inundation of water over land that is generally dry.</v>
      </c>
      <c r="W207" s="32">
        <v>112112</v>
      </c>
      <c r="Y207" s="32">
        <v>124124</v>
      </c>
      <c r="AU207" s="31">
        <v>11</v>
      </c>
      <c r="AV207" s="31">
        <v>22</v>
      </c>
      <c r="AW207" s="5">
        <v>-1</v>
      </c>
      <c r="AX207" s="5">
        <v>0</v>
      </c>
      <c r="AZ207" s="5">
        <v>1</v>
      </c>
      <c r="BA207" s="5">
        <v>2</v>
      </c>
      <c r="BB207" s="5">
        <v>3</v>
      </c>
      <c r="BD207" s="7">
        <v>111111</v>
      </c>
      <c r="BZ207" s="28"/>
      <c r="CA207" s="28"/>
      <c r="CB207" s="45">
        <v>1012</v>
      </c>
      <c r="CC207" s="45">
        <v>1013</v>
      </c>
      <c r="CD207" s="45">
        <v>1015</v>
      </c>
      <c r="CE207" s="45">
        <v>1016</v>
      </c>
      <c r="CF207" s="45">
        <v>1213</v>
      </c>
      <c r="CG207" s="45">
        <v>1215</v>
      </c>
      <c r="CH207" s="46">
        <v>1216</v>
      </c>
      <c r="CI207" s="46">
        <v>1315</v>
      </c>
      <c r="CJ207" s="46">
        <v>1316</v>
      </c>
      <c r="CK207" s="46">
        <v>1516</v>
      </c>
      <c r="CL207" s="46">
        <v>1010</v>
      </c>
      <c r="CM207" s="46">
        <v>1212</v>
      </c>
      <c r="CN207" s="46">
        <v>1313</v>
      </c>
      <c r="CO207" s="46">
        <v>1515</v>
      </c>
      <c r="CP207" s="46">
        <v>1616</v>
      </c>
      <c r="CQ207" s="45">
        <v>1615</v>
      </c>
      <c r="CR207" s="45">
        <v>1613</v>
      </c>
      <c r="CS207" s="45">
        <v>1612</v>
      </c>
      <c r="CT207" s="45">
        <v>1610</v>
      </c>
      <c r="CU207" s="45">
        <v>1513</v>
      </c>
      <c r="CV207" s="45">
        <v>1512</v>
      </c>
      <c r="CW207" s="45">
        <v>1510</v>
      </c>
      <c r="CX207" s="45">
        <v>1312</v>
      </c>
      <c r="CY207" s="45">
        <v>1310</v>
      </c>
      <c r="DK207" s="8"/>
      <c r="DL207" s="8"/>
      <c r="DM207" s="8"/>
      <c r="DN207" s="8"/>
      <c r="DO207" s="50"/>
      <c r="DP207" s="50"/>
      <c r="DQ207" s="50"/>
      <c r="DR207" s="50"/>
      <c r="DS207" s="50">
        <v>1</v>
      </c>
      <c r="DT207" s="50"/>
      <c r="DU207" s="50"/>
      <c r="DV207" s="50"/>
      <c r="DW207" s="50"/>
      <c r="DX207" s="50"/>
      <c r="DY207" s="50"/>
      <c r="DZ207" s="50"/>
      <c r="EA207" s="50"/>
      <c r="EB207" s="50"/>
      <c r="EC207" s="50"/>
      <c r="ED207" s="50"/>
      <c r="EE207" s="50"/>
      <c r="EF207" s="50"/>
      <c r="EG207" s="50"/>
      <c r="EH207" s="50"/>
      <c r="EI207" s="50"/>
      <c r="EJ207" s="50"/>
      <c r="EK207" s="50"/>
      <c r="EL207" s="50"/>
      <c r="EM207" s="50"/>
      <c r="EN207" s="50"/>
      <c r="EO207" s="50"/>
      <c r="EP207" s="50">
        <v>1</v>
      </c>
      <c r="EQ207" s="50"/>
      <c r="ER207" s="50"/>
      <c r="ET207" s="55">
        <f t="shared" si="11"/>
        <v>2</v>
      </c>
    </row>
    <row r="208" spans="1:150" s="5" customFormat="1" ht="16" customHeight="1" x14ac:dyDescent="0.2">
      <c r="A208" s="5">
        <v>70</v>
      </c>
      <c r="B208" s="8" t="s">
        <v>470</v>
      </c>
      <c r="C208" s="8" t="s">
        <v>99</v>
      </c>
      <c r="D208" s="5">
        <v>48</v>
      </c>
      <c r="E208" s="5" t="s">
        <v>100</v>
      </c>
      <c r="F208" s="21" t="s">
        <v>487</v>
      </c>
      <c r="G208" s="21">
        <v>207</v>
      </c>
      <c r="H208" s="5">
        <f t="shared" si="9"/>
        <v>70048</v>
      </c>
      <c r="I208" t="s">
        <v>1229</v>
      </c>
      <c r="J208">
        <v>255</v>
      </c>
      <c r="K208">
        <v>255</v>
      </c>
      <c r="L208">
        <v>224</v>
      </c>
      <c r="M208" s="6">
        <v>255</v>
      </c>
      <c r="N208" s="6" t="str">
        <f t="shared" si="10"/>
        <v>207: (255, 255, 224, 255, Vegetation species change (grazing (natural)): 70048),</v>
      </c>
      <c r="O208" s="5" t="str">
        <f>VLOOKUP(Australia!B208,Impacts!$A$2:$B$80,2, FALSE)</f>
        <v>Changes in the floristic and or structural composition of vegetation in an area.</v>
      </c>
      <c r="P208" s="5" t="str">
        <f>VLOOKUP(E208,Pressures!$A$2:$B$145,2,FALSE)</f>
        <v>Repetitive consumption of herbaceous or woody vegetation by herbivores/omnivores.</v>
      </c>
      <c r="W208" s="32">
        <v>112112</v>
      </c>
      <c r="Y208" s="32">
        <v>124124</v>
      </c>
      <c r="AU208" s="31">
        <v>11</v>
      </c>
      <c r="AV208" s="31">
        <v>22</v>
      </c>
      <c r="AW208" s="5">
        <v>-1</v>
      </c>
      <c r="AX208" s="5">
        <v>0</v>
      </c>
      <c r="AZ208" s="5">
        <v>1</v>
      </c>
      <c r="BA208" s="5">
        <v>2</v>
      </c>
      <c r="BB208" s="5">
        <v>3</v>
      </c>
      <c r="BE208" s="7">
        <v>112112</v>
      </c>
      <c r="BV208" s="5">
        <v>22</v>
      </c>
      <c r="BX208" s="5" t="s">
        <v>716</v>
      </c>
      <c r="BY208" s="5" t="s">
        <v>714</v>
      </c>
      <c r="BZ208" s="31">
        <v>12</v>
      </c>
      <c r="CA208" s="31">
        <v>21</v>
      </c>
      <c r="CB208" s="45">
        <v>1012</v>
      </c>
      <c r="CC208" s="45">
        <v>1013</v>
      </c>
      <c r="CD208" s="45">
        <v>1015</v>
      </c>
      <c r="CE208" s="45">
        <v>1016</v>
      </c>
      <c r="CF208" s="45">
        <v>1213</v>
      </c>
      <c r="CG208" s="45">
        <v>1215</v>
      </c>
      <c r="CH208" s="46">
        <v>1216</v>
      </c>
      <c r="CI208" s="46">
        <v>1315</v>
      </c>
      <c r="CJ208" s="46">
        <v>1316</v>
      </c>
      <c r="CK208" s="46">
        <v>1516</v>
      </c>
      <c r="CL208" s="46">
        <v>1010</v>
      </c>
      <c r="CM208" s="46">
        <v>1212</v>
      </c>
      <c r="CN208" s="46">
        <v>1313</v>
      </c>
      <c r="CO208" s="46">
        <v>1515</v>
      </c>
      <c r="CP208" s="46">
        <v>1616</v>
      </c>
      <c r="CQ208" s="45">
        <v>1615</v>
      </c>
      <c r="CR208" s="45">
        <v>1613</v>
      </c>
      <c r="CS208" s="45">
        <v>1612</v>
      </c>
      <c r="CT208" s="45">
        <v>1610</v>
      </c>
      <c r="CU208" s="45">
        <v>1513</v>
      </c>
      <c r="CV208" s="45">
        <v>1512</v>
      </c>
      <c r="CW208" s="45">
        <v>1510</v>
      </c>
      <c r="CX208" s="45">
        <v>1312</v>
      </c>
      <c r="CY208" s="45">
        <v>1310</v>
      </c>
      <c r="DK208" s="8"/>
      <c r="DL208" s="8"/>
      <c r="DM208" s="8"/>
      <c r="DN208" s="8"/>
      <c r="DO208" s="50"/>
      <c r="DP208" s="50"/>
      <c r="DQ208" s="50"/>
      <c r="DR208" s="50"/>
      <c r="DS208" s="50"/>
      <c r="DT208" s="50"/>
      <c r="DU208" s="50"/>
      <c r="DV208" s="50"/>
      <c r="DW208" s="50"/>
      <c r="DX208" s="50"/>
      <c r="DY208" s="50"/>
      <c r="DZ208" s="50"/>
      <c r="EA208" s="50"/>
      <c r="EB208" s="50"/>
      <c r="EC208" s="50"/>
      <c r="ED208" s="50"/>
      <c r="EE208" s="50"/>
      <c r="EF208" s="50"/>
      <c r="EG208" s="50"/>
      <c r="EH208" s="50"/>
      <c r="EI208" s="50">
        <v>1</v>
      </c>
      <c r="EJ208" s="50"/>
      <c r="EK208" s="50"/>
      <c r="EL208" s="50"/>
      <c r="EM208" s="50"/>
      <c r="EN208" s="50"/>
      <c r="EO208" s="50"/>
      <c r="EP208" s="50"/>
      <c r="EQ208" s="50"/>
      <c r="ER208" s="50"/>
      <c r="ET208" s="55">
        <f t="shared" si="11"/>
        <v>1</v>
      </c>
    </row>
    <row r="209" spans="1:150" s="5" customFormat="1" ht="16" customHeight="1" x14ac:dyDescent="0.2">
      <c r="A209" s="5">
        <v>70</v>
      </c>
      <c r="B209" s="8" t="s">
        <v>470</v>
      </c>
      <c r="C209" s="8" t="s">
        <v>102</v>
      </c>
      <c r="D209" s="5">
        <v>49</v>
      </c>
      <c r="E209" s="5" t="s">
        <v>103</v>
      </c>
      <c r="F209" s="21" t="s">
        <v>486</v>
      </c>
      <c r="G209" s="21">
        <v>208</v>
      </c>
      <c r="H209" s="5">
        <f t="shared" si="9"/>
        <v>70049</v>
      </c>
      <c r="I209" t="s">
        <v>1206</v>
      </c>
      <c r="J209">
        <v>255</v>
      </c>
      <c r="K209">
        <v>67</v>
      </c>
      <c r="L209">
        <v>164</v>
      </c>
      <c r="M209" s="6">
        <v>255</v>
      </c>
      <c r="N209" s="6" t="str">
        <f t="shared" si="10"/>
        <v>208: (255, 67, 164, 255, Vegetation species change (grazing (stock)): 70049),</v>
      </c>
      <c r="O209" s="5" t="str">
        <f>VLOOKUP(Australia!B209,Impacts!$A$2:$B$80,2, FALSE)</f>
        <v>Changes in the floristic and or structural composition of vegetation in an area.</v>
      </c>
      <c r="P209" s="5" t="str">
        <f>VLOOKUP(E209,Pressures!$A$2:$B$145,2,FALSE)</f>
        <v>Repetitive consumption of herbaceous or woody vegetation by domesticated herbivores/omnivores.</v>
      </c>
      <c r="W209" s="32">
        <v>112112</v>
      </c>
      <c r="Y209" s="32">
        <v>124124</v>
      </c>
      <c r="AU209" s="31">
        <v>11</v>
      </c>
      <c r="AV209" s="31">
        <v>22</v>
      </c>
      <c r="AW209" s="5">
        <v>-1</v>
      </c>
      <c r="AX209" s="5">
        <v>0</v>
      </c>
      <c r="AZ209" s="5">
        <v>1</v>
      </c>
      <c r="BA209" s="5">
        <v>2</v>
      </c>
      <c r="BB209" s="5">
        <v>3</v>
      </c>
      <c r="BD209" s="7">
        <v>111111</v>
      </c>
      <c r="BE209" s="7">
        <v>112112</v>
      </c>
      <c r="BV209" s="5">
        <v>22</v>
      </c>
      <c r="BX209" s="5" t="s">
        <v>716</v>
      </c>
      <c r="BZ209" s="31">
        <v>12</v>
      </c>
      <c r="CA209" s="31">
        <v>21</v>
      </c>
      <c r="CB209" s="45">
        <v>1012</v>
      </c>
      <c r="CC209" s="45">
        <v>1013</v>
      </c>
      <c r="CD209" s="45">
        <v>1015</v>
      </c>
      <c r="CE209" s="45">
        <v>1016</v>
      </c>
      <c r="CF209" s="45">
        <v>1213</v>
      </c>
      <c r="CG209" s="45">
        <v>1215</v>
      </c>
      <c r="CH209" s="46">
        <v>1216</v>
      </c>
      <c r="CI209" s="46">
        <v>1315</v>
      </c>
      <c r="CJ209" s="46">
        <v>1316</v>
      </c>
      <c r="CK209" s="46">
        <v>1516</v>
      </c>
      <c r="CL209" s="46">
        <v>1010</v>
      </c>
      <c r="CM209" s="46">
        <v>1212</v>
      </c>
      <c r="CN209" s="46">
        <v>1313</v>
      </c>
      <c r="CO209" s="46">
        <v>1515</v>
      </c>
      <c r="CP209" s="46">
        <v>1616</v>
      </c>
      <c r="CQ209" s="45">
        <v>1615</v>
      </c>
      <c r="CR209" s="45">
        <v>1613</v>
      </c>
      <c r="CS209" s="45">
        <v>1612</v>
      </c>
      <c r="CT209" s="45">
        <v>1610</v>
      </c>
      <c r="CU209" s="45">
        <v>1513</v>
      </c>
      <c r="CV209" s="45">
        <v>1512</v>
      </c>
      <c r="CW209" s="45">
        <v>1510</v>
      </c>
      <c r="CX209" s="45">
        <v>1312</v>
      </c>
      <c r="CY209" s="45">
        <v>1310</v>
      </c>
      <c r="DK209" s="8"/>
      <c r="DL209" s="8"/>
      <c r="DM209" s="8"/>
      <c r="DN209" s="8"/>
      <c r="DO209" s="50"/>
      <c r="DP209" s="50"/>
      <c r="DQ209" s="50"/>
      <c r="DR209" s="50"/>
      <c r="DS209" s="50"/>
      <c r="DT209" s="50"/>
      <c r="DU209" s="50"/>
      <c r="DV209" s="50"/>
      <c r="DW209" s="50"/>
      <c r="DX209" s="50"/>
      <c r="DY209" s="50"/>
      <c r="DZ209" s="50"/>
      <c r="EA209" s="50"/>
      <c r="EB209" s="50"/>
      <c r="EC209" s="50"/>
      <c r="ED209" s="50"/>
      <c r="EE209" s="50"/>
      <c r="EF209" s="50"/>
      <c r="EG209" s="50"/>
      <c r="EH209" s="50"/>
      <c r="EI209" s="50"/>
      <c r="EJ209" s="50">
        <v>1</v>
      </c>
      <c r="EK209" s="50"/>
      <c r="EL209" s="50"/>
      <c r="EM209" s="50"/>
      <c r="EN209" s="50"/>
      <c r="EO209" s="50"/>
      <c r="EP209" s="50"/>
      <c r="EQ209" s="50"/>
      <c r="ER209" s="50"/>
      <c r="ET209" s="55">
        <f t="shared" si="11"/>
        <v>1</v>
      </c>
    </row>
    <row r="210" spans="1:150" s="5" customFormat="1" ht="16" customHeight="1" x14ac:dyDescent="0.2">
      <c r="A210" s="5">
        <v>70</v>
      </c>
      <c r="B210" s="8" t="s">
        <v>470</v>
      </c>
      <c r="C210" s="8" t="s">
        <v>491</v>
      </c>
      <c r="D210" s="5">
        <v>51</v>
      </c>
      <c r="E210" s="5" t="s">
        <v>492</v>
      </c>
      <c r="F210" s="21" t="s">
        <v>493</v>
      </c>
      <c r="G210" s="21">
        <v>209</v>
      </c>
      <c r="H210" s="5">
        <f t="shared" si="9"/>
        <v>70051</v>
      </c>
      <c r="I210" t="s">
        <v>1230</v>
      </c>
      <c r="J210">
        <v>139</v>
      </c>
      <c r="K210">
        <v>69</v>
      </c>
      <c r="L210">
        <v>19</v>
      </c>
      <c r="M210" s="6">
        <v>255</v>
      </c>
      <c r="N210" s="6" t="str">
        <f t="shared" si="10"/>
        <v>209: (139, 69, 19, 255, Vegetation species change (ground water extraction): 70051),</v>
      </c>
      <c r="O210" s="5" t="str">
        <f>VLOOKUP(Australia!B210,Impacts!$A$2:$B$80,2, FALSE)</f>
        <v>Changes in the floristic and or structural composition of vegetation in an area.</v>
      </c>
      <c r="P210" s="5" t="str">
        <f>VLOOKUP(E210,Pressures!$A$2:$B$145,2,FALSE)</f>
        <v>The process, deliberate or inadvertent, of extracting ground water from a source that leads to depletion.</v>
      </c>
      <c r="W210" s="32">
        <v>112112</v>
      </c>
      <c r="Y210" s="32">
        <v>124124</v>
      </c>
      <c r="AU210" s="31">
        <v>11</v>
      </c>
      <c r="AV210" s="31">
        <v>22</v>
      </c>
      <c r="AW210" s="5">
        <v>-1</v>
      </c>
      <c r="AX210" s="5">
        <v>0</v>
      </c>
      <c r="AZ210" s="5">
        <v>1</v>
      </c>
      <c r="BA210" s="5">
        <v>2</v>
      </c>
      <c r="BB210" s="5">
        <v>3</v>
      </c>
      <c r="BZ210" s="28"/>
      <c r="CA210" s="28"/>
      <c r="CB210" s="45">
        <v>1012</v>
      </c>
      <c r="CC210" s="45">
        <v>1013</v>
      </c>
      <c r="CD210" s="45">
        <v>1015</v>
      </c>
      <c r="CE210" s="45">
        <v>1016</v>
      </c>
      <c r="CF210" s="45">
        <v>1213</v>
      </c>
      <c r="CG210" s="45">
        <v>1215</v>
      </c>
      <c r="CH210" s="46">
        <v>1216</v>
      </c>
      <c r="CI210" s="46">
        <v>1315</v>
      </c>
      <c r="CJ210" s="46">
        <v>1316</v>
      </c>
      <c r="CK210" s="46">
        <v>1516</v>
      </c>
      <c r="CL210" s="46">
        <v>1010</v>
      </c>
      <c r="CM210" s="46">
        <v>1212</v>
      </c>
      <c r="CN210" s="46">
        <v>1313</v>
      </c>
      <c r="CO210" s="46">
        <v>1515</v>
      </c>
      <c r="CP210" s="46">
        <v>1616</v>
      </c>
      <c r="CQ210" s="45">
        <v>1615</v>
      </c>
      <c r="CR210" s="45">
        <v>1613</v>
      </c>
      <c r="CS210" s="45">
        <v>1612</v>
      </c>
      <c r="CT210" s="45">
        <v>1610</v>
      </c>
      <c r="CU210" s="45">
        <v>1513</v>
      </c>
      <c r="CV210" s="45">
        <v>1512</v>
      </c>
      <c r="CW210" s="45">
        <v>1510</v>
      </c>
      <c r="CX210" s="45">
        <v>1312</v>
      </c>
      <c r="CY210" s="45">
        <v>1310</v>
      </c>
      <c r="DK210" s="8"/>
      <c r="DL210" s="8"/>
      <c r="DM210" s="8"/>
      <c r="DN210" s="8"/>
      <c r="DO210" s="50"/>
      <c r="DP210" s="50"/>
      <c r="DQ210" s="50"/>
      <c r="DR210" s="50"/>
      <c r="DS210" s="50"/>
      <c r="DT210" s="50"/>
      <c r="DU210" s="50"/>
      <c r="DV210" s="50"/>
      <c r="DW210" s="50"/>
      <c r="DX210" s="50"/>
      <c r="DY210" s="50"/>
      <c r="DZ210" s="50"/>
      <c r="EA210" s="50"/>
      <c r="EB210" s="50"/>
      <c r="EC210" s="50"/>
      <c r="ED210" s="50"/>
      <c r="EE210" s="50"/>
      <c r="EF210" s="50"/>
      <c r="EG210" s="50"/>
      <c r="EH210" s="50"/>
      <c r="EI210" s="50"/>
      <c r="EJ210" s="50"/>
      <c r="EK210" s="50">
        <v>1</v>
      </c>
      <c r="EL210" s="50"/>
      <c r="EM210" s="50"/>
      <c r="EN210" s="50"/>
      <c r="EO210" s="50"/>
      <c r="EP210" s="50"/>
      <c r="EQ210" s="50"/>
      <c r="ER210" s="50"/>
      <c r="ET210" s="55">
        <f t="shared" si="11"/>
        <v>1</v>
      </c>
    </row>
    <row r="211" spans="1:150" s="5" customFormat="1" ht="16" customHeight="1" x14ac:dyDescent="0.2">
      <c r="A211" s="5">
        <v>70</v>
      </c>
      <c r="B211" s="8" t="s">
        <v>470</v>
      </c>
      <c r="C211" s="8" t="s">
        <v>488</v>
      </c>
      <c r="D211" s="5">
        <v>52</v>
      </c>
      <c r="E211" s="5" t="s">
        <v>489</v>
      </c>
      <c r="F211" s="21" t="s">
        <v>490</v>
      </c>
      <c r="G211" s="21">
        <v>210</v>
      </c>
      <c r="H211" s="5">
        <f t="shared" si="9"/>
        <v>70052</v>
      </c>
      <c r="I211" t="s">
        <v>1231</v>
      </c>
      <c r="J211">
        <v>28</v>
      </c>
      <c r="K211">
        <v>169</v>
      </c>
      <c r="L211">
        <v>201</v>
      </c>
      <c r="M211" s="6">
        <v>255</v>
      </c>
      <c r="N211" s="6" t="str">
        <f t="shared" si="10"/>
        <v>210: (28, 169, 201, 255, Vegetation species change (ground water recharge): 70052),</v>
      </c>
      <c r="O211" s="5" t="str">
        <f>VLOOKUP(Australia!B211,Impacts!$A$2:$B$80,2, FALSE)</f>
        <v>Changes in the floristic and or structural composition of vegetation in an area.</v>
      </c>
      <c r="P211" s="5" t="str">
        <f>VLOOKUP(E211,Pressures!$A$2:$B$145,2,FALSE)</f>
        <v>The process by which external water is added to the zone of saturation of an aquifer.</v>
      </c>
      <c r="W211" s="32">
        <v>112112</v>
      </c>
      <c r="Y211" s="32">
        <v>124124</v>
      </c>
      <c r="AU211" s="31">
        <v>11</v>
      </c>
      <c r="AV211" s="31">
        <v>22</v>
      </c>
      <c r="AW211" s="5">
        <v>-1</v>
      </c>
      <c r="AX211" s="5">
        <v>0</v>
      </c>
      <c r="AZ211" s="5">
        <v>1</v>
      </c>
      <c r="BA211" s="5">
        <v>2</v>
      </c>
      <c r="BB211" s="5">
        <v>3</v>
      </c>
      <c r="BE211" s="7">
        <v>112124</v>
      </c>
      <c r="BG211" s="7">
        <v>124124</v>
      </c>
      <c r="BV211" s="5">
        <v>22</v>
      </c>
      <c r="BX211" s="5" t="s">
        <v>716</v>
      </c>
      <c r="BZ211" s="28"/>
      <c r="CA211" s="28"/>
      <c r="CB211" s="45">
        <v>1012</v>
      </c>
      <c r="CC211" s="45">
        <v>1013</v>
      </c>
      <c r="CD211" s="45">
        <v>1015</v>
      </c>
      <c r="CE211" s="45">
        <v>1016</v>
      </c>
      <c r="CF211" s="45">
        <v>1213</v>
      </c>
      <c r="CG211" s="45">
        <v>1215</v>
      </c>
      <c r="CH211" s="46">
        <v>1216</v>
      </c>
      <c r="CI211" s="46">
        <v>1315</v>
      </c>
      <c r="CJ211" s="46">
        <v>1316</v>
      </c>
      <c r="CK211" s="46">
        <v>1516</v>
      </c>
      <c r="CL211" s="46">
        <v>1010</v>
      </c>
      <c r="CM211" s="46">
        <v>1212</v>
      </c>
      <c r="CN211" s="46">
        <v>1313</v>
      </c>
      <c r="CO211" s="46">
        <v>1515</v>
      </c>
      <c r="CP211" s="46">
        <v>1616</v>
      </c>
      <c r="CQ211" s="45">
        <v>1615</v>
      </c>
      <c r="CR211" s="45">
        <v>1613</v>
      </c>
      <c r="CS211" s="45">
        <v>1612</v>
      </c>
      <c r="CT211" s="45">
        <v>1610</v>
      </c>
      <c r="CU211" s="45">
        <v>1513</v>
      </c>
      <c r="CV211" s="45">
        <v>1512</v>
      </c>
      <c r="CW211" s="45">
        <v>1510</v>
      </c>
      <c r="CX211" s="45">
        <v>1312</v>
      </c>
      <c r="CY211" s="45">
        <v>1310</v>
      </c>
      <c r="DK211" s="8"/>
      <c r="DL211" s="8"/>
      <c r="DM211" s="8"/>
      <c r="DN211" s="8"/>
      <c r="DO211" s="50"/>
      <c r="DP211" s="50"/>
      <c r="DQ211" s="50"/>
      <c r="DR211" s="50"/>
      <c r="DS211" s="50"/>
      <c r="DT211" s="50"/>
      <c r="DU211" s="50"/>
      <c r="DV211" s="50"/>
      <c r="DW211" s="50"/>
      <c r="DX211" s="50"/>
      <c r="DY211" s="50"/>
      <c r="DZ211" s="50"/>
      <c r="EA211" s="50"/>
      <c r="EB211" s="50"/>
      <c r="EC211" s="50"/>
      <c r="ED211" s="50"/>
      <c r="EE211" s="50"/>
      <c r="EF211" s="50"/>
      <c r="EG211" s="50"/>
      <c r="EH211" s="50"/>
      <c r="EI211" s="50"/>
      <c r="EJ211" s="50"/>
      <c r="EK211" s="50">
        <v>1</v>
      </c>
      <c r="EL211" s="50"/>
      <c r="EM211" s="50"/>
      <c r="EN211" s="50"/>
      <c r="EO211" s="50"/>
      <c r="EP211" s="50"/>
      <c r="EQ211" s="50"/>
      <c r="ER211" s="50"/>
      <c r="ET211" s="55">
        <f t="shared" si="11"/>
        <v>1</v>
      </c>
    </row>
    <row r="212" spans="1:150" s="5" customFormat="1" ht="16" customHeight="1" x14ac:dyDescent="0.2">
      <c r="A212" s="5">
        <v>70</v>
      </c>
      <c r="B212" s="8" t="s">
        <v>470</v>
      </c>
      <c r="C212" s="8" t="s">
        <v>62</v>
      </c>
      <c r="D212" s="5">
        <v>59</v>
      </c>
      <c r="E212" s="5" t="s">
        <v>63</v>
      </c>
      <c r="F212" s="21" t="s">
        <v>497</v>
      </c>
      <c r="G212" s="21">
        <v>211</v>
      </c>
      <c r="H212" s="5">
        <f t="shared" si="9"/>
        <v>70059</v>
      </c>
      <c r="I212" t="s">
        <v>1232</v>
      </c>
      <c r="J212">
        <v>255</v>
      </c>
      <c r="K212">
        <v>105</v>
      </c>
      <c r="L212">
        <v>180</v>
      </c>
      <c r="M212" s="6">
        <v>255</v>
      </c>
      <c r="N212" s="6" t="str">
        <f t="shared" si="10"/>
        <v>211: (255, 105, 180, 255, Vegetation species change (increased acidity): 70059),</v>
      </c>
      <c r="O212" s="5" t="str">
        <f>VLOOKUP(Australia!B212,Impacts!$A$2:$B$80,2, FALSE)</f>
        <v>Changes in the floristic and or structural composition of vegetation in an area.</v>
      </c>
      <c r="P212" s="5" t="str">
        <f>VLOOKUP(E212,Pressures!$A$2:$B$145,2,FALSE)</f>
        <v xml:space="preserve">A decrease in the pH of water or soils across the range of alkaline (7-14), neutral (7) to acidic (0 to 7). </v>
      </c>
      <c r="W212" s="32">
        <v>112112</v>
      </c>
      <c r="Y212" s="32">
        <v>124124</v>
      </c>
      <c r="AU212" s="31">
        <v>11</v>
      </c>
      <c r="AV212" s="31">
        <v>22</v>
      </c>
      <c r="AW212" s="5">
        <v>-1</v>
      </c>
      <c r="AX212" s="5">
        <v>0</v>
      </c>
      <c r="AZ212" s="5">
        <v>1</v>
      </c>
      <c r="BA212" s="5">
        <v>2</v>
      </c>
      <c r="BB212" s="5">
        <v>3</v>
      </c>
      <c r="BE212" s="7">
        <v>112112</v>
      </c>
      <c r="BG212" s="7">
        <v>124124</v>
      </c>
      <c r="BV212" s="5">
        <v>22</v>
      </c>
      <c r="BX212" s="5" t="s">
        <v>716</v>
      </c>
      <c r="BY212" s="5" t="s">
        <v>715</v>
      </c>
      <c r="BZ212" s="28"/>
      <c r="CA212" s="28"/>
      <c r="CB212" s="45">
        <v>1012</v>
      </c>
      <c r="CC212" s="45">
        <v>1013</v>
      </c>
      <c r="CD212" s="45">
        <v>1015</v>
      </c>
      <c r="CE212" s="45">
        <v>1016</v>
      </c>
      <c r="CF212" s="45">
        <v>1213</v>
      </c>
      <c r="CG212" s="45">
        <v>1215</v>
      </c>
      <c r="CH212" s="46">
        <v>1216</v>
      </c>
      <c r="CI212" s="46">
        <v>1315</v>
      </c>
      <c r="CJ212" s="46">
        <v>1316</v>
      </c>
      <c r="CK212" s="46">
        <v>1516</v>
      </c>
      <c r="CL212" s="46">
        <v>1010</v>
      </c>
      <c r="CM212" s="46">
        <v>1212</v>
      </c>
      <c r="CN212" s="46">
        <v>1313</v>
      </c>
      <c r="CO212" s="46">
        <v>1515</v>
      </c>
      <c r="CP212" s="46">
        <v>1616</v>
      </c>
      <c r="CQ212" s="45">
        <v>1615</v>
      </c>
      <c r="CR212" s="45">
        <v>1613</v>
      </c>
      <c r="CS212" s="45">
        <v>1612</v>
      </c>
      <c r="CT212" s="45">
        <v>1610</v>
      </c>
      <c r="CU212" s="45">
        <v>1513</v>
      </c>
      <c r="CV212" s="45">
        <v>1512</v>
      </c>
      <c r="CW212" s="45">
        <v>1510</v>
      </c>
      <c r="CX212" s="45">
        <v>1312</v>
      </c>
      <c r="CY212" s="45">
        <v>1310</v>
      </c>
      <c r="DK212" s="8"/>
      <c r="DL212" s="8"/>
      <c r="DM212" s="8"/>
      <c r="DN212" s="8"/>
      <c r="DO212" s="50"/>
      <c r="DP212" s="50"/>
      <c r="DQ212" s="50"/>
      <c r="DR212" s="50"/>
      <c r="DS212" s="50"/>
      <c r="DT212" s="50"/>
      <c r="DU212" s="50"/>
      <c r="DV212" s="50"/>
      <c r="DW212" s="50"/>
      <c r="DX212" s="50"/>
      <c r="DY212" s="50"/>
      <c r="DZ212" s="50"/>
      <c r="EA212" s="50"/>
      <c r="EB212" s="50"/>
      <c r="EC212" s="50"/>
      <c r="ED212" s="50"/>
      <c r="EE212" s="50"/>
      <c r="EF212" s="50"/>
      <c r="EG212" s="50"/>
      <c r="EH212" s="50"/>
      <c r="EI212" s="50"/>
      <c r="EJ212" s="50"/>
      <c r="EK212" s="50"/>
      <c r="EL212" s="50"/>
      <c r="EM212" s="50"/>
      <c r="EN212" s="50"/>
      <c r="EO212" s="50"/>
      <c r="EP212" s="50">
        <v>1</v>
      </c>
      <c r="EQ212" s="50"/>
      <c r="ER212" s="50">
        <v>1</v>
      </c>
      <c r="ET212" s="55">
        <f t="shared" si="11"/>
        <v>2</v>
      </c>
    </row>
    <row r="213" spans="1:150" s="5" customFormat="1" ht="16" customHeight="1" x14ac:dyDescent="0.2">
      <c r="A213" s="5">
        <v>70</v>
      </c>
      <c r="B213" s="8" t="s">
        <v>470</v>
      </c>
      <c r="C213" s="8" t="s">
        <v>498</v>
      </c>
      <c r="D213" s="5">
        <v>60</v>
      </c>
      <c r="E213" s="5" t="s">
        <v>499</v>
      </c>
      <c r="F213" s="21" t="s">
        <v>500</v>
      </c>
      <c r="G213" s="21">
        <v>212</v>
      </c>
      <c r="H213" s="5">
        <f t="shared" si="9"/>
        <v>70060</v>
      </c>
      <c r="I213" t="s">
        <v>1233</v>
      </c>
      <c r="J213">
        <v>153</v>
      </c>
      <c r="K213">
        <v>50</v>
      </c>
      <c r="L213">
        <v>204</v>
      </c>
      <c r="M213" s="6">
        <v>255</v>
      </c>
      <c r="N213" s="6" t="str">
        <f t="shared" si="10"/>
        <v>212: (153, 50, 204, 255, Vegetation species change (increased alkalinity): 70060),</v>
      </c>
      <c r="O213" s="5" t="str">
        <f>VLOOKUP(Australia!B213,Impacts!$A$2:$B$80,2, FALSE)</f>
        <v>Changes in the floristic and or structural composition of vegetation in an area.</v>
      </c>
      <c r="P213" s="5" t="str">
        <f>VLOOKUP(E213,Pressures!$A$2:$B$145,2,FALSE)</f>
        <v>Enhanced buffering capacity of a water body; a measure of the ability of the water body to neutralize acids and bases and thus maintain a fairly stable pH level.</v>
      </c>
      <c r="W213" s="32">
        <v>112112</v>
      </c>
      <c r="Y213" s="32">
        <v>124124</v>
      </c>
      <c r="AU213" s="31">
        <v>11</v>
      </c>
      <c r="AV213" s="31">
        <v>22</v>
      </c>
      <c r="AW213" s="5">
        <v>-1</v>
      </c>
      <c r="AX213" s="5">
        <v>0</v>
      </c>
      <c r="AZ213" s="5">
        <v>1</v>
      </c>
      <c r="BA213" s="5">
        <v>2</v>
      </c>
      <c r="BB213" s="5">
        <v>3</v>
      </c>
      <c r="BD213" s="7">
        <v>111111</v>
      </c>
      <c r="BZ213" s="28"/>
      <c r="CA213" s="28"/>
      <c r="CB213" s="45">
        <v>1012</v>
      </c>
      <c r="CC213" s="45">
        <v>1013</v>
      </c>
      <c r="CD213" s="45">
        <v>1015</v>
      </c>
      <c r="CE213" s="45">
        <v>1016</v>
      </c>
      <c r="CF213" s="45">
        <v>1213</v>
      </c>
      <c r="CG213" s="45">
        <v>1215</v>
      </c>
      <c r="CH213" s="46">
        <v>1216</v>
      </c>
      <c r="CI213" s="46">
        <v>1315</v>
      </c>
      <c r="CJ213" s="46">
        <v>1316</v>
      </c>
      <c r="CK213" s="46">
        <v>1516</v>
      </c>
      <c r="CL213" s="46">
        <v>1010</v>
      </c>
      <c r="CM213" s="46">
        <v>1212</v>
      </c>
      <c r="CN213" s="46">
        <v>1313</v>
      </c>
      <c r="CO213" s="46">
        <v>1515</v>
      </c>
      <c r="CP213" s="46">
        <v>1616</v>
      </c>
      <c r="CQ213" s="45">
        <v>1615</v>
      </c>
      <c r="CR213" s="45">
        <v>1613</v>
      </c>
      <c r="CS213" s="45">
        <v>1612</v>
      </c>
      <c r="CT213" s="45">
        <v>1610</v>
      </c>
      <c r="CU213" s="45">
        <v>1513</v>
      </c>
      <c r="CV213" s="45">
        <v>1512</v>
      </c>
      <c r="CW213" s="45">
        <v>1510</v>
      </c>
      <c r="CX213" s="45">
        <v>1312</v>
      </c>
      <c r="CY213" s="45">
        <v>1310</v>
      </c>
      <c r="DK213" s="8"/>
      <c r="DL213" s="8"/>
      <c r="DM213" s="8"/>
      <c r="DN213" s="8"/>
      <c r="DO213" s="50"/>
      <c r="DP213" s="50"/>
      <c r="DQ213" s="50"/>
      <c r="DR213" s="50"/>
      <c r="DS213" s="50"/>
      <c r="DT213" s="50"/>
      <c r="DU213" s="50"/>
      <c r="DV213" s="50"/>
      <c r="DW213" s="50"/>
      <c r="DX213" s="50"/>
      <c r="DY213" s="50"/>
      <c r="DZ213" s="50"/>
      <c r="EA213" s="50"/>
      <c r="EB213" s="50"/>
      <c r="EC213" s="50"/>
      <c r="ED213" s="50"/>
      <c r="EE213" s="50"/>
      <c r="EF213" s="50"/>
      <c r="EG213" s="50"/>
      <c r="EH213" s="50"/>
      <c r="EI213" s="50"/>
      <c r="EJ213" s="50"/>
      <c r="EK213" s="50"/>
      <c r="EL213" s="50"/>
      <c r="EM213" s="50"/>
      <c r="EN213" s="50"/>
      <c r="EO213" s="50"/>
      <c r="EP213" s="50">
        <v>1</v>
      </c>
      <c r="EQ213" s="50"/>
      <c r="ER213" s="50">
        <v>1</v>
      </c>
      <c r="ET213" s="55">
        <f t="shared" si="11"/>
        <v>2</v>
      </c>
    </row>
    <row r="214" spans="1:150" s="5" customFormat="1" ht="16" customHeight="1" x14ac:dyDescent="0.2">
      <c r="A214" s="5">
        <v>70</v>
      </c>
      <c r="B214" s="8" t="s">
        <v>470</v>
      </c>
      <c r="C214" s="8" t="s">
        <v>501</v>
      </c>
      <c r="D214" s="5">
        <v>62</v>
      </c>
      <c r="E214" s="5" t="s">
        <v>502</v>
      </c>
      <c r="F214" s="21" t="s">
        <v>503</v>
      </c>
      <c r="G214" s="21">
        <v>213</v>
      </c>
      <c r="H214" s="5">
        <f t="shared" si="9"/>
        <v>70062</v>
      </c>
      <c r="I214" t="s">
        <v>1234</v>
      </c>
      <c r="J214">
        <v>173</v>
      </c>
      <c r="K214">
        <v>255</v>
      </c>
      <c r="L214">
        <v>47</v>
      </c>
      <c r="M214" s="6">
        <v>255</v>
      </c>
      <c r="N214" s="6" t="str">
        <f t="shared" si="10"/>
        <v>213: (173, 255, 47, 255, Vegetation species change (increased nutrient supply in soil): 70062),</v>
      </c>
      <c r="O214" s="5" t="str">
        <f>VLOOKUP(Australia!B214,Impacts!$A$2:$B$80,2, FALSE)</f>
        <v>Changes in the floristic and or structural composition of vegetation in an area.</v>
      </c>
      <c r="P214" s="5" t="str">
        <f>VLOOKUP(E214,Pressures!$A$2:$B$145,2,FALSE)</f>
        <v>Increased availability of soil nutrients needed for plants to grow or maintain physiological function and potentially influencing vegetation composition.</v>
      </c>
      <c r="W214" s="32">
        <v>112112</v>
      </c>
      <c r="Y214" s="32">
        <v>124124</v>
      </c>
      <c r="AU214" s="31">
        <v>11</v>
      </c>
      <c r="AV214" s="31">
        <v>22</v>
      </c>
      <c r="AW214" s="5">
        <v>-1</v>
      </c>
      <c r="AX214" s="5">
        <v>0</v>
      </c>
      <c r="AZ214" s="5">
        <v>1</v>
      </c>
      <c r="BA214" s="5">
        <v>2</v>
      </c>
      <c r="BB214" s="5">
        <v>3</v>
      </c>
      <c r="BE214" s="7">
        <v>112112</v>
      </c>
      <c r="BV214" s="5">
        <v>22</v>
      </c>
      <c r="BX214" s="5" t="s">
        <v>716</v>
      </c>
      <c r="BY214" s="5" t="s">
        <v>718</v>
      </c>
      <c r="BZ214" s="28"/>
      <c r="CA214" s="28"/>
      <c r="CB214" s="45">
        <v>1012</v>
      </c>
      <c r="CC214" s="45">
        <v>1013</v>
      </c>
      <c r="CD214" s="45">
        <v>1015</v>
      </c>
      <c r="CE214" s="45">
        <v>1016</v>
      </c>
      <c r="CF214" s="45">
        <v>1213</v>
      </c>
      <c r="CG214" s="45">
        <v>1215</v>
      </c>
      <c r="CH214" s="46">
        <v>1216</v>
      </c>
      <c r="CI214" s="46">
        <v>1315</v>
      </c>
      <c r="CJ214" s="46">
        <v>1316</v>
      </c>
      <c r="CK214" s="46">
        <v>1516</v>
      </c>
      <c r="CL214" s="46">
        <v>1010</v>
      </c>
      <c r="CM214" s="46">
        <v>1212</v>
      </c>
      <c r="CN214" s="46">
        <v>1313</v>
      </c>
      <c r="CO214" s="46">
        <v>1515</v>
      </c>
      <c r="CP214" s="46">
        <v>1616</v>
      </c>
      <c r="CQ214" s="45">
        <v>1615</v>
      </c>
      <c r="CR214" s="45">
        <v>1613</v>
      </c>
      <c r="CS214" s="45">
        <v>1612</v>
      </c>
      <c r="CT214" s="45">
        <v>1610</v>
      </c>
      <c r="CU214" s="45">
        <v>1513</v>
      </c>
      <c r="CV214" s="45">
        <v>1512</v>
      </c>
      <c r="CW214" s="45">
        <v>1510</v>
      </c>
      <c r="CX214" s="45">
        <v>1312</v>
      </c>
      <c r="CY214" s="45">
        <v>1310</v>
      </c>
      <c r="DK214" s="8"/>
      <c r="DL214" s="8"/>
      <c r="DM214" s="8"/>
      <c r="DN214" s="8"/>
      <c r="DO214" s="50"/>
      <c r="DP214" s="50"/>
      <c r="DQ214" s="50"/>
      <c r="DR214" s="50"/>
      <c r="DS214" s="50"/>
      <c r="DT214" s="50"/>
      <c r="DU214" s="50"/>
      <c r="DV214" s="50"/>
      <c r="DW214" s="50"/>
      <c r="DX214" s="50"/>
      <c r="DY214" s="50"/>
      <c r="DZ214" s="50"/>
      <c r="EA214" s="50"/>
      <c r="EB214" s="50"/>
      <c r="EC214" s="50"/>
      <c r="ED214" s="50"/>
      <c r="EE214" s="50"/>
      <c r="EF214" s="50"/>
      <c r="EG214" s="50"/>
      <c r="EH214" s="50"/>
      <c r="EI214" s="50"/>
      <c r="EJ214" s="50"/>
      <c r="EK214" s="50"/>
      <c r="EL214" s="50"/>
      <c r="EM214" s="50"/>
      <c r="EN214" s="50"/>
      <c r="EO214" s="50"/>
      <c r="EP214" s="50">
        <v>1</v>
      </c>
      <c r="EQ214" s="50"/>
      <c r="ER214" s="50"/>
      <c r="ET214" s="55">
        <f t="shared" si="11"/>
        <v>1</v>
      </c>
    </row>
    <row r="215" spans="1:150" s="5" customFormat="1" ht="16" customHeight="1" x14ac:dyDescent="0.2">
      <c r="A215" s="5">
        <v>70</v>
      </c>
      <c r="B215" s="8" t="s">
        <v>470</v>
      </c>
      <c r="C215" s="8" t="s">
        <v>504</v>
      </c>
      <c r="D215" s="5">
        <v>70</v>
      </c>
      <c r="E215" s="5" t="s">
        <v>505</v>
      </c>
      <c r="F215" s="21" t="s">
        <v>506</v>
      </c>
      <c r="G215" s="21">
        <v>214</v>
      </c>
      <c r="H215" s="5">
        <f t="shared" si="9"/>
        <v>70070</v>
      </c>
      <c r="I215" t="s">
        <v>1235</v>
      </c>
      <c r="J215">
        <v>128</v>
      </c>
      <c r="K215">
        <v>0</v>
      </c>
      <c r="L215">
        <v>32</v>
      </c>
      <c r="M215" s="6">
        <v>255</v>
      </c>
      <c r="N215" s="6" t="str">
        <f t="shared" si="10"/>
        <v>214: (128, 0, 32, 255, Vegetation species change (invasive/exotic species): 70070),</v>
      </c>
      <c r="O215" s="5" t="str">
        <f>VLOOKUP(Australia!B215,Impacts!$A$2:$B$80,2, FALSE)</f>
        <v>Changes in the floristic and or structural composition of vegetation in an area.</v>
      </c>
      <c r="P215" s="5" t="str">
        <f>VLOOKUP(E215,Pressures!$A$2:$B$145,2,FALSE)</f>
        <v>A plant or animal that has been introduced into a region (terrestrial or aquatic) in which it does not naturally occur.</v>
      </c>
      <c r="W215" s="32">
        <v>112112</v>
      </c>
      <c r="Y215" s="32">
        <v>124124</v>
      </c>
      <c r="AU215" s="31">
        <v>11</v>
      </c>
      <c r="AV215" s="31">
        <v>22</v>
      </c>
      <c r="AW215" s="5">
        <v>-1</v>
      </c>
      <c r="AX215" s="5">
        <v>11</v>
      </c>
      <c r="AZ215" s="5">
        <v>1</v>
      </c>
      <c r="BA215" s="5">
        <v>2</v>
      </c>
      <c r="BB215" s="5">
        <v>3</v>
      </c>
      <c r="BL215" s="7">
        <v>220220</v>
      </c>
      <c r="BZ215" s="31">
        <v>12</v>
      </c>
      <c r="CA215" s="31">
        <v>21</v>
      </c>
      <c r="CB215" s="45">
        <v>1012</v>
      </c>
      <c r="CC215" s="45">
        <v>1013</v>
      </c>
      <c r="CD215" s="45">
        <v>1015</v>
      </c>
      <c r="CE215" s="45">
        <v>1016</v>
      </c>
      <c r="CF215" s="45">
        <v>1213</v>
      </c>
      <c r="CG215" s="45">
        <v>1215</v>
      </c>
      <c r="CH215" s="46">
        <v>1216</v>
      </c>
      <c r="CI215" s="46">
        <v>1315</v>
      </c>
      <c r="CJ215" s="46">
        <v>1316</v>
      </c>
      <c r="CK215" s="46">
        <v>1516</v>
      </c>
      <c r="CL215" s="46">
        <v>1010</v>
      </c>
      <c r="CM215" s="46">
        <v>1212</v>
      </c>
      <c r="CN215" s="46">
        <v>1313</v>
      </c>
      <c r="CO215" s="46">
        <v>1515</v>
      </c>
      <c r="CP215" s="46">
        <v>1616</v>
      </c>
      <c r="CQ215" s="45">
        <v>1615</v>
      </c>
      <c r="CR215" s="45">
        <v>1613</v>
      </c>
      <c r="CS215" s="45">
        <v>1612</v>
      </c>
      <c r="CT215" s="45">
        <v>1610</v>
      </c>
      <c r="CU215" s="45">
        <v>1513</v>
      </c>
      <c r="CV215" s="45">
        <v>1512</v>
      </c>
      <c r="CW215" s="45">
        <v>1510</v>
      </c>
      <c r="CX215" s="45">
        <v>1312</v>
      </c>
      <c r="CY215" s="45">
        <v>1310</v>
      </c>
      <c r="DK215" s="8"/>
      <c r="DL215" s="8"/>
      <c r="DM215" s="8"/>
      <c r="DN215" s="8"/>
      <c r="DO215" s="50"/>
      <c r="DP215" s="50"/>
      <c r="DQ215" s="50"/>
      <c r="DR215" s="50"/>
      <c r="DS215" s="50"/>
      <c r="DT215" s="50"/>
      <c r="DU215" s="50"/>
      <c r="DV215" s="50"/>
      <c r="DW215" s="50"/>
      <c r="DX215" s="50"/>
      <c r="DY215" s="50"/>
      <c r="DZ215" s="50"/>
      <c r="EA215" s="50"/>
      <c r="EB215" s="50"/>
      <c r="EC215" s="50"/>
      <c r="ED215" s="50"/>
      <c r="EE215" s="50"/>
      <c r="EF215" s="50"/>
      <c r="EG215" s="50"/>
      <c r="EH215" s="50"/>
      <c r="EI215" s="50">
        <v>1</v>
      </c>
      <c r="EJ215" s="50"/>
      <c r="EK215" s="50"/>
      <c r="EL215" s="50"/>
      <c r="EM215" s="50"/>
      <c r="EN215" s="50"/>
      <c r="EO215" s="50">
        <v>1</v>
      </c>
      <c r="EP215" s="50"/>
      <c r="EQ215" s="50"/>
      <c r="ER215" s="50"/>
      <c r="ET215" s="55">
        <f t="shared" si="11"/>
        <v>2</v>
      </c>
    </row>
    <row r="216" spans="1:150" s="5" customFormat="1" ht="16" customHeight="1" x14ac:dyDescent="0.2">
      <c r="A216" s="5">
        <v>70</v>
      </c>
      <c r="B216" s="8" t="s">
        <v>470</v>
      </c>
      <c r="C216" s="8" t="s">
        <v>58</v>
      </c>
      <c r="D216" s="5">
        <v>86</v>
      </c>
      <c r="E216" s="5" t="s">
        <v>59</v>
      </c>
      <c r="F216" s="21" t="s">
        <v>508</v>
      </c>
      <c r="G216" s="21">
        <v>215</v>
      </c>
      <c r="H216" s="5">
        <f t="shared" si="9"/>
        <v>70086</v>
      </c>
      <c r="I216" t="s">
        <v>1236</v>
      </c>
      <c r="J216">
        <v>255</v>
      </c>
      <c r="K216">
        <v>192</v>
      </c>
      <c r="L216">
        <v>203</v>
      </c>
      <c r="M216" s="6">
        <v>255</v>
      </c>
      <c r="N216" s="6" t="str">
        <f t="shared" si="10"/>
        <v>215: (255, 192, 203, 255, Vegetation species change (overgrazing (natural)): 70086),</v>
      </c>
      <c r="O216" s="5" t="str">
        <f>VLOOKUP(Australia!B216,Impacts!$A$2:$B$80,2, FALSE)</f>
        <v>Changes in the floristic and or structural composition of vegetation in an area.</v>
      </c>
      <c r="P216" s="5" t="str">
        <f>VLOOKUP(E216,Pressures!$A$2:$B$145,2,FALSE)</f>
        <v>Excessive grazing by natural animal populations without sufficient rest, resulting in declines in the biomass or health of vegetation.</v>
      </c>
      <c r="W216" s="32">
        <v>112112</v>
      </c>
      <c r="Y216" s="32">
        <v>124124</v>
      </c>
      <c r="AU216" s="31">
        <v>11</v>
      </c>
      <c r="AV216" s="31">
        <v>22</v>
      </c>
      <c r="AW216" s="5">
        <v>-1</v>
      </c>
      <c r="AX216" s="5">
        <v>11</v>
      </c>
      <c r="AZ216" s="5">
        <v>1</v>
      </c>
      <c r="BA216" s="5">
        <v>2</v>
      </c>
      <c r="BB216" s="5">
        <v>3</v>
      </c>
      <c r="BL216" s="7">
        <v>220220</v>
      </c>
      <c r="BZ216" s="31">
        <v>12</v>
      </c>
      <c r="CA216" s="28"/>
      <c r="CB216" s="45">
        <v>1012</v>
      </c>
      <c r="CC216" s="45">
        <v>1013</v>
      </c>
      <c r="CD216" s="45">
        <v>1015</v>
      </c>
      <c r="CE216" s="45">
        <v>1016</v>
      </c>
      <c r="CF216" s="45">
        <v>1213</v>
      </c>
      <c r="CG216" s="45">
        <v>1215</v>
      </c>
      <c r="CH216" s="46">
        <v>1216</v>
      </c>
      <c r="CI216" s="46">
        <v>1315</v>
      </c>
      <c r="CJ216" s="46">
        <v>1316</v>
      </c>
      <c r="CK216" s="46">
        <v>1516</v>
      </c>
      <c r="CL216" s="46">
        <v>1010</v>
      </c>
      <c r="CM216" s="46">
        <v>1212</v>
      </c>
      <c r="CN216" s="46">
        <v>1313</v>
      </c>
      <c r="CO216" s="46">
        <v>1515</v>
      </c>
      <c r="CP216" s="46">
        <v>1616</v>
      </c>
      <c r="CQ216" s="45">
        <v>1615</v>
      </c>
      <c r="CR216" s="45">
        <v>1613</v>
      </c>
      <c r="CS216" s="45">
        <v>1612</v>
      </c>
      <c r="CT216" s="45">
        <v>1610</v>
      </c>
      <c r="CU216" s="45">
        <v>1513</v>
      </c>
      <c r="CV216" s="45">
        <v>1512</v>
      </c>
      <c r="CW216" s="45">
        <v>1510</v>
      </c>
      <c r="CX216" s="45">
        <v>1312</v>
      </c>
      <c r="CY216" s="45">
        <v>1310</v>
      </c>
      <c r="DK216" s="8"/>
      <c r="DL216" s="8"/>
      <c r="DM216" s="8"/>
      <c r="DN216" s="8"/>
      <c r="DO216" s="50"/>
      <c r="DP216" s="50"/>
      <c r="DQ216" s="50"/>
      <c r="DR216" s="50"/>
      <c r="DS216" s="50"/>
      <c r="DT216" s="50"/>
      <c r="DU216" s="50"/>
      <c r="DV216" s="50"/>
      <c r="DW216" s="50"/>
      <c r="DX216" s="50"/>
      <c r="DY216" s="50"/>
      <c r="DZ216" s="50"/>
      <c r="EA216" s="50"/>
      <c r="EB216" s="50"/>
      <c r="EC216" s="50"/>
      <c r="ED216" s="50"/>
      <c r="EE216" s="50"/>
      <c r="EF216" s="50"/>
      <c r="EG216" s="50"/>
      <c r="EH216" s="50"/>
      <c r="EI216" s="50">
        <v>1</v>
      </c>
      <c r="EJ216" s="50"/>
      <c r="EK216" s="50"/>
      <c r="EL216" s="50"/>
      <c r="EM216" s="50"/>
      <c r="EN216" s="50"/>
      <c r="EO216" s="50"/>
      <c r="EP216" s="50"/>
      <c r="EQ216" s="50"/>
      <c r="ER216" s="50"/>
      <c r="ET216" s="55">
        <f t="shared" si="11"/>
        <v>1</v>
      </c>
    </row>
    <row r="217" spans="1:150" s="5" customFormat="1" ht="16" customHeight="1" x14ac:dyDescent="0.2">
      <c r="A217" s="5">
        <v>70</v>
      </c>
      <c r="B217" s="8" t="s">
        <v>470</v>
      </c>
      <c r="C217" s="8" t="s">
        <v>55</v>
      </c>
      <c r="D217" s="5">
        <v>87</v>
      </c>
      <c r="E217" s="5" t="s">
        <v>56</v>
      </c>
      <c r="F217" s="21" t="s">
        <v>507</v>
      </c>
      <c r="G217" s="21">
        <v>216</v>
      </c>
      <c r="H217" s="5">
        <f t="shared" si="9"/>
        <v>70087</v>
      </c>
      <c r="I217" t="s">
        <v>1237</v>
      </c>
      <c r="J217">
        <v>250</v>
      </c>
      <c r="K217">
        <v>128</v>
      </c>
      <c r="L217">
        <v>114</v>
      </c>
      <c r="M217" s="6">
        <v>255</v>
      </c>
      <c r="N217" s="6" t="str">
        <f t="shared" si="10"/>
        <v>216: (250, 128, 114, 255, Vegetation species change (overgrazing (stock)): 70087),</v>
      </c>
      <c r="O217" s="5" t="str">
        <f>VLOOKUP(Australia!B217,Impacts!$A$2:$B$80,2, FALSE)</f>
        <v>Changes in the floristic and or structural composition of vegetation in an area.</v>
      </c>
      <c r="P217" s="5" t="str">
        <f>VLOOKUP(E217,Pressures!$A$2:$B$145,2,FALSE)</f>
        <v>Excessive grazing by domesticated stock without sufficient rest, resulting in declines in the biomass or health of vegetation.</v>
      </c>
      <c r="W217" s="32">
        <v>112112</v>
      </c>
      <c r="Y217" s="32">
        <v>124124</v>
      </c>
      <c r="AU217" s="31">
        <v>11</v>
      </c>
      <c r="AV217" s="31">
        <v>22</v>
      </c>
      <c r="AW217" s="5">
        <v>-1</v>
      </c>
      <c r="AX217" s="5">
        <v>11</v>
      </c>
      <c r="AZ217" s="5">
        <v>1</v>
      </c>
      <c r="BA217" s="5">
        <v>2</v>
      </c>
      <c r="BB217" s="5">
        <v>3</v>
      </c>
      <c r="BL217" s="7">
        <v>220220</v>
      </c>
      <c r="BZ217" s="31">
        <v>12</v>
      </c>
      <c r="CA217" s="28"/>
      <c r="CB217" s="45">
        <v>1012</v>
      </c>
      <c r="CC217" s="45">
        <v>1013</v>
      </c>
      <c r="CD217" s="45">
        <v>1015</v>
      </c>
      <c r="CE217" s="45">
        <v>1016</v>
      </c>
      <c r="CF217" s="45">
        <v>1213</v>
      </c>
      <c r="CG217" s="45">
        <v>1215</v>
      </c>
      <c r="CH217" s="46">
        <v>1216</v>
      </c>
      <c r="CI217" s="46">
        <v>1315</v>
      </c>
      <c r="CJ217" s="46">
        <v>1316</v>
      </c>
      <c r="CK217" s="46">
        <v>1516</v>
      </c>
      <c r="CL217" s="46">
        <v>1010</v>
      </c>
      <c r="CM217" s="46">
        <v>1212</v>
      </c>
      <c r="CN217" s="46">
        <v>1313</v>
      </c>
      <c r="CO217" s="46">
        <v>1515</v>
      </c>
      <c r="CP217" s="46">
        <v>1616</v>
      </c>
      <c r="CQ217" s="45">
        <v>1615</v>
      </c>
      <c r="CR217" s="45">
        <v>1613</v>
      </c>
      <c r="CS217" s="45">
        <v>1612</v>
      </c>
      <c r="CT217" s="45">
        <v>1610</v>
      </c>
      <c r="CU217" s="45">
        <v>1513</v>
      </c>
      <c r="CV217" s="45">
        <v>1512</v>
      </c>
      <c r="CW217" s="45">
        <v>1510</v>
      </c>
      <c r="CX217" s="45">
        <v>1312</v>
      </c>
      <c r="CY217" s="45">
        <v>1310</v>
      </c>
      <c r="DK217" s="8"/>
      <c r="DL217" s="8"/>
      <c r="DM217" s="8"/>
      <c r="DN217" s="8"/>
      <c r="DO217" s="50"/>
      <c r="DP217" s="50"/>
      <c r="DQ217" s="50"/>
      <c r="DR217" s="50"/>
      <c r="DS217" s="50"/>
      <c r="DT217" s="50"/>
      <c r="DU217" s="50"/>
      <c r="DV217" s="50"/>
      <c r="DW217" s="50"/>
      <c r="DX217" s="50"/>
      <c r="DY217" s="50"/>
      <c r="DZ217" s="50"/>
      <c r="EA217" s="50"/>
      <c r="EB217" s="50"/>
      <c r="EC217" s="50"/>
      <c r="ED217" s="50"/>
      <c r="EE217" s="50"/>
      <c r="EF217" s="50"/>
      <c r="EG217" s="50"/>
      <c r="EH217" s="50"/>
      <c r="EI217" s="50"/>
      <c r="EJ217" s="50">
        <v>1</v>
      </c>
      <c r="EK217" s="50"/>
      <c r="EL217" s="50"/>
      <c r="EM217" s="50"/>
      <c r="EN217" s="50"/>
      <c r="EO217" s="50"/>
      <c r="EP217" s="50"/>
      <c r="EQ217" s="50"/>
      <c r="ER217" s="50"/>
      <c r="ET217" s="55">
        <f t="shared" si="11"/>
        <v>1</v>
      </c>
    </row>
    <row r="218" spans="1:150" s="5" customFormat="1" ht="16" customHeight="1" x14ac:dyDescent="0.2">
      <c r="A218" s="5">
        <v>70</v>
      </c>
      <c r="B218" s="8" t="s">
        <v>470</v>
      </c>
      <c r="C218" s="8" t="s">
        <v>66</v>
      </c>
      <c r="D218" s="5">
        <v>88</v>
      </c>
      <c r="E218" s="5" t="s">
        <v>67</v>
      </c>
      <c r="F218" s="21" t="s">
        <v>509</v>
      </c>
      <c r="G218" s="21">
        <v>217</v>
      </c>
      <c r="H218" s="5">
        <f t="shared" si="9"/>
        <v>70088</v>
      </c>
      <c r="I218" t="s">
        <v>1238</v>
      </c>
      <c r="J218">
        <v>255</v>
      </c>
      <c r="K218">
        <v>255</v>
      </c>
      <c r="L218">
        <v>240</v>
      </c>
      <c r="M218" s="6">
        <v>255</v>
      </c>
      <c r="N218" s="6" t="str">
        <f t="shared" si="10"/>
        <v>217: (255, 255, 240, 255, Vegetation species change (pathogens): 70088),</v>
      </c>
      <c r="O218" s="5" t="str">
        <f>VLOOKUP(Australia!B218,Impacts!$A$2:$B$80,2, FALSE)</f>
        <v>Changes in the floristic and or structural composition of vegetation in an area.</v>
      </c>
      <c r="P218" s="5" t="str">
        <f>VLOOKUP(E218,Pressures!$A$2:$B$145,2,FALSE)</f>
        <v>Any small organism, such as a virus or a bacterium that can cause disease.</v>
      </c>
      <c r="W218" s="32">
        <v>112112</v>
      </c>
      <c r="Y218" s="32">
        <v>124124</v>
      </c>
      <c r="AU218" s="31">
        <v>11</v>
      </c>
      <c r="AV218" s="31">
        <v>22</v>
      </c>
      <c r="AW218" s="5">
        <v>-1</v>
      </c>
      <c r="AX218" s="5">
        <v>11</v>
      </c>
      <c r="AZ218" s="5">
        <v>1</v>
      </c>
      <c r="BA218" s="5">
        <v>2</v>
      </c>
      <c r="BB218" s="5">
        <v>3</v>
      </c>
      <c r="BL218" s="7">
        <v>220220</v>
      </c>
      <c r="BZ218" s="28"/>
      <c r="CA218" s="28"/>
      <c r="CB218" s="45">
        <v>1012</v>
      </c>
      <c r="CC218" s="45">
        <v>1013</v>
      </c>
      <c r="CD218" s="45">
        <v>1015</v>
      </c>
      <c r="CE218" s="45">
        <v>1016</v>
      </c>
      <c r="CF218" s="45">
        <v>1213</v>
      </c>
      <c r="CG218" s="45">
        <v>1215</v>
      </c>
      <c r="CH218" s="46">
        <v>1216</v>
      </c>
      <c r="CI218" s="46">
        <v>1315</v>
      </c>
      <c r="CJ218" s="46">
        <v>1316</v>
      </c>
      <c r="CK218" s="46">
        <v>1516</v>
      </c>
      <c r="CL218" s="46">
        <v>1010</v>
      </c>
      <c r="CM218" s="46">
        <v>1212</v>
      </c>
      <c r="CN218" s="46">
        <v>1313</v>
      </c>
      <c r="CO218" s="46">
        <v>1515</v>
      </c>
      <c r="CP218" s="46">
        <v>1616</v>
      </c>
      <c r="CQ218" s="45">
        <v>1615</v>
      </c>
      <c r="CR218" s="45">
        <v>1613</v>
      </c>
      <c r="CS218" s="45">
        <v>1612</v>
      </c>
      <c r="CT218" s="45">
        <v>1610</v>
      </c>
      <c r="CU218" s="45">
        <v>1513</v>
      </c>
      <c r="CV218" s="45">
        <v>1512</v>
      </c>
      <c r="CW218" s="45">
        <v>1510</v>
      </c>
      <c r="CX218" s="45">
        <v>1312</v>
      </c>
      <c r="CY218" s="45">
        <v>1310</v>
      </c>
      <c r="DK218" s="8"/>
      <c r="DL218" s="8"/>
      <c r="DM218" s="8"/>
      <c r="DN218" s="8"/>
      <c r="DO218" s="50"/>
      <c r="DP218" s="50"/>
      <c r="DQ218" s="50"/>
      <c r="DR218" s="50"/>
      <c r="DS218" s="50"/>
      <c r="DT218" s="50"/>
      <c r="DU218" s="50"/>
      <c r="DV218" s="50"/>
      <c r="DW218" s="50"/>
      <c r="DX218" s="50"/>
      <c r="DY218" s="50"/>
      <c r="DZ218" s="50"/>
      <c r="EA218" s="50"/>
      <c r="EB218" s="50"/>
      <c r="EC218" s="50"/>
      <c r="ED218" s="50"/>
      <c r="EE218" s="50"/>
      <c r="EF218" s="50"/>
      <c r="EG218" s="50"/>
      <c r="EH218" s="50"/>
      <c r="EI218" s="50">
        <v>1</v>
      </c>
      <c r="EJ218" s="50"/>
      <c r="EK218" s="50"/>
      <c r="EL218" s="50"/>
      <c r="EM218" s="50"/>
      <c r="EN218" s="50"/>
      <c r="EO218" s="50">
        <v>1</v>
      </c>
      <c r="EP218" s="50"/>
      <c r="EQ218" s="50"/>
      <c r="ER218" s="50"/>
      <c r="ET218" s="55">
        <f t="shared" si="11"/>
        <v>2</v>
      </c>
    </row>
    <row r="219" spans="1:150" s="5" customFormat="1" ht="16" customHeight="1" x14ac:dyDescent="0.2">
      <c r="A219" s="5">
        <v>70</v>
      </c>
      <c r="B219" s="8" t="s">
        <v>470</v>
      </c>
      <c r="C219" s="8" t="s">
        <v>494</v>
      </c>
      <c r="D219" s="5">
        <v>89</v>
      </c>
      <c r="E219" s="5" t="s">
        <v>495</v>
      </c>
      <c r="F219" s="21" t="s">
        <v>496</v>
      </c>
      <c r="G219" s="21">
        <v>218</v>
      </c>
      <c r="H219" s="5">
        <f t="shared" si="9"/>
        <v>70089</v>
      </c>
      <c r="I219" t="s">
        <v>1239</v>
      </c>
      <c r="J219">
        <v>255</v>
      </c>
      <c r="K219">
        <v>248</v>
      </c>
      <c r="L219">
        <v>220</v>
      </c>
      <c r="M219" s="6">
        <v>255</v>
      </c>
      <c r="N219" s="6" t="str">
        <f t="shared" si="10"/>
        <v>218: (255, 248, 220, 255, Vegetation species change (pesticide application): 70089),</v>
      </c>
      <c r="O219" s="5" t="str">
        <f>VLOOKUP(Australia!B219,Impacts!$A$2:$B$80,2, FALSE)</f>
        <v>Changes in the floristic and or structural composition of vegetation in an area.</v>
      </c>
      <c r="P219" s="5" t="str">
        <f>VLOOKUP(E219,Pressures!$A$2:$B$145,2,FALSE)</f>
        <v>Use of a substance that is intended to kill, repel or otherwise control any organism that is designated a “pest”.</v>
      </c>
      <c r="W219" s="32">
        <v>112112</v>
      </c>
      <c r="Y219" s="32">
        <v>124124</v>
      </c>
      <c r="AU219" s="31">
        <v>11</v>
      </c>
      <c r="AV219" s="31">
        <v>22</v>
      </c>
      <c r="AW219" s="5">
        <v>-1</v>
      </c>
      <c r="AX219" s="5">
        <v>11</v>
      </c>
      <c r="AZ219" s="5">
        <v>1</v>
      </c>
      <c r="BA219" s="5">
        <v>2</v>
      </c>
      <c r="BB219" s="5">
        <v>3</v>
      </c>
      <c r="BL219" s="7">
        <v>220220</v>
      </c>
      <c r="BZ219" s="28"/>
      <c r="CA219" s="28"/>
      <c r="CB219" s="45">
        <v>1012</v>
      </c>
      <c r="CC219" s="45">
        <v>1013</v>
      </c>
      <c r="CD219" s="45">
        <v>1015</v>
      </c>
      <c r="CE219" s="45">
        <v>1016</v>
      </c>
      <c r="CF219" s="45">
        <v>1213</v>
      </c>
      <c r="CG219" s="45">
        <v>1215</v>
      </c>
      <c r="CH219" s="46">
        <v>1216</v>
      </c>
      <c r="CI219" s="46">
        <v>1315</v>
      </c>
      <c r="CJ219" s="46">
        <v>1316</v>
      </c>
      <c r="CK219" s="46">
        <v>1516</v>
      </c>
      <c r="CL219" s="46">
        <v>1010</v>
      </c>
      <c r="CM219" s="46">
        <v>1212</v>
      </c>
      <c r="CN219" s="46">
        <v>1313</v>
      </c>
      <c r="CO219" s="46">
        <v>1515</v>
      </c>
      <c r="CP219" s="46">
        <v>1616</v>
      </c>
      <c r="CQ219" s="45">
        <v>1615</v>
      </c>
      <c r="CR219" s="45">
        <v>1613</v>
      </c>
      <c r="CS219" s="45">
        <v>1612</v>
      </c>
      <c r="CT219" s="45">
        <v>1610</v>
      </c>
      <c r="CU219" s="45">
        <v>1513</v>
      </c>
      <c r="CV219" s="45">
        <v>1512</v>
      </c>
      <c r="CW219" s="45">
        <v>1510</v>
      </c>
      <c r="CX219" s="45">
        <v>1312</v>
      </c>
      <c r="CY219" s="45">
        <v>1310</v>
      </c>
      <c r="DK219" s="8"/>
      <c r="DL219" s="8"/>
      <c r="DM219" s="8"/>
      <c r="DN219" s="8"/>
      <c r="DO219" s="50"/>
      <c r="DP219" s="50"/>
      <c r="DQ219" s="50"/>
      <c r="DR219" s="50"/>
      <c r="DS219" s="50"/>
      <c r="DT219" s="50"/>
      <c r="DU219" s="50"/>
      <c r="DV219" s="50"/>
      <c r="DW219" s="50"/>
      <c r="DX219" s="50"/>
      <c r="DY219" s="50"/>
      <c r="DZ219" s="50"/>
      <c r="EA219" s="50"/>
      <c r="EB219" s="50"/>
      <c r="EC219" s="50"/>
      <c r="ED219" s="50"/>
      <c r="EE219" s="50"/>
      <c r="EF219" s="50"/>
      <c r="EG219" s="50"/>
      <c r="EH219" s="50"/>
      <c r="EI219" s="50"/>
      <c r="EJ219" s="50"/>
      <c r="EK219" s="50"/>
      <c r="EL219" s="50"/>
      <c r="EM219" s="50"/>
      <c r="EN219" s="50">
        <v>1</v>
      </c>
      <c r="EO219" s="50"/>
      <c r="EP219" s="50"/>
      <c r="EQ219" s="50"/>
      <c r="ER219" s="50"/>
      <c r="ET219" s="55">
        <f t="shared" si="11"/>
        <v>1</v>
      </c>
    </row>
    <row r="220" spans="1:150" s="5" customFormat="1" ht="16" customHeight="1" x14ac:dyDescent="0.2">
      <c r="A220" s="5">
        <v>70</v>
      </c>
      <c r="B220" s="8" t="s">
        <v>470</v>
      </c>
      <c r="C220" s="8" t="s">
        <v>335</v>
      </c>
      <c r="D220" s="5">
        <v>92</v>
      </c>
      <c r="E220" s="5" t="s">
        <v>336</v>
      </c>
      <c r="F220" s="21" t="s">
        <v>521</v>
      </c>
      <c r="G220" s="21">
        <v>219</v>
      </c>
      <c r="H220" s="5">
        <f t="shared" si="9"/>
        <v>70092</v>
      </c>
      <c r="I220" t="s">
        <v>1240</v>
      </c>
      <c r="J220">
        <v>203</v>
      </c>
      <c r="K220">
        <v>65</v>
      </c>
      <c r="L220">
        <v>84</v>
      </c>
      <c r="M220" s="6">
        <v>255</v>
      </c>
      <c r="N220" s="6" t="str">
        <f t="shared" si="10"/>
        <v>219: (203, 65, 84, 255, Vegetation species change (pollution): 70092),</v>
      </c>
      <c r="O220" s="5" t="str">
        <f>VLOOKUP(Australia!B220,Impacts!$A$2:$B$80,2, FALSE)</f>
        <v>Changes in the floristic and or structural composition of vegetation in an area.</v>
      </c>
      <c r="P220" s="5" t="str">
        <f>VLOOKUP(E220,Pressures!$A$2:$B$145,2,FALSE)</f>
        <v xml:space="preserve">Introduction of harmful materials known as pollutants into the environment. </v>
      </c>
      <c r="W220" s="32">
        <v>112112</v>
      </c>
      <c r="Y220" s="32">
        <v>124124</v>
      </c>
      <c r="AU220" s="31">
        <v>11</v>
      </c>
      <c r="AV220" s="31">
        <v>22</v>
      </c>
      <c r="AW220" s="5">
        <v>-1</v>
      </c>
      <c r="AX220" s="5">
        <v>11</v>
      </c>
      <c r="AZ220" s="5">
        <v>1</v>
      </c>
      <c r="BA220" s="5">
        <v>2</v>
      </c>
      <c r="BB220" s="5">
        <v>3</v>
      </c>
      <c r="BL220" s="7">
        <v>220220</v>
      </c>
      <c r="BZ220" s="28"/>
      <c r="CA220" s="28"/>
      <c r="CB220" s="45">
        <v>1012</v>
      </c>
      <c r="CC220" s="45">
        <v>1013</v>
      </c>
      <c r="CD220" s="45">
        <v>1015</v>
      </c>
      <c r="CE220" s="45">
        <v>1016</v>
      </c>
      <c r="CF220" s="45">
        <v>1213</v>
      </c>
      <c r="CG220" s="45">
        <v>1215</v>
      </c>
      <c r="CH220" s="46">
        <v>1216</v>
      </c>
      <c r="CI220" s="46">
        <v>1315</v>
      </c>
      <c r="CJ220" s="46">
        <v>1316</v>
      </c>
      <c r="CK220" s="46">
        <v>1516</v>
      </c>
      <c r="CL220" s="46">
        <v>1010</v>
      </c>
      <c r="CM220" s="46">
        <v>1212</v>
      </c>
      <c r="CN220" s="46">
        <v>1313</v>
      </c>
      <c r="CO220" s="46">
        <v>1515</v>
      </c>
      <c r="CP220" s="46">
        <v>1616</v>
      </c>
      <c r="CQ220" s="45">
        <v>1615</v>
      </c>
      <c r="CR220" s="45">
        <v>1613</v>
      </c>
      <c r="CS220" s="45">
        <v>1612</v>
      </c>
      <c r="CT220" s="45">
        <v>1610</v>
      </c>
      <c r="CU220" s="45">
        <v>1513</v>
      </c>
      <c r="CV220" s="45">
        <v>1512</v>
      </c>
      <c r="CW220" s="45">
        <v>1510</v>
      </c>
      <c r="CX220" s="45">
        <v>1312</v>
      </c>
      <c r="CY220" s="45">
        <v>1310</v>
      </c>
      <c r="DK220" s="8"/>
      <c r="DL220" s="8"/>
      <c r="DM220" s="8"/>
      <c r="DN220" s="8"/>
      <c r="DO220" s="50"/>
      <c r="DP220" s="50"/>
      <c r="DQ220" s="50"/>
      <c r="DR220" s="50"/>
      <c r="DS220" s="50"/>
      <c r="DT220" s="50"/>
      <c r="DU220" s="50"/>
      <c r="DV220" s="50"/>
      <c r="DW220" s="50"/>
      <c r="DX220" s="50"/>
      <c r="DY220" s="50"/>
      <c r="DZ220" s="50"/>
      <c r="EA220" s="50"/>
      <c r="EB220" s="50"/>
      <c r="EC220" s="50"/>
      <c r="ED220" s="50"/>
      <c r="EE220" s="50"/>
      <c r="EF220" s="50"/>
      <c r="EG220" s="50"/>
      <c r="EH220" s="50"/>
      <c r="EI220" s="50"/>
      <c r="EJ220" s="50"/>
      <c r="EK220" s="50"/>
      <c r="EL220" s="50"/>
      <c r="EM220" s="50"/>
      <c r="EN220" s="50"/>
      <c r="EO220" s="50"/>
      <c r="EP220" s="50">
        <v>1</v>
      </c>
      <c r="EQ220" s="50"/>
      <c r="ER220" s="50">
        <v>1</v>
      </c>
      <c r="ET220" s="55">
        <f t="shared" si="11"/>
        <v>2</v>
      </c>
    </row>
    <row r="221" spans="1:150" s="5" customFormat="1" ht="16" customHeight="1" x14ac:dyDescent="0.2">
      <c r="A221" s="5">
        <v>70</v>
      </c>
      <c r="B221" s="8" t="s">
        <v>470</v>
      </c>
      <c r="C221" s="39" t="s">
        <v>338</v>
      </c>
      <c r="D221" s="5">
        <v>94</v>
      </c>
      <c r="E221" s="5" t="s">
        <v>339</v>
      </c>
      <c r="F221" s="21" t="s">
        <v>510</v>
      </c>
      <c r="G221" s="21">
        <v>220</v>
      </c>
      <c r="H221" s="5">
        <f t="shared" si="9"/>
        <v>70094</v>
      </c>
      <c r="I221" t="s">
        <v>1241</v>
      </c>
      <c r="J221">
        <v>218</v>
      </c>
      <c r="K221">
        <v>112</v>
      </c>
      <c r="L221">
        <v>214</v>
      </c>
      <c r="M221" s="6">
        <v>255</v>
      </c>
      <c r="N221" s="6" t="str">
        <f t="shared" si="10"/>
        <v>220: (218, 112, 214, 255, Vegetation species change (prolonged inundation): 70094),</v>
      </c>
      <c r="O221" s="5" t="str">
        <f>VLOOKUP(Australia!B221,Impacts!$A$2:$B$80,2, FALSE)</f>
        <v>Changes in the floristic and or structural composition of vegetation in an area.</v>
      </c>
      <c r="P221" s="5" t="str">
        <f>VLOOKUP(E221,Pressures!$A$2:$B$145,2,FALSE)</f>
        <v>Cumulative influx of water and increase in water depth for long periods over an area that previously supported no water.</v>
      </c>
      <c r="W221" s="32">
        <v>112112</v>
      </c>
      <c r="Y221" s="32">
        <v>124124</v>
      </c>
      <c r="AE221" s="32">
        <v>112124</v>
      </c>
      <c r="AU221" s="31">
        <v>11</v>
      </c>
      <c r="AV221" s="31">
        <v>22</v>
      </c>
      <c r="AW221" s="5">
        <v>-1</v>
      </c>
      <c r="AX221" s="5">
        <v>11</v>
      </c>
      <c r="AZ221" s="5">
        <v>1</v>
      </c>
      <c r="BA221" s="5">
        <v>2</v>
      </c>
      <c r="BB221" s="5">
        <v>3</v>
      </c>
      <c r="BL221" s="7">
        <v>220220</v>
      </c>
      <c r="BZ221" s="28"/>
      <c r="CA221" s="28"/>
      <c r="CB221" s="45">
        <v>1012</v>
      </c>
      <c r="CC221" s="45">
        <v>1013</v>
      </c>
      <c r="CD221" s="45">
        <v>1015</v>
      </c>
      <c r="CE221" s="45">
        <v>1016</v>
      </c>
      <c r="CF221" s="45">
        <v>1213</v>
      </c>
      <c r="CG221" s="45">
        <v>1215</v>
      </c>
      <c r="CH221" s="46">
        <v>1216</v>
      </c>
      <c r="CI221" s="46">
        <v>1315</v>
      </c>
      <c r="CJ221" s="46">
        <v>1316</v>
      </c>
      <c r="CK221" s="46">
        <v>1516</v>
      </c>
      <c r="CL221" s="46">
        <v>1010</v>
      </c>
      <c r="CM221" s="46">
        <v>1212</v>
      </c>
      <c r="CN221" s="46">
        <v>1313</v>
      </c>
      <c r="CO221" s="46">
        <v>1515</v>
      </c>
      <c r="CP221" s="46">
        <v>1616</v>
      </c>
      <c r="CQ221" s="45">
        <v>1615</v>
      </c>
      <c r="CR221" s="45">
        <v>1613</v>
      </c>
      <c r="CS221" s="45">
        <v>1612</v>
      </c>
      <c r="CT221" s="45">
        <v>1610</v>
      </c>
      <c r="CU221" s="45">
        <v>1513</v>
      </c>
      <c r="CV221" s="45">
        <v>1512</v>
      </c>
      <c r="CW221" s="45">
        <v>1510</v>
      </c>
      <c r="CX221" s="45">
        <v>1312</v>
      </c>
      <c r="CY221" s="45">
        <v>1310</v>
      </c>
      <c r="DK221" s="8"/>
      <c r="DL221" s="8"/>
      <c r="DM221" s="8"/>
      <c r="DN221" s="8"/>
      <c r="DO221" s="50"/>
      <c r="DP221" s="50"/>
      <c r="DQ221" s="50"/>
      <c r="DR221" s="50"/>
      <c r="DS221" s="50">
        <v>1</v>
      </c>
      <c r="DT221" s="50"/>
      <c r="DU221" s="50"/>
      <c r="DV221" s="50"/>
      <c r="DW221" s="50"/>
      <c r="DX221" s="50"/>
      <c r="DY221" s="50"/>
      <c r="DZ221" s="50"/>
      <c r="EA221" s="50"/>
      <c r="EB221" s="50"/>
      <c r="EC221" s="50"/>
      <c r="ED221" s="50"/>
      <c r="EE221" s="50"/>
      <c r="EF221" s="50"/>
      <c r="EG221" s="50"/>
      <c r="EH221" s="50"/>
      <c r="EI221" s="50"/>
      <c r="EJ221" s="50"/>
      <c r="EK221" s="50"/>
      <c r="EL221" s="50"/>
      <c r="EM221" s="50"/>
      <c r="EN221" s="50"/>
      <c r="EO221" s="50"/>
      <c r="EP221" s="50"/>
      <c r="EQ221" s="50"/>
      <c r="ER221" s="50"/>
      <c r="ET221" s="55">
        <f t="shared" si="11"/>
        <v>1</v>
      </c>
    </row>
    <row r="222" spans="1:150" s="5" customFormat="1" ht="16" customHeight="1" x14ac:dyDescent="0.2">
      <c r="A222" s="5">
        <v>70</v>
      </c>
      <c r="B222" s="8" t="s">
        <v>470</v>
      </c>
      <c r="C222" s="8" t="s">
        <v>512</v>
      </c>
      <c r="D222" s="5">
        <v>123</v>
      </c>
      <c r="E222" s="5" t="s">
        <v>513</v>
      </c>
      <c r="F222" s="21" t="s">
        <v>514</v>
      </c>
      <c r="G222" s="21">
        <v>221</v>
      </c>
      <c r="H222" s="5">
        <f t="shared" si="9"/>
        <v>70123</v>
      </c>
      <c r="I222" t="s">
        <v>1242</v>
      </c>
      <c r="J222">
        <v>60</v>
      </c>
      <c r="K222">
        <v>179</v>
      </c>
      <c r="L222">
        <v>113</v>
      </c>
      <c r="M222" s="6">
        <v>255</v>
      </c>
      <c r="N222" s="6" t="str">
        <f t="shared" si="10"/>
        <v>221: (60, 179, 113, 255, Vegetation species change (succession): 70123),</v>
      </c>
      <c r="O222" s="5" t="str">
        <f>VLOOKUP(Australia!B222,Impacts!$A$2:$B$80,2, FALSE)</f>
        <v>Changes in the floristic and or structural composition of vegetation in an area.</v>
      </c>
      <c r="P222" s="5" t="str">
        <f>VLOOKUP(E222,Pressures!$A$2:$B$145,2,FALSE)</f>
        <v>The natural, sequential change (stage) of species composition in an ecosystem in a given area.</v>
      </c>
      <c r="W222" s="32">
        <v>112112</v>
      </c>
      <c r="Y222" s="32">
        <v>124124</v>
      </c>
      <c r="AU222" s="31">
        <v>11</v>
      </c>
      <c r="AV222" s="31">
        <v>22</v>
      </c>
      <c r="AW222" s="5">
        <v>-1</v>
      </c>
      <c r="AX222" s="5">
        <v>11</v>
      </c>
      <c r="AZ222" s="5">
        <v>1</v>
      </c>
      <c r="BA222" s="5">
        <v>2</v>
      </c>
      <c r="BB222" s="5">
        <v>3</v>
      </c>
      <c r="BL222" s="7">
        <v>220220</v>
      </c>
      <c r="BZ222" s="31">
        <v>21</v>
      </c>
      <c r="CA222" s="28"/>
      <c r="CB222" s="45">
        <v>1012</v>
      </c>
      <c r="CC222" s="45">
        <v>1013</v>
      </c>
      <c r="CD222" s="45">
        <v>1015</v>
      </c>
      <c r="CE222" s="45">
        <v>1016</v>
      </c>
      <c r="CF222" s="45">
        <v>1213</v>
      </c>
      <c r="CG222" s="45">
        <v>1215</v>
      </c>
      <c r="CH222" s="46">
        <v>1216</v>
      </c>
      <c r="CI222" s="46">
        <v>1315</v>
      </c>
      <c r="CJ222" s="46">
        <v>1316</v>
      </c>
      <c r="CK222" s="46">
        <v>1516</v>
      </c>
      <c r="CL222" s="46">
        <v>1010</v>
      </c>
      <c r="CM222" s="46">
        <v>1212</v>
      </c>
      <c r="CN222" s="46">
        <v>1313</v>
      </c>
      <c r="CO222" s="46">
        <v>1515</v>
      </c>
      <c r="CP222" s="46">
        <v>1616</v>
      </c>
      <c r="CQ222" s="45">
        <v>1615</v>
      </c>
      <c r="CR222" s="45">
        <v>1613</v>
      </c>
      <c r="CS222" s="45">
        <v>1612</v>
      </c>
      <c r="CT222" s="45">
        <v>1610</v>
      </c>
      <c r="CU222" s="45">
        <v>1513</v>
      </c>
      <c r="CV222" s="45">
        <v>1512</v>
      </c>
      <c r="CW222" s="45">
        <v>1510</v>
      </c>
      <c r="CX222" s="45">
        <v>1312</v>
      </c>
      <c r="CY222" s="45">
        <v>1310</v>
      </c>
      <c r="DK222" s="8"/>
      <c r="DL222" s="8"/>
      <c r="DM222" s="8"/>
      <c r="DN222" s="8"/>
      <c r="DO222" s="50"/>
      <c r="DP222" s="50"/>
      <c r="DQ222" s="50"/>
      <c r="DR222" s="50"/>
      <c r="DS222" s="50"/>
      <c r="DT222" s="50"/>
      <c r="DU222" s="50"/>
      <c r="DV222" s="50"/>
      <c r="DW222" s="50"/>
      <c r="DX222" s="50"/>
      <c r="DY222" s="50"/>
      <c r="DZ222" s="50"/>
      <c r="EA222" s="50"/>
      <c r="EB222" s="50"/>
      <c r="EC222" s="50"/>
      <c r="ED222" s="50"/>
      <c r="EE222" s="50"/>
      <c r="EF222" s="50"/>
      <c r="EG222" s="50"/>
      <c r="EH222" s="50"/>
      <c r="EI222" s="50">
        <v>1</v>
      </c>
      <c r="EJ222" s="50"/>
      <c r="EK222" s="50"/>
      <c r="EL222" s="50"/>
      <c r="EM222" s="50"/>
      <c r="EN222" s="50"/>
      <c r="EO222" s="50"/>
      <c r="EP222" s="50"/>
      <c r="EQ222" s="50"/>
      <c r="ER222" s="50"/>
      <c r="ET222" s="55">
        <f t="shared" si="11"/>
        <v>1</v>
      </c>
    </row>
    <row r="223" spans="1:150" s="5" customFormat="1" ht="16" customHeight="1" x14ac:dyDescent="0.2">
      <c r="A223" s="5">
        <v>70</v>
      </c>
      <c r="B223" s="8" t="s">
        <v>470</v>
      </c>
      <c r="C223" s="8" t="s">
        <v>518</v>
      </c>
      <c r="D223" s="5">
        <v>129</v>
      </c>
      <c r="E223" s="5" t="s">
        <v>519</v>
      </c>
      <c r="F223" s="21" t="s">
        <v>520</v>
      </c>
      <c r="G223" s="21">
        <v>222</v>
      </c>
      <c r="H223" s="5">
        <f t="shared" si="9"/>
        <v>70129</v>
      </c>
      <c r="I223" t="s">
        <v>1243</v>
      </c>
      <c r="J223">
        <v>255</v>
      </c>
      <c r="K223">
        <v>228</v>
      </c>
      <c r="L223">
        <v>181</v>
      </c>
      <c r="M223" s="6">
        <v>255</v>
      </c>
      <c r="N223" s="6" t="str">
        <f t="shared" si="10"/>
        <v>222: (255, 228, 181, 255, Vegetation species change (undergrazing (natural)): 70129),</v>
      </c>
      <c r="O223" s="5" t="str">
        <f>VLOOKUP(Australia!B223,Impacts!$A$2:$B$80,2, FALSE)</f>
        <v>Changes in the floristic and or structural composition of vegetation in an area.</v>
      </c>
      <c r="P223" s="5" t="str">
        <f>VLOOKUP(E223,Pressures!$A$2:$B$145,2,FALSE)</f>
        <v>Grazing (natural) at a level where there is evidence of the annual growth not being fully utilised.</v>
      </c>
      <c r="W223" s="32">
        <v>112112</v>
      </c>
      <c r="Y223" s="32">
        <v>124124</v>
      </c>
      <c r="AU223" s="31">
        <v>11</v>
      </c>
      <c r="AV223" s="31">
        <v>22</v>
      </c>
      <c r="AW223" s="5">
        <v>-1</v>
      </c>
      <c r="AX223" s="5">
        <v>11</v>
      </c>
      <c r="AZ223" s="5">
        <v>1</v>
      </c>
      <c r="BA223" s="5">
        <v>2</v>
      </c>
      <c r="BB223" s="5">
        <v>3</v>
      </c>
      <c r="BL223" s="7">
        <v>220220</v>
      </c>
      <c r="BZ223" s="31">
        <v>21</v>
      </c>
      <c r="CA223" s="28"/>
      <c r="CB223" s="45">
        <v>1012</v>
      </c>
      <c r="CC223" s="45">
        <v>1013</v>
      </c>
      <c r="CD223" s="45">
        <v>1015</v>
      </c>
      <c r="CE223" s="45">
        <v>1016</v>
      </c>
      <c r="CF223" s="45">
        <v>1213</v>
      </c>
      <c r="CG223" s="45">
        <v>1215</v>
      </c>
      <c r="CH223" s="46">
        <v>1216</v>
      </c>
      <c r="CI223" s="46">
        <v>1315</v>
      </c>
      <c r="CJ223" s="46">
        <v>1316</v>
      </c>
      <c r="CK223" s="46">
        <v>1516</v>
      </c>
      <c r="CL223" s="46">
        <v>1010</v>
      </c>
      <c r="CM223" s="46">
        <v>1212</v>
      </c>
      <c r="CN223" s="46">
        <v>1313</v>
      </c>
      <c r="CO223" s="46">
        <v>1515</v>
      </c>
      <c r="CP223" s="46">
        <v>1616</v>
      </c>
      <c r="CQ223" s="45">
        <v>1615</v>
      </c>
      <c r="CR223" s="45">
        <v>1613</v>
      </c>
      <c r="CS223" s="45">
        <v>1612</v>
      </c>
      <c r="CT223" s="45">
        <v>1610</v>
      </c>
      <c r="CU223" s="45">
        <v>1513</v>
      </c>
      <c r="CV223" s="45">
        <v>1512</v>
      </c>
      <c r="CW223" s="45">
        <v>1510</v>
      </c>
      <c r="CX223" s="45">
        <v>1312</v>
      </c>
      <c r="CY223" s="45">
        <v>1310</v>
      </c>
      <c r="DK223" s="8"/>
      <c r="DL223" s="8"/>
      <c r="DM223" s="8"/>
      <c r="DN223" s="8"/>
      <c r="DO223" s="50"/>
      <c r="DP223" s="50"/>
      <c r="DQ223" s="50"/>
      <c r="DR223" s="50"/>
      <c r="DS223" s="50"/>
      <c r="DT223" s="50"/>
      <c r="DU223" s="50"/>
      <c r="DV223" s="50"/>
      <c r="DW223" s="50"/>
      <c r="DX223" s="50"/>
      <c r="DY223" s="50"/>
      <c r="DZ223" s="50"/>
      <c r="EA223" s="50"/>
      <c r="EB223" s="50"/>
      <c r="EC223" s="50"/>
      <c r="ED223" s="50"/>
      <c r="EE223" s="50"/>
      <c r="EF223" s="50"/>
      <c r="EG223" s="50"/>
      <c r="EH223" s="50"/>
      <c r="EI223" s="50">
        <v>1</v>
      </c>
      <c r="EJ223" s="50"/>
      <c r="EK223" s="50"/>
      <c r="EL223" s="50"/>
      <c r="EM223" s="50"/>
      <c r="EN223" s="50"/>
      <c r="EO223" s="50"/>
      <c r="EP223" s="50"/>
      <c r="EQ223" s="50"/>
      <c r="ER223" s="50"/>
      <c r="ET223" s="55">
        <f t="shared" si="11"/>
        <v>1</v>
      </c>
    </row>
    <row r="224" spans="1:150" s="5" customFormat="1" ht="16" customHeight="1" x14ac:dyDescent="0.2">
      <c r="A224" s="5">
        <v>70</v>
      </c>
      <c r="B224" s="8" t="s">
        <v>470</v>
      </c>
      <c r="C224" s="8" t="s">
        <v>515</v>
      </c>
      <c r="D224" s="5">
        <v>130</v>
      </c>
      <c r="E224" s="5" t="s">
        <v>516</v>
      </c>
      <c r="F224" s="21" t="s">
        <v>517</v>
      </c>
      <c r="G224" s="21">
        <v>223</v>
      </c>
      <c r="H224" s="5">
        <f t="shared" si="9"/>
        <v>70130</v>
      </c>
      <c r="I224" t="s">
        <v>1244</v>
      </c>
      <c r="J224">
        <v>255</v>
      </c>
      <c r="K224">
        <v>222</v>
      </c>
      <c r="L224">
        <v>173</v>
      </c>
      <c r="M224" s="6">
        <v>255</v>
      </c>
      <c r="N224" s="6" t="str">
        <f t="shared" si="10"/>
        <v>223: (255, 222, 173, 255, Vegetation species change (undergrazing (stock)): 70130),</v>
      </c>
      <c r="O224" s="5" t="str">
        <f>VLOOKUP(Australia!B224,Impacts!$A$2:$B$80,2, FALSE)</f>
        <v>Changes in the floristic and or structural composition of vegetation in an area.</v>
      </c>
      <c r="P224" s="5" t="str">
        <f>VLOOKUP(E224,Pressures!$A$2:$B$145,2,FALSE)</f>
        <v>Grazing (by stock) at a level where there is evidence of the annual growth not being fully utilised.</v>
      </c>
      <c r="W224" s="32">
        <v>112112</v>
      </c>
      <c r="Y224" s="32">
        <v>124124</v>
      </c>
      <c r="AU224" s="31">
        <v>11</v>
      </c>
      <c r="AV224" s="31">
        <v>22</v>
      </c>
      <c r="AW224" s="5">
        <v>-1</v>
      </c>
      <c r="AX224" s="5">
        <v>11</v>
      </c>
      <c r="AZ224" s="5">
        <v>1</v>
      </c>
      <c r="BA224" s="5">
        <v>2</v>
      </c>
      <c r="BB224" s="5">
        <v>3</v>
      </c>
      <c r="BL224" s="7">
        <v>220220</v>
      </c>
      <c r="BZ224" s="31">
        <v>21</v>
      </c>
      <c r="CA224" s="28"/>
      <c r="CB224" s="45">
        <v>1012</v>
      </c>
      <c r="CC224" s="45">
        <v>1013</v>
      </c>
      <c r="CD224" s="45">
        <v>1015</v>
      </c>
      <c r="CE224" s="45">
        <v>1016</v>
      </c>
      <c r="CF224" s="45">
        <v>1213</v>
      </c>
      <c r="CG224" s="45">
        <v>1215</v>
      </c>
      <c r="CH224" s="46">
        <v>1216</v>
      </c>
      <c r="CI224" s="46">
        <v>1315</v>
      </c>
      <c r="CJ224" s="46">
        <v>1316</v>
      </c>
      <c r="CK224" s="46">
        <v>1516</v>
      </c>
      <c r="CL224" s="46">
        <v>1010</v>
      </c>
      <c r="CM224" s="46">
        <v>1212</v>
      </c>
      <c r="CN224" s="46">
        <v>1313</v>
      </c>
      <c r="CO224" s="46">
        <v>1515</v>
      </c>
      <c r="CP224" s="46">
        <v>1616</v>
      </c>
      <c r="CQ224" s="45">
        <v>1615</v>
      </c>
      <c r="CR224" s="45">
        <v>1613</v>
      </c>
      <c r="CS224" s="45">
        <v>1612</v>
      </c>
      <c r="CT224" s="45">
        <v>1610</v>
      </c>
      <c r="CU224" s="45">
        <v>1513</v>
      </c>
      <c r="CV224" s="45">
        <v>1512</v>
      </c>
      <c r="CW224" s="45">
        <v>1510</v>
      </c>
      <c r="CX224" s="45">
        <v>1312</v>
      </c>
      <c r="CY224" s="45">
        <v>1310</v>
      </c>
      <c r="DK224" s="8"/>
      <c r="DL224" s="8"/>
      <c r="DM224" s="8"/>
      <c r="DN224" s="8"/>
      <c r="DO224" s="50"/>
      <c r="DP224" s="50"/>
      <c r="DQ224" s="50"/>
      <c r="DR224" s="50"/>
      <c r="DS224" s="50"/>
      <c r="DT224" s="50"/>
      <c r="DU224" s="50"/>
      <c r="DV224" s="50"/>
      <c r="DW224" s="50"/>
      <c r="DX224" s="50"/>
      <c r="DY224" s="50"/>
      <c r="DZ224" s="50"/>
      <c r="EA224" s="50"/>
      <c r="EB224" s="50"/>
      <c r="EC224" s="50"/>
      <c r="ED224" s="50"/>
      <c r="EE224" s="50"/>
      <c r="EF224" s="50"/>
      <c r="EG224" s="50"/>
      <c r="EH224" s="50"/>
      <c r="EI224" s="50"/>
      <c r="EJ224" s="50">
        <v>1</v>
      </c>
      <c r="EK224" s="50"/>
      <c r="EL224" s="50"/>
      <c r="EM224" s="50"/>
      <c r="EN224" s="50"/>
      <c r="EO224" s="50"/>
      <c r="EP224" s="50"/>
      <c r="EQ224" s="50"/>
      <c r="ER224" s="50"/>
      <c r="ET224" s="55">
        <f t="shared" si="11"/>
        <v>1</v>
      </c>
    </row>
    <row r="225" spans="1:150" s="5" customFormat="1" ht="16" customHeight="1" x14ac:dyDescent="0.2">
      <c r="A225" s="5">
        <v>71</v>
      </c>
      <c r="B225" s="8" t="s">
        <v>522</v>
      </c>
      <c r="C225" s="8" t="s">
        <v>523</v>
      </c>
      <c r="D225" s="5">
        <v>1</v>
      </c>
      <c r="E225" s="5" t="s">
        <v>524</v>
      </c>
      <c r="F225" s="21" t="s">
        <v>525</v>
      </c>
      <c r="G225" s="21">
        <v>224</v>
      </c>
      <c r="H225" s="5">
        <f t="shared" si="9"/>
        <v>71001</v>
      </c>
      <c r="I225" t="s">
        <v>1245</v>
      </c>
      <c r="J225">
        <v>175</v>
      </c>
      <c r="K225">
        <v>238</v>
      </c>
      <c r="L225">
        <v>238</v>
      </c>
      <c r="M225" s="6">
        <v>255</v>
      </c>
      <c r="N225" s="6" t="str">
        <f t="shared" si="10"/>
        <v>224: (175, 238, 238, 255, Water depth decrease (abstraction): 71001),</v>
      </c>
      <c r="O225" s="5" t="str">
        <f>VLOOKUP(Australia!B225,Impacts!$A$2:$B$80,2, FALSE)</f>
        <v>Decrease in the amount of water from an existing water body.</v>
      </c>
      <c r="P225" s="5" t="str">
        <f>VLOOKUP(E225,Pressures!$A$2:$B$145,2,FALSE)</f>
        <v>Removal of water from a water store.</v>
      </c>
      <c r="AB225" s="32">
        <v>227227</v>
      </c>
      <c r="AC225" s="32">
        <v>228228</v>
      </c>
      <c r="AD225" s="32">
        <v>220220</v>
      </c>
      <c r="AW225" s="5">
        <v>-1</v>
      </c>
      <c r="AX225" s="5">
        <v>1</v>
      </c>
      <c r="AZ225" s="5">
        <v>1</v>
      </c>
      <c r="BA225" s="5">
        <v>2</v>
      </c>
      <c r="BB225" s="5">
        <v>3</v>
      </c>
      <c r="BG225" s="7">
        <v>124220</v>
      </c>
      <c r="CZ225" s="47">
        <v>11</v>
      </c>
      <c r="DK225" s="8"/>
      <c r="DL225" s="8"/>
      <c r="DM225" s="8"/>
      <c r="DN225" s="8"/>
      <c r="DO225" s="50"/>
      <c r="DP225" s="50"/>
      <c r="DQ225" s="50"/>
      <c r="DR225" s="50"/>
      <c r="DS225" s="50"/>
      <c r="DT225" s="50"/>
      <c r="DU225" s="50"/>
      <c r="DV225" s="50"/>
      <c r="DW225" s="50"/>
      <c r="DX225" s="50"/>
      <c r="DY225" s="50"/>
      <c r="DZ225" s="50"/>
      <c r="EA225" s="50"/>
      <c r="EB225" s="50"/>
      <c r="EC225" s="50"/>
      <c r="ED225" s="50"/>
      <c r="EE225" s="50"/>
      <c r="EF225" s="50"/>
      <c r="EG225" s="50"/>
      <c r="EH225" s="50"/>
      <c r="EI225" s="50"/>
      <c r="EJ225" s="50"/>
      <c r="EK225" s="50">
        <v>1</v>
      </c>
      <c r="EL225" s="50"/>
      <c r="EM225" s="50"/>
      <c r="EN225" s="50"/>
      <c r="EO225" s="50"/>
      <c r="EP225" s="50"/>
      <c r="EQ225" s="50"/>
      <c r="ER225" s="50"/>
      <c r="ES225" s="5">
        <v>1</v>
      </c>
      <c r="ET225" s="55">
        <f t="shared" si="11"/>
        <v>2</v>
      </c>
    </row>
    <row r="226" spans="1:150" s="5" customFormat="1" ht="16" customHeight="1" x14ac:dyDescent="0.2">
      <c r="A226" s="5">
        <v>71</v>
      </c>
      <c r="B226" s="8" t="s">
        <v>522</v>
      </c>
      <c r="C226" s="8" t="s">
        <v>277</v>
      </c>
      <c r="D226" s="5">
        <v>20</v>
      </c>
      <c r="E226" s="5" t="s">
        <v>278</v>
      </c>
      <c r="F226" s="21" t="s">
        <v>526</v>
      </c>
      <c r="G226" s="21">
        <v>225</v>
      </c>
      <c r="H226" s="5">
        <f t="shared" si="9"/>
        <v>71020</v>
      </c>
      <c r="I226" t="s">
        <v>1246</v>
      </c>
      <c r="J226">
        <v>47</v>
      </c>
      <c r="K226">
        <v>79</v>
      </c>
      <c r="L226">
        <v>79</v>
      </c>
      <c r="M226" s="6">
        <v>255</v>
      </c>
      <c r="N226" s="6" t="str">
        <f t="shared" si="10"/>
        <v>225: (47, 79, 79, 255, Water depth decrease (dam failure): 71020),</v>
      </c>
      <c r="O226" s="5" t="str">
        <f>VLOOKUP(Australia!B226,Impacts!$A$2:$B$80,2, FALSE)</f>
        <v>Decrease in the amount of water from an existing water body.</v>
      </c>
      <c r="P226" s="5" t="str">
        <f>VLOOKUP(E226,Pressures!$A$2:$B$145,2,FALSE)</f>
        <v>The uncontrolled release of a water storage. The failure may consist of the collapse of the dam or some part of it, or excessive seepage or discharges.</v>
      </c>
      <c r="AB226" s="32">
        <v>227227</v>
      </c>
      <c r="AC226" s="32">
        <v>228228</v>
      </c>
      <c r="AD226" s="32">
        <v>220220</v>
      </c>
      <c r="AW226" s="5">
        <v>-1</v>
      </c>
      <c r="AX226" s="5">
        <v>1</v>
      </c>
      <c r="AZ226" s="5">
        <v>1</v>
      </c>
      <c r="BA226" s="5">
        <v>2</v>
      </c>
      <c r="BB226" s="5">
        <v>3</v>
      </c>
      <c r="BD226" s="7">
        <v>111220</v>
      </c>
      <c r="BE226" s="7">
        <v>112220</v>
      </c>
      <c r="BF226" s="7">
        <v>123220</v>
      </c>
      <c r="BG226" s="7">
        <v>124220</v>
      </c>
      <c r="BI226" s="7">
        <v>216220</v>
      </c>
      <c r="BV226" s="5">
        <v>2</v>
      </c>
      <c r="CZ226" s="47">
        <v>11</v>
      </c>
      <c r="DK226" s="8"/>
      <c r="DL226" s="8"/>
      <c r="DM226" s="8"/>
      <c r="DN226" s="8"/>
      <c r="DO226" s="50"/>
      <c r="DP226" s="50"/>
      <c r="DQ226" s="50"/>
      <c r="DR226" s="50"/>
      <c r="DS226" s="50">
        <v>1</v>
      </c>
      <c r="DT226" s="50">
        <v>1</v>
      </c>
      <c r="DU226" s="50"/>
      <c r="DV226" s="50"/>
      <c r="DW226" s="50"/>
      <c r="DX226" s="50"/>
      <c r="DY226" s="50"/>
      <c r="DZ226" s="50"/>
      <c r="EA226" s="50"/>
      <c r="EB226" s="50"/>
      <c r="EC226" s="50"/>
      <c r="ED226" s="50"/>
      <c r="EE226" s="50"/>
      <c r="EF226" s="50"/>
      <c r="EG226" s="50"/>
      <c r="EH226" s="50"/>
      <c r="EI226" s="50"/>
      <c r="EJ226" s="50"/>
      <c r="EK226" s="50"/>
      <c r="EL226" s="50"/>
      <c r="EM226" s="50"/>
      <c r="EN226" s="50"/>
      <c r="EO226" s="50"/>
      <c r="EP226" s="50"/>
      <c r="EQ226" s="50"/>
      <c r="ER226" s="50"/>
      <c r="ET226" s="55">
        <f t="shared" si="11"/>
        <v>2</v>
      </c>
    </row>
    <row r="227" spans="1:150" s="5" customFormat="1" ht="16" customHeight="1" x14ac:dyDescent="0.2">
      <c r="A227" s="5">
        <v>71</v>
      </c>
      <c r="B227" s="8" t="s">
        <v>522</v>
      </c>
      <c r="C227" s="8" t="s">
        <v>39</v>
      </c>
      <c r="D227" s="5">
        <v>21</v>
      </c>
      <c r="E227" s="5" t="s">
        <v>40</v>
      </c>
      <c r="F227" s="21" t="s">
        <v>527</v>
      </c>
      <c r="G227" s="21">
        <v>226</v>
      </c>
      <c r="H227" s="5">
        <f t="shared" si="9"/>
        <v>71021</v>
      </c>
      <c r="I227" t="s">
        <v>1247</v>
      </c>
      <c r="J227">
        <v>72</v>
      </c>
      <c r="K227">
        <v>61</v>
      </c>
      <c r="L227">
        <v>139</v>
      </c>
      <c r="M227" s="6">
        <v>255</v>
      </c>
      <c r="N227" s="6" t="str">
        <f t="shared" si="10"/>
        <v>226: (72, 61, 139, 255, Water depth decrease (dam removal): 71021),</v>
      </c>
      <c r="O227" s="5" t="str">
        <f>VLOOKUP(Australia!B227,Impacts!$A$2:$B$80,2, FALSE)</f>
        <v>Decrease in the amount of water from an existing water body.</v>
      </c>
      <c r="P227" s="5" t="str">
        <f>VLOOKUP(E227,Pressures!$A$2:$B$145,2,FALSE)</f>
        <v>Demolition/decommissioning of a dam enabling reinstatement of unconstrained water flow and typically reducing pooled water.</v>
      </c>
      <c r="AB227" s="32">
        <v>227227</v>
      </c>
      <c r="AC227" s="32">
        <v>228228</v>
      </c>
      <c r="AD227" s="32">
        <v>220220</v>
      </c>
      <c r="AW227" s="5">
        <v>0</v>
      </c>
      <c r="AX227" s="5">
        <v>1</v>
      </c>
      <c r="AZ227" s="5">
        <v>1</v>
      </c>
      <c r="BA227" s="5">
        <v>2</v>
      </c>
      <c r="BB227" s="5">
        <v>3</v>
      </c>
      <c r="BD227" s="7">
        <v>111220</v>
      </c>
      <c r="BE227" s="7">
        <v>112220</v>
      </c>
      <c r="BF227" s="7">
        <v>123220</v>
      </c>
      <c r="BG227" s="7">
        <v>124220</v>
      </c>
      <c r="BI227" s="7">
        <v>216220</v>
      </c>
      <c r="BV227" s="5">
        <v>2</v>
      </c>
      <c r="CZ227" s="47">
        <v>11</v>
      </c>
      <c r="DK227" s="8"/>
      <c r="DL227" s="8"/>
      <c r="DM227" s="8"/>
      <c r="DN227" s="8"/>
      <c r="DO227" s="50"/>
      <c r="DP227" s="50"/>
      <c r="DQ227" s="50"/>
      <c r="DR227" s="50"/>
      <c r="DS227" s="50">
        <v>1</v>
      </c>
      <c r="DT227" s="50">
        <v>1</v>
      </c>
      <c r="DU227" s="50"/>
      <c r="DV227" s="50"/>
      <c r="DW227" s="50"/>
      <c r="DX227" s="50"/>
      <c r="DY227" s="50"/>
      <c r="DZ227" s="50"/>
      <c r="EA227" s="50"/>
      <c r="EB227" s="50"/>
      <c r="EC227" s="50"/>
      <c r="ED227" s="50"/>
      <c r="EE227" s="50"/>
      <c r="EF227" s="50"/>
      <c r="EG227" s="50"/>
      <c r="EH227" s="50"/>
      <c r="EI227" s="50"/>
      <c r="EJ227" s="50"/>
      <c r="EK227" s="50"/>
      <c r="EL227" s="50"/>
      <c r="EM227" s="50"/>
      <c r="EN227" s="50"/>
      <c r="EO227" s="50"/>
      <c r="EP227" s="50"/>
      <c r="EQ227" s="50"/>
      <c r="ER227" s="50"/>
      <c r="ET227" s="55">
        <f t="shared" si="11"/>
        <v>2</v>
      </c>
    </row>
    <row r="228" spans="1:150" s="5" customFormat="1" ht="16" customHeight="1" x14ac:dyDescent="0.2">
      <c r="A228" s="5">
        <v>71</v>
      </c>
      <c r="B228" s="8" t="s">
        <v>522</v>
      </c>
      <c r="C228" s="8" t="s">
        <v>148</v>
      </c>
      <c r="D228" s="5">
        <v>28</v>
      </c>
      <c r="E228" s="5" t="s">
        <v>149</v>
      </c>
      <c r="F228" s="21" t="s">
        <v>528</v>
      </c>
      <c r="G228" s="21">
        <v>227</v>
      </c>
      <c r="H228" s="5">
        <f t="shared" si="9"/>
        <v>71028</v>
      </c>
      <c r="I228" t="s">
        <v>1248</v>
      </c>
      <c r="J228">
        <v>65</v>
      </c>
      <c r="K228">
        <v>74</v>
      </c>
      <c r="L228">
        <v>76</v>
      </c>
      <c r="M228" s="6">
        <v>255</v>
      </c>
      <c r="N228" s="6" t="str">
        <f t="shared" si="10"/>
        <v>227: (65, 74, 76, 255, Water depth decrease (deposition): 71028),</v>
      </c>
      <c r="O228" s="5" t="str">
        <f>VLOOKUP(Australia!B228,Impacts!$A$2:$B$80,2, FALSE)</f>
        <v>Decrease in the amount of water from an existing water body.</v>
      </c>
      <c r="P228" s="5" t="str">
        <f>VLOOKUP(E228,Pressures!$A$2:$B$145,2,FALSE)</f>
        <v xml:space="preserve">Deposition is the laying down of sediment carried by wind, water, or ice. </v>
      </c>
      <c r="AB228" s="32">
        <v>227227</v>
      </c>
      <c r="AC228" s="32">
        <v>228228</v>
      </c>
      <c r="AD228" s="32">
        <v>220220</v>
      </c>
      <c r="AW228" s="5">
        <v>0</v>
      </c>
      <c r="AX228" s="5">
        <v>1</v>
      </c>
      <c r="AZ228" s="5">
        <v>1</v>
      </c>
      <c r="BA228" s="5">
        <v>2</v>
      </c>
      <c r="BB228" s="5">
        <v>3</v>
      </c>
      <c r="BD228" s="7">
        <v>111220</v>
      </c>
      <c r="BE228" s="7">
        <v>112220</v>
      </c>
      <c r="BF228" s="7">
        <v>123220</v>
      </c>
      <c r="BG228" s="7">
        <v>124220</v>
      </c>
      <c r="BI228" s="7">
        <v>216220</v>
      </c>
      <c r="BV228" s="5">
        <v>2</v>
      </c>
      <c r="CZ228" s="47">
        <v>11</v>
      </c>
      <c r="DK228" s="8"/>
      <c r="DL228" s="8"/>
      <c r="DM228" s="8"/>
      <c r="DN228" s="8"/>
      <c r="DO228" s="50"/>
      <c r="DP228" s="50"/>
      <c r="DQ228" s="50"/>
      <c r="DR228" s="50"/>
      <c r="DS228" s="50"/>
      <c r="DT228" s="50"/>
      <c r="DU228" s="50"/>
      <c r="DV228" s="50">
        <v>1</v>
      </c>
      <c r="DW228" s="50"/>
      <c r="DX228" s="50"/>
      <c r="DY228" s="50"/>
      <c r="DZ228" s="50"/>
      <c r="EA228" s="50"/>
      <c r="EB228" s="50"/>
      <c r="EC228" s="50"/>
      <c r="ED228" s="50"/>
      <c r="EE228" s="50"/>
      <c r="EF228" s="50"/>
      <c r="EG228" s="50"/>
      <c r="EH228" s="50"/>
      <c r="EI228" s="50"/>
      <c r="EJ228" s="50"/>
      <c r="EK228" s="50"/>
      <c r="EL228" s="50"/>
      <c r="EM228" s="50"/>
      <c r="EN228" s="50"/>
      <c r="EO228" s="50"/>
      <c r="EP228" s="50"/>
      <c r="EQ228" s="50"/>
      <c r="ER228" s="50"/>
      <c r="ET228" s="55">
        <f t="shared" si="11"/>
        <v>1</v>
      </c>
    </row>
    <row r="229" spans="1:150" s="5" customFormat="1" ht="16" customHeight="1" x14ac:dyDescent="0.2">
      <c r="A229" s="5">
        <v>71</v>
      </c>
      <c r="B229" s="8" t="s">
        <v>522</v>
      </c>
      <c r="C229" s="8" t="s">
        <v>240</v>
      </c>
      <c r="D229" s="5">
        <v>37</v>
      </c>
      <c r="E229" s="5" t="s">
        <v>241</v>
      </c>
      <c r="F229" s="21" t="s">
        <v>529</v>
      </c>
      <c r="G229" s="21">
        <v>228</v>
      </c>
      <c r="H229" s="5">
        <f t="shared" si="9"/>
        <v>71037</v>
      </c>
      <c r="I229" t="s">
        <v>1249</v>
      </c>
      <c r="J229">
        <v>72</v>
      </c>
      <c r="K229">
        <v>209</v>
      </c>
      <c r="L229">
        <v>204</v>
      </c>
      <c r="M229" s="6">
        <v>255</v>
      </c>
      <c r="N229" s="6" t="str">
        <f t="shared" si="10"/>
        <v>228: (72, 209, 204, 255, Water depth decrease (evaporation): 71037),</v>
      </c>
      <c r="O229" s="5" t="str">
        <f>VLOOKUP(Australia!B229,Impacts!$A$2:$B$80,2, FALSE)</f>
        <v>Decrease in the amount of water from an existing water body.</v>
      </c>
      <c r="P229" s="5" t="str">
        <f>VLOOKUP(E229,Pressures!$A$2:$B$145,2,FALSE)</f>
        <v>Water changing from a liquid to a gas.</v>
      </c>
      <c r="AB229" s="32">
        <v>227227</v>
      </c>
      <c r="AC229" s="32">
        <v>228228</v>
      </c>
      <c r="AD229" s="32">
        <v>220220</v>
      </c>
      <c r="AW229" s="5">
        <v>0</v>
      </c>
      <c r="AX229" s="5">
        <v>1</v>
      </c>
      <c r="AZ229" s="5">
        <v>1</v>
      </c>
      <c r="BA229" s="5">
        <v>2</v>
      </c>
      <c r="BB229" s="5">
        <v>3</v>
      </c>
      <c r="BD229" s="7">
        <v>111220</v>
      </c>
      <c r="BE229" s="7">
        <v>112220</v>
      </c>
      <c r="BF229" s="7">
        <v>123220</v>
      </c>
      <c r="BG229" s="7">
        <v>124220</v>
      </c>
      <c r="BI229" s="7">
        <v>216220</v>
      </c>
      <c r="BV229" s="5">
        <v>2</v>
      </c>
      <c r="CZ229" s="47">
        <v>11</v>
      </c>
      <c r="DK229" s="8"/>
      <c r="DL229" s="8"/>
      <c r="DM229" s="8"/>
      <c r="DN229" s="8"/>
      <c r="DO229" s="50"/>
      <c r="DP229" s="50"/>
      <c r="DQ229" s="50"/>
      <c r="DR229" s="50"/>
      <c r="DS229" s="50"/>
      <c r="DT229" s="50"/>
      <c r="DU229" s="50"/>
      <c r="DV229" s="50"/>
      <c r="DW229" s="50"/>
      <c r="DX229" s="50"/>
      <c r="DY229" s="50">
        <v>1</v>
      </c>
      <c r="DZ229" s="50">
        <v>1</v>
      </c>
      <c r="EA229" s="50"/>
      <c r="EB229" s="50"/>
      <c r="EC229" s="50"/>
      <c r="ED229" s="50"/>
      <c r="EE229" s="50"/>
      <c r="EF229" s="50"/>
      <c r="EG229" s="50"/>
      <c r="EH229" s="50"/>
      <c r="EI229" s="50"/>
      <c r="EJ229" s="50"/>
      <c r="EK229" s="50"/>
      <c r="EL229" s="50"/>
      <c r="EM229" s="50"/>
      <c r="EN229" s="50"/>
      <c r="EO229" s="50"/>
      <c r="EP229" s="50"/>
      <c r="EQ229" s="50"/>
      <c r="ER229" s="50"/>
      <c r="ET229" s="55">
        <f t="shared" si="11"/>
        <v>2</v>
      </c>
    </row>
    <row r="230" spans="1:150" s="5" customFormat="1" ht="16" customHeight="1" x14ac:dyDescent="0.2">
      <c r="A230" s="5">
        <v>72</v>
      </c>
      <c r="B230" s="8" t="s">
        <v>530</v>
      </c>
      <c r="C230" s="8" t="s">
        <v>166</v>
      </c>
      <c r="D230" s="5">
        <v>16</v>
      </c>
      <c r="E230" s="5" t="s">
        <v>167</v>
      </c>
      <c r="F230" s="21" t="s">
        <v>531</v>
      </c>
      <c r="G230" s="21">
        <v>229</v>
      </c>
      <c r="H230" s="5">
        <f t="shared" si="9"/>
        <v>72016</v>
      </c>
      <c r="I230" t="s">
        <v>1250</v>
      </c>
      <c r="J230">
        <v>148</v>
      </c>
      <c r="K230">
        <v>0</v>
      </c>
      <c r="L230">
        <v>211</v>
      </c>
      <c r="M230" s="6">
        <v>255</v>
      </c>
      <c r="N230" s="6" t="str">
        <f t="shared" si="10"/>
        <v>229: (148, 0, 211, 255, Water depth increase (construction): 72016),</v>
      </c>
      <c r="O230" s="5" t="str">
        <f>VLOOKUP(Australia!B230,Impacts!$A$2:$B$80,2, FALSE)</f>
        <v>Increase in the amount of water within an existing water body.</v>
      </c>
      <c r="P230" s="5" t="str">
        <f>VLOOKUP(E230,Pressures!$A$2:$B$145,2,FALSE)</f>
        <v>Creation of infrastructure such as railways, roads, mines, buildings, agricultural farms, aquaculture farms or dams.</v>
      </c>
      <c r="AB230" s="32">
        <v>227227</v>
      </c>
      <c r="AC230" s="32">
        <v>228228</v>
      </c>
      <c r="AD230" s="32">
        <v>220220</v>
      </c>
      <c r="CZ230" s="47">
        <v>11</v>
      </c>
      <c r="DO230" s="50"/>
      <c r="DP230" s="50"/>
      <c r="DQ230" s="50"/>
      <c r="DR230" s="50">
        <v>1</v>
      </c>
      <c r="DS230" s="50"/>
      <c r="DT230" s="50"/>
      <c r="DU230" s="50"/>
      <c r="DV230" s="50"/>
      <c r="DW230" s="50"/>
      <c r="DX230" s="50"/>
      <c r="DY230" s="50"/>
      <c r="DZ230" s="50"/>
      <c r="EA230" s="50"/>
      <c r="EB230" s="50"/>
      <c r="EC230" s="50"/>
      <c r="ED230" s="50"/>
      <c r="EE230" s="50"/>
      <c r="EF230" s="50"/>
      <c r="EG230" s="50"/>
      <c r="EH230" s="50"/>
      <c r="EI230" s="50"/>
      <c r="EJ230" s="50"/>
      <c r="EK230" s="50"/>
      <c r="EL230" s="50">
        <v>1</v>
      </c>
      <c r="EM230" s="50"/>
      <c r="EN230" s="50"/>
      <c r="EO230" s="50"/>
      <c r="EP230" s="50"/>
      <c r="EQ230" s="50"/>
      <c r="ER230" s="50"/>
      <c r="ET230" s="55">
        <f t="shared" si="11"/>
        <v>2</v>
      </c>
    </row>
    <row r="231" spans="1:150" s="5" customFormat="1" ht="16" customHeight="1" x14ac:dyDescent="0.2">
      <c r="A231" s="5">
        <v>72</v>
      </c>
      <c r="B231" s="8" t="s">
        <v>530</v>
      </c>
      <c r="C231" s="8" t="s">
        <v>258</v>
      </c>
      <c r="D231" s="5">
        <v>29</v>
      </c>
      <c r="E231" s="5" t="s">
        <v>259</v>
      </c>
      <c r="F231" s="21" t="s">
        <v>532</v>
      </c>
      <c r="G231" s="21">
        <v>230</v>
      </c>
      <c r="H231" s="5">
        <f t="shared" si="9"/>
        <v>72029</v>
      </c>
      <c r="I231" t="s">
        <v>1251</v>
      </c>
      <c r="J231">
        <v>240</v>
      </c>
      <c r="K231">
        <v>255</v>
      </c>
      <c r="L231">
        <v>255</v>
      </c>
      <c r="M231" s="6">
        <v>255</v>
      </c>
      <c r="N231" s="6" t="str">
        <f t="shared" si="10"/>
        <v>230: (240, 255, 255, 255, Water depth increase (dredging): 72029),</v>
      </c>
      <c r="O231" s="5" t="str">
        <f>VLOOKUP(Australia!B231,Impacts!$A$2:$B$80,2, FALSE)</f>
        <v>Increase in the amount of water within an existing water body.</v>
      </c>
      <c r="P231" s="5" t="str">
        <f>VLOOKUP(E231,Pressures!$A$2:$B$145,2,FALSE)</f>
        <v>Removing silt and other material from the bottom of bodies of water</v>
      </c>
      <c r="AB231" s="32">
        <v>227227</v>
      </c>
      <c r="AC231" s="32">
        <v>228228</v>
      </c>
      <c r="AD231" s="32">
        <v>220220</v>
      </c>
      <c r="CZ231" s="47">
        <v>11</v>
      </c>
      <c r="DO231" s="50"/>
      <c r="DP231" s="50"/>
      <c r="DQ231" s="50"/>
      <c r="DR231" s="50">
        <v>1</v>
      </c>
      <c r="DS231" s="50"/>
      <c r="DT231" s="50"/>
      <c r="DU231" s="50"/>
      <c r="DV231" s="50"/>
      <c r="DW231" s="50"/>
      <c r="DX231" s="50"/>
      <c r="DY231" s="50"/>
      <c r="DZ231" s="50"/>
      <c r="EA231" s="50"/>
      <c r="EB231" s="50"/>
      <c r="EC231" s="50"/>
      <c r="ED231" s="50"/>
      <c r="EE231" s="50"/>
      <c r="EF231" s="50"/>
      <c r="EG231" s="50"/>
      <c r="EH231" s="50"/>
      <c r="EI231" s="50"/>
      <c r="EJ231" s="50"/>
      <c r="EK231" s="50">
        <v>1</v>
      </c>
      <c r="EL231" s="50"/>
      <c r="EM231" s="50"/>
      <c r="EN231" s="50"/>
      <c r="EO231" s="50"/>
      <c r="EP231" s="50"/>
      <c r="EQ231" s="50"/>
      <c r="ER231" s="50"/>
      <c r="ET231" s="55">
        <f t="shared" si="11"/>
        <v>2</v>
      </c>
    </row>
    <row r="232" spans="1:150" s="5" customFormat="1" ht="16" customHeight="1" x14ac:dyDescent="0.2">
      <c r="A232" s="5">
        <v>72</v>
      </c>
      <c r="B232" s="8" t="s">
        <v>530</v>
      </c>
      <c r="C232" s="8" t="s">
        <v>42</v>
      </c>
      <c r="D232" s="5">
        <v>44</v>
      </c>
      <c r="E232" s="5" t="s">
        <v>43</v>
      </c>
      <c r="F232" s="21" t="s">
        <v>533</v>
      </c>
      <c r="G232" s="21">
        <v>231</v>
      </c>
      <c r="H232" s="5">
        <f t="shared" si="9"/>
        <v>72044</v>
      </c>
      <c r="I232" t="s">
        <v>1252</v>
      </c>
      <c r="J232">
        <v>65</v>
      </c>
      <c r="K232">
        <v>102</v>
      </c>
      <c r="L232">
        <v>245</v>
      </c>
      <c r="M232" s="6">
        <v>255</v>
      </c>
      <c r="N232" s="6" t="str">
        <f t="shared" si="10"/>
        <v>231: (65, 102, 245, 255, Water depth increase (flooding): 72044),</v>
      </c>
      <c r="O232" s="5" t="str">
        <f>VLOOKUP(Australia!B232,Impacts!$A$2:$B$80,2, FALSE)</f>
        <v>Increase in the amount of water within an existing water body.</v>
      </c>
      <c r="P232" s="5" t="str">
        <f>VLOOKUP(E232,Pressures!$A$2:$B$145,2,FALSE)</f>
        <v>The inundation of water over land that is generally dry.</v>
      </c>
      <c r="AB232" s="32">
        <v>227227</v>
      </c>
      <c r="AC232" s="32">
        <v>228228</v>
      </c>
      <c r="AD232" s="32">
        <v>220220</v>
      </c>
      <c r="CZ232" s="47">
        <v>11</v>
      </c>
      <c r="DO232" s="50"/>
      <c r="DP232" s="50"/>
      <c r="DQ232" s="50"/>
      <c r="DR232" s="50"/>
      <c r="DS232" s="50">
        <v>1</v>
      </c>
      <c r="DT232" s="50">
        <v>1</v>
      </c>
      <c r="DU232" s="50"/>
      <c r="DV232" s="50"/>
      <c r="DW232" s="50"/>
      <c r="DX232" s="50"/>
      <c r="DY232" s="50"/>
      <c r="DZ232" s="50"/>
      <c r="EA232" s="50"/>
      <c r="EB232" s="50"/>
      <c r="EC232" s="50"/>
      <c r="ED232" s="50"/>
      <c r="EE232" s="50"/>
      <c r="EF232" s="50"/>
      <c r="EG232" s="50"/>
      <c r="EH232" s="50"/>
      <c r="EI232" s="50"/>
      <c r="EJ232" s="50"/>
      <c r="EK232" s="50"/>
      <c r="EL232" s="50"/>
      <c r="EM232" s="50"/>
      <c r="EN232" s="50"/>
      <c r="EO232" s="50"/>
      <c r="EP232" s="50"/>
      <c r="EQ232" s="50"/>
      <c r="ER232" s="50"/>
      <c r="ET232" s="55">
        <f t="shared" si="11"/>
        <v>2</v>
      </c>
    </row>
    <row r="233" spans="1:150" s="5" customFormat="1" ht="16" customHeight="1" x14ac:dyDescent="0.2">
      <c r="A233" s="5">
        <v>72</v>
      </c>
      <c r="B233" s="8" t="s">
        <v>530</v>
      </c>
      <c r="C233" s="8" t="s">
        <v>175</v>
      </c>
      <c r="D233" s="5">
        <v>110</v>
      </c>
      <c r="E233" s="5" t="s">
        <v>176</v>
      </c>
      <c r="F233" s="21" t="s">
        <v>534</v>
      </c>
      <c r="G233" s="21">
        <v>232</v>
      </c>
      <c r="H233" s="5">
        <f t="shared" si="9"/>
        <v>72110</v>
      </c>
      <c r="I233" t="s">
        <v>1253</v>
      </c>
      <c r="J233">
        <v>143</v>
      </c>
      <c r="K233">
        <v>188</v>
      </c>
      <c r="L233">
        <v>143</v>
      </c>
      <c r="M233" s="6">
        <v>255</v>
      </c>
      <c r="N233" s="6" t="str">
        <f t="shared" si="10"/>
        <v>232: (143, 188, 143, 255, Water depth increase (sea level fluctuation): 72110),</v>
      </c>
      <c r="O233" s="5" t="str">
        <f>VLOOKUP(Australia!B233,Impacts!$A$2:$B$80,2, FALSE)</f>
        <v>Increase in the amount of water within an existing water body.</v>
      </c>
      <c r="P233" s="5" t="str">
        <f>VLOOKUP(E233,Pressures!$A$2:$B$145,2,FALSE)</f>
        <v>Irregular rise and fall of sea level.</v>
      </c>
      <c r="AB233" s="32">
        <v>227227</v>
      </c>
      <c r="AC233" s="32">
        <v>228228</v>
      </c>
      <c r="AD233" s="32">
        <v>220220</v>
      </c>
      <c r="CZ233" s="47">
        <v>11</v>
      </c>
      <c r="DO233" s="50"/>
      <c r="DP233" s="50"/>
      <c r="DQ233" s="50"/>
      <c r="DR233" s="50"/>
      <c r="DS233" s="50">
        <v>1</v>
      </c>
      <c r="DT233" s="50"/>
      <c r="DU233" s="50"/>
      <c r="DV233" s="50"/>
      <c r="DW233" s="50"/>
      <c r="DX233" s="50"/>
      <c r="DY233" s="50"/>
      <c r="DZ233" s="50"/>
      <c r="EA233" s="50"/>
      <c r="EB233" s="50"/>
      <c r="EC233" s="50"/>
      <c r="ED233" s="50"/>
      <c r="EE233" s="50">
        <v>1</v>
      </c>
      <c r="EF233" s="50"/>
      <c r="EG233" s="50"/>
      <c r="EH233" s="50"/>
      <c r="EI233" s="50"/>
      <c r="EJ233" s="50"/>
      <c r="EK233" s="50"/>
      <c r="EL233" s="50"/>
      <c r="EM233" s="50"/>
      <c r="EN233" s="50"/>
      <c r="EO233" s="50"/>
      <c r="EP233" s="50"/>
      <c r="EQ233" s="50"/>
      <c r="ER233" s="50"/>
      <c r="ET233" s="55">
        <f t="shared" si="11"/>
        <v>2</v>
      </c>
    </row>
    <row r="234" spans="1:150" s="5" customFormat="1" ht="16" customHeight="1" x14ac:dyDescent="0.2">
      <c r="A234" s="5">
        <v>72</v>
      </c>
      <c r="B234" s="8" t="s">
        <v>530</v>
      </c>
      <c r="C234" s="8" t="s">
        <v>224</v>
      </c>
      <c r="D234" s="5">
        <v>117</v>
      </c>
      <c r="E234" s="5" t="s">
        <v>225</v>
      </c>
      <c r="F234" s="21" t="s">
        <v>535</v>
      </c>
      <c r="G234" s="21">
        <v>233</v>
      </c>
      <c r="H234" s="5">
        <f t="shared" si="9"/>
        <v>72117</v>
      </c>
      <c r="I234" t="s">
        <v>1254</v>
      </c>
      <c r="J234">
        <v>173</v>
      </c>
      <c r="K234">
        <v>216</v>
      </c>
      <c r="L234">
        <v>230</v>
      </c>
      <c r="M234" s="6">
        <v>255</v>
      </c>
      <c r="N234" s="6" t="str">
        <f t="shared" si="10"/>
        <v>233: (173, 216, 230, 255, Water depth increase (snowmelt): 72117),</v>
      </c>
      <c r="O234" s="5" t="str">
        <f>VLOOKUP(Australia!B234,Impacts!$A$2:$B$80,2, FALSE)</f>
        <v>Increase in the amount of water within an existing water body.</v>
      </c>
      <c r="P234" s="5" t="str">
        <f>VLOOKUP(E234,Pressures!$A$2:$B$145,2,FALSE)</f>
        <v>Water produced by the melting of snow.</v>
      </c>
      <c r="AB234" s="32">
        <v>227227</v>
      </c>
      <c r="AC234" s="32">
        <v>228228</v>
      </c>
      <c r="AD234" s="32">
        <v>220220</v>
      </c>
      <c r="CZ234" s="47">
        <v>21</v>
      </c>
      <c r="DO234" s="50"/>
      <c r="DP234" s="50"/>
      <c r="DQ234" s="50"/>
      <c r="DR234" s="50"/>
      <c r="DS234" s="50"/>
      <c r="DT234" s="50">
        <v>1</v>
      </c>
      <c r="DU234" s="50">
        <v>1</v>
      </c>
      <c r="DV234" s="50"/>
      <c r="DW234" s="50"/>
      <c r="DX234" s="50"/>
      <c r="DY234" s="50"/>
      <c r="DZ234" s="50"/>
      <c r="EA234" s="50"/>
      <c r="EB234" s="50"/>
      <c r="EC234" s="50"/>
      <c r="ED234" s="50"/>
      <c r="EE234" s="50"/>
      <c r="EF234" s="50"/>
      <c r="EG234" s="50"/>
      <c r="EH234" s="50"/>
      <c r="EI234" s="50"/>
      <c r="EJ234" s="50"/>
      <c r="EK234" s="50"/>
      <c r="EL234" s="50"/>
      <c r="EM234" s="50"/>
      <c r="EN234" s="50"/>
      <c r="EO234" s="50"/>
      <c r="EP234" s="50"/>
      <c r="EQ234" s="50"/>
      <c r="ER234" s="50"/>
      <c r="ET234" s="55">
        <f t="shared" si="11"/>
        <v>2</v>
      </c>
    </row>
    <row r="235" spans="1:150" s="5" customFormat="1" ht="16" customHeight="1" x14ac:dyDescent="0.2">
      <c r="A235" s="5">
        <v>73</v>
      </c>
      <c r="B235" s="39" t="s">
        <v>682</v>
      </c>
      <c r="C235" s="39" t="s">
        <v>536</v>
      </c>
      <c r="D235" s="5">
        <v>8</v>
      </c>
      <c r="E235" s="5" t="s">
        <v>537</v>
      </c>
      <c r="F235" s="21" t="s">
        <v>538</v>
      </c>
      <c r="G235" s="21">
        <v>234</v>
      </c>
      <c r="H235" s="5">
        <f t="shared" si="9"/>
        <v>73008</v>
      </c>
      <c r="I235" t="s">
        <v>1255</v>
      </c>
      <c r="J235">
        <v>0</v>
      </c>
      <c r="K235">
        <v>255</v>
      </c>
      <c r="L235">
        <v>255</v>
      </c>
      <c r="M235" s="6">
        <v>255</v>
      </c>
      <c r="N235" s="6" t="str">
        <f t="shared" si="10"/>
        <v>234: (0, 255, 255, 255, Water gain (extent) (aquaculture expansion): 73008),</v>
      </c>
      <c r="O235" s="5" t="str">
        <f>VLOOKUP(Australia!B235,Impacts!$A$2:$B$80,2, FALSE)</f>
        <v>Increase in the extent of water from the bounds of an existing water body.</v>
      </c>
      <c r="P235" s="5" t="str">
        <f>VLOOKUP(E235,Pressures!$A$2:$B$145,2,FALSE)</f>
        <v>Increase in the area of farms used for rearing of fish, shellfish, and some aquatic plants to supplement the natural supply.</v>
      </c>
      <c r="AE235" s="32">
        <v>112227</v>
      </c>
      <c r="AF235" s="32">
        <v>123227</v>
      </c>
      <c r="AG235" s="32">
        <v>124227</v>
      </c>
      <c r="AH235" s="32">
        <v>215227</v>
      </c>
      <c r="AI235" s="32">
        <v>216227</v>
      </c>
      <c r="AJ235" s="32">
        <v>111220</v>
      </c>
      <c r="AK235" s="32">
        <v>112220</v>
      </c>
      <c r="AL235" s="32">
        <v>123220</v>
      </c>
      <c r="AM235" s="32">
        <v>124220</v>
      </c>
      <c r="AN235" s="32">
        <v>215220</v>
      </c>
      <c r="AO235" s="32">
        <v>216220</v>
      </c>
      <c r="CZ235" s="47">
        <v>1</v>
      </c>
      <c r="DO235" s="50"/>
      <c r="DP235" s="50"/>
      <c r="DQ235" s="50"/>
      <c r="DR235" s="50"/>
      <c r="DS235" s="50"/>
      <c r="DT235" s="50"/>
      <c r="DU235" s="50"/>
      <c r="DV235" s="50"/>
      <c r="DW235" s="50"/>
      <c r="DX235" s="50"/>
      <c r="DY235" s="50"/>
      <c r="DZ235" s="50"/>
      <c r="EA235" s="50"/>
      <c r="EB235" s="50"/>
      <c r="EC235" s="50"/>
      <c r="ED235" s="50"/>
      <c r="EE235" s="50"/>
      <c r="EF235" s="50"/>
      <c r="EG235" s="50"/>
      <c r="EH235" s="50"/>
      <c r="EI235" s="50"/>
      <c r="EJ235" s="50"/>
      <c r="EK235" s="50"/>
      <c r="EL235" s="50"/>
      <c r="EM235" s="50">
        <v>1</v>
      </c>
      <c r="EN235" s="50"/>
      <c r="EO235" s="50"/>
      <c r="EP235" s="50"/>
      <c r="EQ235" s="50"/>
      <c r="ER235" s="50"/>
      <c r="ES235" s="5">
        <v>1</v>
      </c>
      <c r="ET235" s="55">
        <f t="shared" si="11"/>
        <v>2</v>
      </c>
    </row>
    <row r="236" spans="1:150" s="5" customFormat="1" ht="16" customHeight="1" x14ac:dyDescent="0.2">
      <c r="A236" s="5">
        <v>73</v>
      </c>
      <c r="B236" s="39" t="s">
        <v>682</v>
      </c>
      <c r="C236" s="39" t="s">
        <v>92</v>
      </c>
      <c r="D236" s="5">
        <v>38</v>
      </c>
      <c r="E236" s="5" t="s">
        <v>93</v>
      </c>
      <c r="F236" s="21" t="s">
        <v>539</v>
      </c>
      <c r="G236" s="21">
        <v>235</v>
      </c>
      <c r="H236" s="5">
        <f t="shared" si="9"/>
        <v>73038</v>
      </c>
      <c r="I236" t="s">
        <v>1256</v>
      </c>
      <c r="J236">
        <v>0</v>
      </c>
      <c r="K236">
        <v>0</v>
      </c>
      <c r="L236">
        <v>139</v>
      </c>
      <c r="M236" s="6">
        <v>255</v>
      </c>
      <c r="N236" s="6" t="str">
        <f t="shared" si="10"/>
        <v>235: (0, 0, 139, 255, Water gain (extent) (excess precipitation): 73038),</v>
      </c>
      <c r="O236" s="5" t="str">
        <f>VLOOKUP(Australia!B236,Impacts!$A$2:$B$80,2, FALSE)</f>
        <v>Increase in the extent of water from the bounds of an existing water body.</v>
      </c>
      <c r="P236" s="5" t="str">
        <f>VLOOKUP(E236,Pressures!$A$2:$B$145,2,FALSE)</f>
        <v>Above-normal increase in the amount of rain or snowfall.</v>
      </c>
      <c r="AE236" s="32">
        <v>112228</v>
      </c>
      <c r="AF236" s="32">
        <v>123228</v>
      </c>
      <c r="AG236" s="32">
        <v>124228</v>
      </c>
      <c r="AH236" s="32">
        <v>215228</v>
      </c>
      <c r="AI236" s="32">
        <v>216228</v>
      </c>
      <c r="AJ236" s="32">
        <v>111220</v>
      </c>
      <c r="AK236" s="32">
        <v>112220</v>
      </c>
      <c r="AL236" s="32">
        <v>123220</v>
      </c>
      <c r="AM236" s="32">
        <v>124220</v>
      </c>
      <c r="AN236" s="32">
        <v>215220</v>
      </c>
      <c r="AO236" s="32">
        <v>216220</v>
      </c>
      <c r="CZ236" s="47">
        <v>1</v>
      </c>
      <c r="DO236" s="50"/>
      <c r="DP236" s="50"/>
      <c r="DQ236" s="50"/>
      <c r="DR236" s="50"/>
      <c r="DS236" s="50"/>
      <c r="DT236" s="50"/>
      <c r="DU236" s="50"/>
      <c r="DV236" s="50"/>
      <c r="DW236" s="50"/>
      <c r="DX236" s="50"/>
      <c r="DY236" s="50"/>
      <c r="DZ236" s="50"/>
      <c r="EA236" s="50"/>
      <c r="EB236" s="50">
        <v>1</v>
      </c>
      <c r="EC236" s="50"/>
      <c r="ED236" s="50"/>
      <c r="EE236" s="50"/>
      <c r="EF236" s="50"/>
      <c r="EG236" s="50"/>
      <c r="EH236" s="50"/>
      <c r="EI236" s="50"/>
      <c r="EJ236" s="50"/>
      <c r="EK236" s="50"/>
      <c r="EL236" s="50"/>
      <c r="EM236" s="50"/>
      <c r="EN236" s="50"/>
      <c r="EO236" s="50"/>
      <c r="EP236" s="50"/>
      <c r="EQ236" s="50"/>
      <c r="ER236" s="50"/>
      <c r="ET236" s="55">
        <f t="shared" si="11"/>
        <v>1</v>
      </c>
    </row>
    <row r="237" spans="1:150" s="5" customFormat="1" ht="16" customHeight="1" x14ac:dyDescent="0.2">
      <c r="A237" s="5">
        <v>73</v>
      </c>
      <c r="B237" s="39" t="s">
        <v>682</v>
      </c>
      <c r="C237" s="39" t="s">
        <v>42</v>
      </c>
      <c r="D237" s="5">
        <v>44</v>
      </c>
      <c r="E237" s="5" t="s">
        <v>43</v>
      </c>
      <c r="F237" s="21" t="s">
        <v>540</v>
      </c>
      <c r="G237" s="21">
        <v>236</v>
      </c>
      <c r="H237" s="5">
        <f t="shared" si="9"/>
        <v>73044</v>
      </c>
      <c r="I237" t="s">
        <v>1257</v>
      </c>
      <c r="J237">
        <v>65</v>
      </c>
      <c r="K237">
        <v>105</v>
      </c>
      <c r="L237">
        <v>225</v>
      </c>
      <c r="M237" s="6">
        <v>255</v>
      </c>
      <c r="N237" s="6" t="str">
        <f t="shared" si="10"/>
        <v>236: (65, 105, 225, 255, Water gain (extent) (flooding): 73044),</v>
      </c>
      <c r="O237" s="5" t="str">
        <f>VLOOKUP(Australia!B237,Impacts!$A$2:$B$80,2, FALSE)</f>
        <v>Increase in the extent of water from the bounds of an existing water body.</v>
      </c>
      <c r="P237" s="5" t="str">
        <f>VLOOKUP(E237,Pressures!$A$2:$B$145,2,FALSE)</f>
        <v>The inundation of water over land that is generally dry.</v>
      </c>
      <c r="U237" s="5" t="s">
        <v>713</v>
      </c>
      <c r="AE237" s="32">
        <v>112228</v>
      </c>
      <c r="AF237" s="32">
        <v>123228</v>
      </c>
      <c r="AG237" s="32">
        <v>124228</v>
      </c>
      <c r="AH237" s="32">
        <v>215228</v>
      </c>
      <c r="AI237" s="32">
        <v>216228</v>
      </c>
      <c r="AJ237" s="32">
        <v>111220</v>
      </c>
      <c r="AK237" s="32">
        <v>112220</v>
      </c>
      <c r="AL237" s="32">
        <v>123220</v>
      </c>
      <c r="AM237" s="32">
        <v>124220</v>
      </c>
      <c r="AN237" s="32">
        <v>215220</v>
      </c>
      <c r="AO237" s="32">
        <v>216220</v>
      </c>
      <c r="CZ237" s="47">
        <v>1</v>
      </c>
      <c r="DO237" s="50"/>
      <c r="DP237" s="50"/>
      <c r="DQ237" s="50"/>
      <c r="DR237" s="50"/>
      <c r="DS237" s="50">
        <v>1</v>
      </c>
      <c r="DT237" s="50"/>
      <c r="DU237" s="50"/>
      <c r="DV237" s="50"/>
      <c r="DW237" s="50"/>
      <c r="DX237" s="50"/>
      <c r="DY237" s="50"/>
      <c r="DZ237" s="50"/>
      <c r="EA237" s="50"/>
      <c r="EB237" s="50"/>
      <c r="EC237" s="50"/>
      <c r="ED237" s="50"/>
      <c r="EE237" s="50"/>
      <c r="EF237" s="50"/>
      <c r="EG237" s="50"/>
      <c r="EH237" s="50"/>
      <c r="EI237" s="50"/>
      <c r="EJ237" s="50"/>
      <c r="EK237" s="50"/>
      <c r="EL237" s="50"/>
      <c r="EM237" s="50"/>
      <c r="EN237" s="50"/>
      <c r="EO237" s="50"/>
      <c r="EP237" s="50"/>
      <c r="EQ237" s="50"/>
      <c r="ER237" s="50"/>
      <c r="ET237" s="55">
        <f t="shared" si="11"/>
        <v>1</v>
      </c>
    </row>
    <row r="238" spans="1:150" s="5" customFormat="1" ht="16" customHeight="1" x14ac:dyDescent="0.2">
      <c r="A238" s="5">
        <v>73</v>
      </c>
      <c r="B238" s="39" t="s">
        <v>682</v>
      </c>
      <c r="C238" s="39" t="s">
        <v>541</v>
      </c>
      <c r="D238" s="5">
        <v>119</v>
      </c>
      <c r="E238" s="5" t="s">
        <v>542</v>
      </c>
      <c r="F238" s="21" t="s">
        <v>543</v>
      </c>
      <c r="G238" s="21">
        <v>237</v>
      </c>
      <c r="H238" s="5">
        <f t="shared" si="9"/>
        <v>73119</v>
      </c>
      <c r="I238" t="s">
        <v>1258</v>
      </c>
      <c r="J238">
        <v>100</v>
      </c>
      <c r="K238">
        <v>149</v>
      </c>
      <c r="L238">
        <v>237</v>
      </c>
      <c r="M238" s="6">
        <v>255</v>
      </c>
      <c r="N238" s="6" t="str">
        <f t="shared" si="10"/>
        <v>237: (100, 149, 237, 255, Water gain (extent) (storm surge): 73119),</v>
      </c>
      <c r="O238" s="5" t="str">
        <f>VLOOKUP(Australia!B238,Impacts!$A$2:$B$80,2, FALSE)</f>
        <v>Increase in the extent of water from the bounds of an existing water body.</v>
      </c>
      <c r="P238" s="5" t="str">
        <f>VLOOKUP(E238,Pressures!$A$2:$B$145,2,FALSE)</f>
        <v xml:space="preserve">An abnormal rise in sea level over and above the normal (astronomical) tide levels. It can be thought of as the change in the water level due to the presence of a storm. </v>
      </c>
      <c r="AE238" s="32">
        <v>112228</v>
      </c>
      <c r="AF238" s="32">
        <v>123228</v>
      </c>
      <c r="AG238" s="32">
        <v>124228</v>
      </c>
      <c r="AH238" s="32">
        <v>215228</v>
      </c>
      <c r="AI238" s="32">
        <v>216228</v>
      </c>
      <c r="AJ238" s="32">
        <v>111220</v>
      </c>
      <c r="AK238" s="32">
        <v>112220</v>
      </c>
      <c r="AL238" s="32">
        <v>123220</v>
      </c>
      <c r="AM238" s="32">
        <v>124220</v>
      </c>
      <c r="AN238" s="32">
        <v>215220</v>
      </c>
      <c r="AO238" s="32">
        <v>216220</v>
      </c>
      <c r="BD238" s="7"/>
      <c r="BE238" s="7"/>
      <c r="BF238" s="7"/>
      <c r="BG238" s="7"/>
      <c r="BH238" s="7"/>
      <c r="BI238" s="7"/>
      <c r="BJ238" s="7"/>
      <c r="BK238" s="7"/>
      <c r="BL238" s="7"/>
      <c r="BM238" s="7"/>
      <c r="BN238" s="7"/>
      <c r="BO238" s="7"/>
      <c r="BP238" s="7"/>
      <c r="BQ238" s="7"/>
      <c r="BR238" s="7"/>
      <c r="BS238" s="7"/>
      <c r="BT238" s="7"/>
      <c r="CZ238" s="47">
        <v>1</v>
      </c>
      <c r="DK238" s="8"/>
      <c r="DL238" s="8"/>
      <c r="DM238" s="8"/>
      <c r="DN238" s="8"/>
      <c r="DO238" s="50"/>
      <c r="DP238" s="50"/>
      <c r="DQ238" s="50"/>
      <c r="DR238" s="50"/>
      <c r="DS238" s="50">
        <v>1</v>
      </c>
      <c r="DT238" s="50"/>
      <c r="DU238" s="50"/>
      <c r="DV238" s="50"/>
      <c r="DW238" s="50"/>
      <c r="DX238" s="50"/>
      <c r="DY238" s="50"/>
      <c r="DZ238" s="50"/>
      <c r="EA238" s="50"/>
      <c r="EB238" s="50">
        <v>1</v>
      </c>
      <c r="EC238" s="50"/>
      <c r="ED238" s="50"/>
      <c r="EE238" s="50"/>
      <c r="EF238" s="50"/>
      <c r="EG238" s="50"/>
      <c r="EH238" s="50"/>
      <c r="EI238" s="50"/>
      <c r="EJ238" s="50"/>
      <c r="EK238" s="50"/>
      <c r="EL238" s="50"/>
      <c r="EM238" s="50"/>
      <c r="EN238" s="50"/>
      <c r="EO238" s="50"/>
      <c r="EP238" s="50"/>
      <c r="EQ238" s="50"/>
      <c r="ER238" s="50"/>
      <c r="ET238" s="55">
        <f t="shared" si="11"/>
        <v>2</v>
      </c>
    </row>
    <row r="239" spans="1:150" s="5" customFormat="1" ht="16" customHeight="1" x14ac:dyDescent="0.2">
      <c r="A239" s="5">
        <v>73</v>
      </c>
      <c r="B239" s="39" t="s">
        <v>682</v>
      </c>
      <c r="C239" s="39" t="s">
        <v>544</v>
      </c>
      <c r="D239" s="5">
        <v>144</v>
      </c>
      <c r="E239" s="5" t="s">
        <v>545</v>
      </c>
      <c r="F239" s="21" t="s">
        <v>748</v>
      </c>
      <c r="G239" s="21">
        <v>238</v>
      </c>
      <c r="H239" s="5">
        <f t="shared" si="9"/>
        <v>73144</v>
      </c>
      <c r="I239" t="s">
        <v>1259</v>
      </c>
      <c r="J239">
        <v>102</v>
      </c>
      <c r="K239">
        <v>205</v>
      </c>
      <c r="L239">
        <v>170</v>
      </c>
      <c r="M239" s="6">
        <v>255</v>
      </c>
      <c r="N239" s="6" t="str">
        <f t="shared" si="10"/>
        <v>238: (102, 205, 170, 255, Water gain (extent) (wetland restoration and/or construction): 73144),</v>
      </c>
      <c r="O239" s="5" t="str">
        <f>VLOOKUP(Australia!B239,Impacts!$A$2:$B$80,2, FALSE)</f>
        <v>Increase in the extent of water from the bounds of an existing water body.</v>
      </c>
      <c r="P239" s="5" t="str">
        <f>VLOOKUP(E239,Pressures!$A$2:$B$145,2,FALSE)</f>
        <v>The process of assisting the recovery of wetlands that has been degraded, damaged or destroyed.</v>
      </c>
      <c r="AE239" s="32">
        <v>112228</v>
      </c>
      <c r="AF239" s="32">
        <v>123228</v>
      </c>
      <c r="AG239" s="32">
        <v>124228</v>
      </c>
      <c r="AH239" s="32">
        <v>215228</v>
      </c>
      <c r="AI239" s="32">
        <v>216228</v>
      </c>
      <c r="AJ239" s="32">
        <v>111220</v>
      </c>
      <c r="AK239" s="32">
        <v>112220</v>
      </c>
      <c r="AL239" s="32">
        <v>123220</v>
      </c>
      <c r="AM239" s="32">
        <v>124220</v>
      </c>
      <c r="AN239" s="32">
        <v>215220</v>
      </c>
      <c r="AO239" s="32">
        <v>216220</v>
      </c>
      <c r="BD239" s="7"/>
      <c r="BE239" s="7"/>
      <c r="BF239" s="7"/>
      <c r="BG239" s="7"/>
      <c r="BH239" s="7"/>
      <c r="BI239" s="7"/>
      <c r="BJ239" s="7"/>
      <c r="BK239" s="7"/>
      <c r="BL239" s="7"/>
      <c r="BM239" s="7"/>
      <c r="BN239" s="7"/>
      <c r="BO239" s="7"/>
      <c r="BP239" s="7"/>
      <c r="BQ239" s="7"/>
      <c r="BR239" s="7"/>
      <c r="BS239" s="7"/>
      <c r="BT239" s="7"/>
      <c r="CZ239" s="47">
        <v>1</v>
      </c>
      <c r="DK239" s="8"/>
      <c r="DL239" s="8"/>
      <c r="DM239" s="8"/>
      <c r="DN239" s="8"/>
      <c r="DO239" s="50"/>
      <c r="DP239" s="50"/>
      <c r="DQ239" s="50"/>
      <c r="DR239" s="50"/>
      <c r="DS239" s="50"/>
      <c r="DT239" s="50"/>
      <c r="DU239" s="50"/>
      <c r="DV239" s="50"/>
      <c r="DW239" s="50"/>
      <c r="DX239" s="50"/>
      <c r="DY239" s="50"/>
      <c r="DZ239" s="50"/>
      <c r="EA239" s="50"/>
      <c r="EB239" s="50"/>
      <c r="EC239" s="50"/>
      <c r="ED239" s="50"/>
      <c r="EE239" s="50"/>
      <c r="EF239" s="50"/>
      <c r="EG239" s="50"/>
      <c r="EH239" s="50"/>
      <c r="EI239" s="50"/>
      <c r="EJ239" s="50"/>
      <c r="EK239" s="50"/>
      <c r="EL239" s="50">
        <v>1</v>
      </c>
      <c r="EM239" s="50"/>
      <c r="EN239" s="50"/>
      <c r="EO239" s="50"/>
      <c r="EP239" s="50"/>
      <c r="EQ239" s="50"/>
      <c r="ER239" s="50"/>
      <c r="ET239" s="55">
        <f t="shared" si="11"/>
        <v>1</v>
      </c>
    </row>
    <row r="240" spans="1:150" s="5" customFormat="1" ht="16" customHeight="1" x14ac:dyDescent="0.2">
      <c r="A240" s="5">
        <v>74</v>
      </c>
      <c r="B240" s="39" t="s">
        <v>683</v>
      </c>
      <c r="C240" s="39" t="s">
        <v>546</v>
      </c>
      <c r="D240" s="5">
        <v>9</v>
      </c>
      <c r="E240" s="5" t="s">
        <v>547</v>
      </c>
      <c r="F240" s="21" t="s">
        <v>548</v>
      </c>
      <c r="G240" s="21">
        <v>239</v>
      </c>
      <c r="H240" s="5">
        <f t="shared" si="9"/>
        <v>74009</v>
      </c>
      <c r="I240" t="s">
        <v>1260</v>
      </c>
      <c r="J240">
        <v>255</v>
      </c>
      <c r="K240">
        <v>182</v>
      </c>
      <c r="L240">
        <v>193</v>
      </c>
      <c r="M240" s="6">
        <v>255</v>
      </c>
      <c r="N240" s="6" t="str">
        <f t="shared" si="10"/>
        <v>239: (255, 182, 193, 255, Water loss (extent) (aquaculture loss): 74009),</v>
      </c>
      <c r="O240" s="5" t="str">
        <f>VLOOKUP(Australia!B240,Impacts!$A$2:$B$80,2, FALSE)</f>
        <v>Decrease in the extent of water from the bounds of an existing water body.</v>
      </c>
      <c r="P240" s="5" t="str">
        <f>VLOOKUP(E240,Pressures!$A$2:$B$145,2,FALSE)</f>
        <v>Loss of areas farmed for aquatic organisms, including fish, molluscs, crustaceans and aquatic plants.</v>
      </c>
      <c r="AE240" s="32">
        <v>228112</v>
      </c>
      <c r="AF240" s="32">
        <v>228123</v>
      </c>
      <c r="AG240" s="32">
        <v>228124</v>
      </c>
      <c r="AH240" s="32">
        <v>228215</v>
      </c>
      <c r="AI240" s="32">
        <v>228216</v>
      </c>
      <c r="AJ240" s="32">
        <v>220111</v>
      </c>
      <c r="AK240" s="32">
        <v>220112</v>
      </c>
      <c r="AL240" s="32">
        <v>220123</v>
      </c>
      <c r="AM240" s="32">
        <v>220124</v>
      </c>
      <c r="AN240" s="32">
        <v>220215</v>
      </c>
      <c r="AO240" s="32">
        <v>220216</v>
      </c>
      <c r="AW240" s="5">
        <v>0</v>
      </c>
      <c r="AX240" s="5">
        <v>90</v>
      </c>
      <c r="AZ240" s="5">
        <v>1</v>
      </c>
      <c r="BA240" s="5">
        <v>2</v>
      </c>
      <c r="BB240" s="5">
        <v>3</v>
      </c>
      <c r="BV240" s="5">
        <v>2</v>
      </c>
      <c r="DK240" s="8"/>
      <c r="DL240" s="8"/>
      <c r="DM240" s="8"/>
      <c r="DN240" s="8"/>
      <c r="DO240" s="50"/>
      <c r="DP240" s="50"/>
      <c r="DQ240" s="50"/>
      <c r="DR240" s="50"/>
      <c r="DS240" s="50"/>
      <c r="DT240" s="50"/>
      <c r="DU240" s="50"/>
      <c r="DV240" s="50"/>
      <c r="DW240" s="50"/>
      <c r="DX240" s="50"/>
      <c r="DY240" s="50"/>
      <c r="DZ240" s="50"/>
      <c r="EA240" s="50"/>
      <c r="EB240" s="50"/>
      <c r="EC240" s="50"/>
      <c r="ED240" s="50"/>
      <c r="EE240" s="50"/>
      <c r="EF240" s="50"/>
      <c r="EG240" s="50"/>
      <c r="EH240" s="50"/>
      <c r="EI240" s="50"/>
      <c r="EJ240" s="50"/>
      <c r="EK240" s="50"/>
      <c r="EL240" s="50"/>
      <c r="EM240" s="50">
        <v>1</v>
      </c>
      <c r="EN240" s="50"/>
      <c r="EO240" s="50"/>
      <c r="EP240" s="50"/>
      <c r="EQ240" s="50"/>
      <c r="ER240" s="50"/>
      <c r="ES240" s="5">
        <v>1</v>
      </c>
      <c r="ET240" s="55">
        <f t="shared" si="11"/>
        <v>2</v>
      </c>
    </row>
    <row r="241" spans="1:150" s="5" customFormat="1" ht="16" customHeight="1" x14ac:dyDescent="0.2">
      <c r="A241" s="5">
        <v>74</v>
      </c>
      <c r="B241" s="39" t="s">
        <v>683</v>
      </c>
      <c r="C241" s="39" t="s">
        <v>549</v>
      </c>
      <c r="D241" s="5">
        <v>31</v>
      </c>
      <c r="E241" s="5" t="s">
        <v>550</v>
      </c>
      <c r="F241" s="21" t="s">
        <v>551</v>
      </c>
      <c r="G241" s="21">
        <v>240</v>
      </c>
      <c r="H241" s="5">
        <f t="shared" si="9"/>
        <v>74031</v>
      </c>
      <c r="I241" t="s">
        <v>1261</v>
      </c>
      <c r="J241">
        <v>211</v>
      </c>
      <c r="K241">
        <v>211</v>
      </c>
      <c r="L241">
        <v>211</v>
      </c>
      <c r="M241" s="6">
        <v>255</v>
      </c>
      <c r="N241" s="6" t="str">
        <f t="shared" si="10"/>
        <v>240: (211, 211, 211, 255, Water loss (extent) (drying): 74031),</v>
      </c>
      <c r="O241" s="5" t="str">
        <f>VLOOKUP(Australia!B241,Impacts!$A$2:$B$80,2, FALSE)</f>
        <v>Decrease in the extent of water from the bounds of an existing water body.</v>
      </c>
      <c r="P241" s="5" t="str">
        <f>VLOOKUP(E241,Pressures!$A$2:$B$145,2,FALSE)</f>
        <v>Prolonged shortage of water that dries out water-dependent environments.</v>
      </c>
      <c r="U241" s="5">
        <v>1</v>
      </c>
      <c r="AE241" s="32">
        <v>228112</v>
      </c>
      <c r="AF241" s="32">
        <v>228123</v>
      </c>
      <c r="AG241" s="32">
        <v>228124</v>
      </c>
      <c r="AH241" s="32">
        <v>228215</v>
      </c>
      <c r="AI241" s="32">
        <v>228216</v>
      </c>
      <c r="AJ241" s="32">
        <v>220111</v>
      </c>
      <c r="AK241" s="32">
        <v>220112</v>
      </c>
      <c r="AL241" s="32">
        <v>220123</v>
      </c>
      <c r="AM241" s="32">
        <v>220124</v>
      </c>
      <c r="AN241" s="32">
        <v>220215</v>
      </c>
      <c r="AO241" s="32">
        <v>220216</v>
      </c>
      <c r="AU241" s="10">
        <v>1</v>
      </c>
      <c r="AV241" s="10">
        <v>2</v>
      </c>
      <c r="AW241" s="10">
        <v>0</v>
      </c>
      <c r="AX241" s="10">
        <v>90</v>
      </c>
      <c r="AZ241" s="10">
        <v>1</v>
      </c>
      <c r="BA241" s="10">
        <v>2</v>
      </c>
      <c r="BB241" s="10">
        <v>3</v>
      </c>
      <c r="BD241" s="11">
        <v>220112</v>
      </c>
      <c r="BN241" s="12">
        <v>220112</v>
      </c>
      <c r="BV241" s="10">
        <v>2</v>
      </c>
      <c r="BZ241" s="8">
        <v>11</v>
      </c>
      <c r="CA241" s="8">
        <v>22</v>
      </c>
      <c r="DA241" s="34">
        <v>17</v>
      </c>
      <c r="DB241" s="57">
        <v>18</v>
      </c>
      <c r="DC241" s="57">
        <v>19</v>
      </c>
      <c r="DD241" s="57">
        <v>78</v>
      </c>
      <c r="DE241" s="57">
        <v>79</v>
      </c>
      <c r="DG241"/>
      <c r="DK241" s="8"/>
      <c r="DL241" s="8"/>
      <c r="DM241" s="8"/>
      <c r="DN241" s="8"/>
      <c r="DO241" s="50"/>
      <c r="DP241" s="50"/>
      <c r="DQ241" s="50"/>
      <c r="DR241" s="50"/>
      <c r="DS241" s="50"/>
      <c r="DT241" s="50"/>
      <c r="DU241" s="50"/>
      <c r="DV241" s="50"/>
      <c r="DW241" s="50"/>
      <c r="DX241" s="50"/>
      <c r="DY241" s="50">
        <v>1</v>
      </c>
      <c r="DZ241" s="50">
        <v>1</v>
      </c>
      <c r="EA241" s="50"/>
      <c r="EB241" s="50"/>
      <c r="EC241" s="50"/>
      <c r="ED241" s="50"/>
      <c r="EE241" s="50"/>
      <c r="EF241" s="50"/>
      <c r="EG241" s="50"/>
      <c r="EH241" s="50"/>
      <c r="EI241" s="50"/>
      <c r="EJ241" s="50"/>
      <c r="EK241" s="50"/>
      <c r="EL241" s="50"/>
      <c r="EM241" s="50"/>
      <c r="EN241" s="50"/>
      <c r="EO241" s="50"/>
      <c r="EP241" s="50"/>
      <c r="EQ241" s="50"/>
      <c r="ER241" s="50"/>
      <c r="ET241" s="55">
        <f t="shared" si="11"/>
        <v>2</v>
      </c>
    </row>
    <row r="242" spans="1:150" s="5" customFormat="1" ht="16" customHeight="1" x14ac:dyDescent="0.2">
      <c r="A242" s="5">
        <v>74</v>
      </c>
      <c r="B242" s="39" t="s">
        <v>683</v>
      </c>
      <c r="C242" s="39" t="s">
        <v>428</v>
      </c>
      <c r="D242" s="5">
        <v>72</v>
      </c>
      <c r="E242" s="5" t="s">
        <v>429</v>
      </c>
      <c r="F242" s="21" t="s">
        <v>552</v>
      </c>
      <c r="G242" s="21">
        <v>241</v>
      </c>
      <c r="H242" s="5">
        <f t="shared" si="9"/>
        <v>74072</v>
      </c>
      <c r="I242" t="s">
        <v>1262</v>
      </c>
      <c r="J242">
        <v>123</v>
      </c>
      <c r="K242">
        <v>104</v>
      </c>
      <c r="L242">
        <v>238</v>
      </c>
      <c r="M242" s="6">
        <v>255</v>
      </c>
      <c r="N242" s="6" t="str">
        <f t="shared" si="10"/>
        <v>241: (123, 104, 238, 255, Water loss (extent) (land reclamation): 74072),</v>
      </c>
      <c r="O242" s="5" t="str">
        <f>VLOOKUP(Australia!B242,Impacts!$A$2:$B$80,2, FALSE)</f>
        <v>Decrease in the extent of water from the bounds of an existing water body.</v>
      </c>
      <c r="P242" s="5" t="str">
        <f>VLOOKUP(E242,Pressures!$A$2:$B$145,2,FALSE)</f>
        <v>The restoration of productivity or use to lands that have been degraded by past human activities or have been impaired by natural phenomena.</v>
      </c>
      <c r="AE242" s="32">
        <v>228112</v>
      </c>
      <c r="AF242" s="32">
        <v>228123</v>
      </c>
      <c r="AG242" s="32">
        <v>228124</v>
      </c>
      <c r="AH242" s="32">
        <v>228215</v>
      </c>
      <c r="AI242" s="32">
        <v>228216</v>
      </c>
      <c r="AJ242" s="32">
        <v>220111</v>
      </c>
      <c r="AK242" s="32">
        <v>220112</v>
      </c>
      <c r="AL242" s="32">
        <v>220123</v>
      </c>
      <c r="AM242" s="32">
        <v>220124</v>
      </c>
      <c r="AN242" s="32">
        <v>220215</v>
      </c>
      <c r="AO242" s="32">
        <v>220216</v>
      </c>
      <c r="AW242" s="5">
        <v>0</v>
      </c>
      <c r="AX242" s="5">
        <v>90</v>
      </c>
      <c r="AZ242" s="5">
        <v>1</v>
      </c>
      <c r="BA242" s="5">
        <v>2</v>
      </c>
      <c r="BB242" s="5">
        <v>3</v>
      </c>
      <c r="BD242" s="7">
        <v>220112</v>
      </c>
      <c r="BM242" s="7">
        <v>220111</v>
      </c>
      <c r="BN242" s="14">
        <v>220112</v>
      </c>
      <c r="BV242" s="5">
        <v>2</v>
      </c>
      <c r="DK242" s="13"/>
      <c r="DL242" s="13"/>
      <c r="DM242" s="13"/>
      <c r="DN242" s="13"/>
      <c r="DO242" s="52"/>
      <c r="DP242" s="50"/>
      <c r="DQ242" s="50"/>
      <c r="DR242" s="50"/>
      <c r="DS242" s="50"/>
      <c r="DT242" s="50"/>
      <c r="DU242" s="50"/>
      <c r="DV242" s="50"/>
      <c r="DW242" s="50"/>
      <c r="DX242" s="50"/>
      <c r="DY242" s="50"/>
      <c r="DZ242" s="50"/>
      <c r="EA242" s="50"/>
      <c r="EB242" s="50"/>
      <c r="EC242" s="50"/>
      <c r="ED242" s="50"/>
      <c r="EE242" s="50"/>
      <c r="EF242" s="50"/>
      <c r="EG242" s="50"/>
      <c r="EH242" s="50"/>
      <c r="EI242" s="50"/>
      <c r="EJ242" s="50"/>
      <c r="EK242" s="50"/>
      <c r="EL242" s="50">
        <v>1</v>
      </c>
      <c r="EM242" s="50"/>
      <c r="EN242" s="50"/>
      <c r="EO242" s="50"/>
      <c r="EP242" s="50"/>
      <c r="EQ242" s="50"/>
      <c r="ER242" s="50"/>
      <c r="ET242" s="55">
        <f t="shared" si="11"/>
        <v>1</v>
      </c>
    </row>
    <row r="243" spans="1:150" s="5" customFormat="1" ht="16" customHeight="1" x14ac:dyDescent="0.2">
      <c r="A243" s="5">
        <v>74</v>
      </c>
      <c r="B243" s="39" t="s">
        <v>683</v>
      </c>
      <c r="C243" s="39" t="s">
        <v>553</v>
      </c>
      <c r="D243" s="5">
        <v>101</v>
      </c>
      <c r="E243" s="5" t="s">
        <v>554</v>
      </c>
      <c r="F243" s="21" t="s">
        <v>555</v>
      </c>
      <c r="G243" s="21">
        <v>242</v>
      </c>
      <c r="H243" s="5">
        <f t="shared" si="9"/>
        <v>74101</v>
      </c>
      <c r="I243" t="s">
        <v>1263</v>
      </c>
      <c r="J243">
        <v>253</v>
      </c>
      <c r="K243">
        <v>245</v>
      </c>
      <c r="L243">
        <v>230</v>
      </c>
      <c r="M243" s="6">
        <v>255</v>
      </c>
      <c r="N243" s="6" t="str">
        <f t="shared" si="10"/>
        <v>242: (253, 245, 230, 255, Water loss (extent) (reduced snowfall): 74101),</v>
      </c>
      <c r="O243" s="5" t="str">
        <f>VLOOKUP(Australia!B243,Impacts!$A$2:$B$80,2, FALSE)</f>
        <v>Decrease in the extent of water from the bounds of an existing water body.</v>
      </c>
      <c r="P243" s="5" t="str">
        <f>VLOOKUP(E243,Pressures!$A$2:$B$145,2,FALSE)</f>
        <v>Reduced precipitation falling as snow.</v>
      </c>
      <c r="AE243" s="32">
        <v>228112</v>
      </c>
      <c r="AF243" s="32">
        <v>228123</v>
      </c>
      <c r="AG243" s="32">
        <v>228124</v>
      </c>
      <c r="AH243" s="32">
        <v>228215</v>
      </c>
      <c r="AI243" s="32">
        <v>228216</v>
      </c>
      <c r="AJ243" s="32">
        <v>220111</v>
      </c>
      <c r="AK243" s="32">
        <v>220112</v>
      </c>
      <c r="AL243" s="32">
        <v>220123</v>
      </c>
      <c r="AM243" s="32">
        <v>220124</v>
      </c>
      <c r="AN243" s="32">
        <v>220215</v>
      </c>
      <c r="AO243" s="32">
        <v>220216</v>
      </c>
      <c r="AW243" s="5">
        <v>0</v>
      </c>
      <c r="AX243" s="5">
        <v>90</v>
      </c>
      <c r="AZ243" s="5">
        <v>1</v>
      </c>
      <c r="BA243" s="5">
        <v>2</v>
      </c>
      <c r="BB243" s="5">
        <v>3</v>
      </c>
      <c r="BD243" s="7">
        <v>220112</v>
      </c>
      <c r="BM243" s="7">
        <v>220111</v>
      </c>
      <c r="BN243" s="7">
        <v>220112</v>
      </c>
      <c r="BO243" s="7">
        <v>220123</v>
      </c>
      <c r="BP243" s="7">
        <v>220124</v>
      </c>
      <c r="BQ243" s="7">
        <v>220215</v>
      </c>
      <c r="BR243" s="7">
        <v>220216</v>
      </c>
      <c r="BV243" s="5">
        <v>2</v>
      </c>
      <c r="DK243" s="8"/>
      <c r="DL243" s="8"/>
      <c r="DM243" s="8"/>
      <c r="DN243" s="8"/>
      <c r="DO243" s="50"/>
      <c r="DP243" s="50"/>
      <c r="DQ243" s="50"/>
      <c r="DR243" s="50"/>
      <c r="DS243" s="50"/>
      <c r="DT243" s="50"/>
      <c r="DU243" s="50"/>
      <c r="DV243" s="50"/>
      <c r="DW243" s="50"/>
      <c r="DX243" s="50"/>
      <c r="DY243" s="50"/>
      <c r="DZ243" s="50">
        <v>1</v>
      </c>
      <c r="EA243" s="50"/>
      <c r="EB243" s="50">
        <v>1</v>
      </c>
      <c r="EC243" s="50"/>
      <c r="ED243" s="50"/>
      <c r="EE243" s="50"/>
      <c r="EF243" s="50"/>
      <c r="EG243" s="50"/>
      <c r="EH243" s="50"/>
      <c r="EI243" s="50"/>
      <c r="EJ243" s="50"/>
      <c r="EK243" s="50"/>
      <c r="EL243" s="50"/>
      <c r="EM243" s="50"/>
      <c r="EN243" s="50"/>
      <c r="EO243" s="50"/>
      <c r="EP243" s="50"/>
      <c r="EQ243" s="50"/>
      <c r="ER243" s="50"/>
      <c r="ET243" s="55">
        <f t="shared" si="11"/>
        <v>2</v>
      </c>
    </row>
    <row r="244" spans="1:150" s="5" customFormat="1" ht="16" customHeight="1" x14ac:dyDescent="0.2">
      <c r="A244" s="5">
        <v>74</v>
      </c>
      <c r="B244" s="39" t="s">
        <v>683</v>
      </c>
      <c r="C244" s="39" t="s">
        <v>556</v>
      </c>
      <c r="D244" s="5">
        <v>143</v>
      </c>
      <c r="E244" s="5" t="s">
        <v>557</v>
      </c>
      <c r="F244" s="21" t="s">
        <v>558</v>
      </c>
      <c r="G244" s="21">
        <v>243</v>
      </c>
      <c r="H244" s="5">
        <f t="shared" si="9"/>
        <v>74143</v>
      </c>
      <c r="I244" t="s">
        <v>1264</v>
      </c>
      <c r="J244">
        <v>128</v>
      </c>
      <c r="K244">
        <v>0</v>
      </c>
      <c r="L244">
        <v>0</v>
      </c>
      <c r="M244" s="6">
        <v>255</v>
      </c>
      <c r="N244" s="6" t="str">
        <f t="shared" si="10"/>
        <v>243: (128, 0, 0, 255, Water loss (extent) (wetland drainage): 74143),</v>
      </c>
      <c r="O244" s="5" t="str">
        <f>VLOOKUP(Australia!B244,Impacts!$A$2:$B$80,2, FALSE)</f>
        <v>Decrease in the extent of water from the bounds of an existing water body.</v>
      </c>
      <c r="P244" s="5" t="str">
        <f>VLOOKUP(E244,Pressures!$A$2:$B$145,2,FALSE)</f>
        <v>Removal or exclusion of water from a wetland primarily through human interventions.</v>
      </c>
      <c r="AE244" s="32">
        <v>228112</v>
      </c>
      <c r="AF244" s="32">
        <v>228123</v>
      </c>
      <c r="AG244" s="32">
        <v>228124</v>
      </c>
      <c r="AH244" s="32">
        <v>228215</v>
      </c>
      <c r="AI244" s="32">
        <v>228216</v>
      </c>
      <c r="AJ244" s="32">
        <v>220111</v>
      </c>
      <c r="AK244" s="32">
        <v>220112</v>
      </c>
      <c r="AL244" s="32">
        <v>220123</v>
      </c>
      <c r="AM244" s="32">
        <v>220124</v>
      </c>
      <c r="AN244" s="32">
        <v>220215</v>
      </c>
      <c r="AO244" s="32">
        <v>220216</v>
      </c>
      <c r="AW244" s="5">
        <v>0</v>
      </c>
      <c r="AX244" s="5">
        <v>90</v>
      </c>
      <c r="AZ244" s="5">
        <v>1</v>
      </c>
      <c r="BA244" s="5">
        <v>2</v>
      </c>
      <c r="BB244" s="5">
        <v>3</v>
      </c>
      <c r="BL244" s="7">
        <v>220220</v>
      </c>
      <c r="DK244" s="8"/>
      <c r="DL244" s="8"/>
      <c r="DM244" s="8"/>
      <c r="DN244" s="8"/>
      <c r="DO244" s="50"/>
      <c r="DP244" s="50"/>
      <c r="DQ244" s="50"/>
      <c r="DR244" s="50"/>
      <c r="DS244" s="50"/>
      <c r="DT244" s="50"/>
      <c r="DU244" s="50"/>
      <c r="DV244" s="50"/>
      <c r="DW244" s="50"/>
      <c r="DX244" s="50"/>
      <c r="DY244" s="50"/>
      <c r="DZ244" s="50"/>
      <c r="EA244" s="50"/>
      <c r="EB244" s="50"/>
      <c r="EC244" s="50"/>
      <c r="ED244" s="50"/>
      <c r="EE244" s="50"/>
      <c r="EF244" s="50"/>
      <c r="EG244" s="50"/>
      <c r="EH244" s="50"/>
      <c r="EI244" s="50"/>
      <c r="EJ244" s="50"/>
      <c r="EK244" s="50"/>
      <c r="EL244" s="50">
        <v>1</v>
      </c>
      <c r="EM244" s="50"/>
      <c r="EN244" s="50"/>
      <c r="EO244" s="50"/>
      <c r="EP244" s="50"/>
      <c r="EQ244" s="50"/>
      <c r="ER244" s="50"/>
      <c r="ET244" s="55">
        <f t="shared" si="11"/>
        <v>1</v>
      </c>
    </row>
    <row r="245" spans="1:150" s="5" customFormat="1" ht="16" customHeight="1" x14ac:dyDescent="0.2">
      <c r="A245" s="5">
        <v>75</v>
      </c>
      <c r="B245" s="8" t="s">
        <v>559</v>
      </c>
      <c r="C245" s="8" t="s">
        <v>560</v>
      </c>
      <c r="D245" s="5">
        <v>45</v>
      </c>
      <c r="E245" s="5" t="s">
        <v>561</v>
      </c>
      <c r="F245" s="21" t="s">
        <v>562</v>
      </c>
      <c r="G245" s="21">
        <v>244</v>
      </c>
      <c r="H245" s="5">
        <v>75048</v>
      </c>
      <c r="I245" t="s">
        <v>1265</v>
      </c>
      <c r="J245">
        <v>255</v>
      </c>
      <c r="K245">
        <v>0</v>
      </c>
      <c r="L245">
        <v>255</v>
      </c>
      <c r="M245" s="6">
        <v>255</v>
      </c>
      <c r="N245" s="6" t="str">
        <f t="shared" si="10"/>
        <v>244: (255, 0, 255, 255, Water quality change (fracking): 75048),</v>
      </c>
      <c r="O245" s="5" t="str">
        <f>VLOOKUP(Australia!B245,Impacts!$A$2:$B$80,2, FALSE)</f>
        <v>Change in the physical, chemical and biological characteristics of water.</v>
      </c>
      <c r="P245" s="5" t="str">
        <f>VLOOKUP(E245,Pressures!$A$2:$B$145,2,FALSE)</f>
        <v>Fracking is the process of drilling down into the earth before a high-pressure water mixture is directed at the rock to release the gas inside.</v>
      </c>
      <c r="AB245" s="32">
        <v>227227</v>
      </c>
      <c r="AC245" s="32">
        <v>228228</v>
      </c>
      <c r="AD245" s="32">
        <v>220220</v>
      </c>
      <c r="AW245" s="5">
        <v>-1</v>
      </c>
      <c r="AX245" s="5">
        <v>99</v>
      </c>
      <c r="AZ245" s="5">
        <v>1</v>
      </c>
      <c r="BA245" s="5">
        <v>2</v>
      </c>
      <c r="BB245" s="5">
        <v>3</v>
      </c>
      <c r="BL245" s="7">
        <v>220220</v>
      </c>
      <c r="CZ245" s="47">
        <v>11</v>
      </c>
      <c r="DK245" s="8"/>
      <c r="DL245" s="8"/>
      <c r="DM245" s="8"/>
      <c r="DN245" s="8"/>
      <c r="DO245" s="50"/>
      <c r="DP245" s="50"/>
      <c r="DQ245" s="50"/>
      <c r="DR245" s="50"/>
      <c r="DS245" s="50"/>
      <c r="DT245" s="50"/>
      <c r="DU245" s="50"/>
      <c r="DV245" s="50"/>
      <c r="DW245" s="50"/>
      <c r="DX245" s="50"/>
      <c r="DY245" s="50"/>
      <c r="DZ245" s="50"/>
      <c r="EA245" s="50"/>
      <c r="EB245" s="50"/>
      <c r="EC245" s="50"/>
      <c r="ED245" s="50"/>
      <c r="EE245" s="50"/>
      <c r="EF245" s="50"/>
      <c r="EG245" s="50"/>
      <c r="EH245" s="50"/>
      <c r="EI245" s="50"/>
      <c r="EJ245" s="50"/>
      <c r="EK245" s="50">
        <v>1</v>
      </c>
      <c r="EL245" s="50">
        <v>1</v>
      </c>
      <c r="EM245" s="50"/>
      <c r="EN245" s="50"/>
      <c r="EO245" s="50"/>
      <c r="EP245" s="50"/>
      <c r="EQ245" s="50"/>
      <c r="ER245" s="50"/>
      <c r="ET245" s="55">
        <f t="shared" si="11"/>
        <v>2</v>
      </c>
    </row>
    <row r="246" spans="1:150" s="5" customFormat="1" ht="16" customHeight="1" x14ac:dyDescent="0.2">
      <c r="A246" s="5">
        <v>75</v>
      </c>
      <c r="B246" s="8" t="s">
        <v>559</v>
      </c>
      <c r="C246" s="8" t="s">
        <v>563</v>
      </c>
      <c r="D246" s="5">
        <v>84</v>
      </c>
      <c r="E246" s="5" t="s">
        <v>564</v>
      </c>
      <c r="F246" s="21" t="s">
        <v>565</v>
      </c>
      <c r="G246" s="21">
        <v>245</v>
      </c>
      <c r="H246" s="5">
        <v>75086</v>
      </c>
      <c r="I246" t="s">
        <v>1266</v>
      </c>
      <c r="J246">
        <v>135</v>
      </c>
      <c r="K246">
        <v>66</v>
      </c>
      <c r="L246">
        <v>31</v>
      </c>
      <c r="M246" s="6">
        <v>255</v>
      </c>
      <c r="N246" s="6" t="str">
        <f t="shared" si="10"/>
        <v>245: (135, 66, 31, 255, Water quality change (nutrification): 75086),</v>
      </c>
      <c r="O246" s="5" t="str">
        <f>VLOOKUP(Australia!B246,Impacts!$A$2:$B$80,2, FALSE)</f>
        <v>Change in the physical, chemical and biological characteristics of water.</v>
      </c>
      <c r="P246" s="5" t="str">
        <f>VLOOKUP(E246,Pressures!$A$2:$B$145,2,FALSE)</f>
        <v>The process by which water bodies such as estuaries or embayments receive excess nutrients from a variety of sources.</v>
      </c>
      <c r="AB246" s="32">
        <v>227227</v>
      </c>
      <c r="AC246" s="32">
        <v>228228</v>
      </c>
      <c r="AD246" s="32">
        <v>220220</v>
      </c>
      <c r="AW246" s="5">
        <v>-1</v>
      </c>
      <c r="AX246" s="5">
        <v>96</v>
      </c>
      <c r="AZ246" s="5">
        <v>1</v>
      </c>
      <c r="BA246" s="5">
        <v>2</v>
      </c>
      <c r="BB246" s="5">
        <v>3</v>
      </c>
      <c r="BD246" s="7"/>
      <c r="BE246" s="7"/>
      <c r="BF246" s="7"/>
      <c r="BG246" s="7"/>
      <c r="BH246" s="7"/>
      <c r="BI246" s="7"/>
      <c r="BJ246" s="7"/>
      <c r="BK246" s="7"/>
      <c r="BL246" s="7">
        <v>220220</v>
      </c>
      <c r="BM246" s="7"/>
      <c r="BN246" s="7"/>
      <c r="BO246" s="7"/>
      <c r="BP246" s="7"/>
      <c r="BQ246" s="7"/>
      <c r="BR246" s="7"/>
      <c r="BS246" s="7"/>
      <c r="BT246" s="7"/>
      <c r="CZ246" s="47">
        <v>11</v>
      </c>
      <c r="DK246" s="8"/>
      <c r="DL246" s="8"/>
      <c r="DM246" s="8"/>
      <c r="DN246" s="8"/>
      <c r="DO246" s="50"/>
      <c r="DP246" s="50"/>
      <c r="DQ246" s="50"/>
      <c r="DR246" s="50"/>
      <c r="DS246" s="50"/>
      <c r="DT246" s="50"/>
      <c r="DU246" s="50"/>
      <c r="DV246" s="50"/>
      <c r="DW246" s="50"/>
      <c r="DX246" s="50"/>
      <c r="DY246" s="50"/>
      <c r="DZ246" s="50"/>
      <c r="EA246" s="50"/>
      <c r="EB246" s="50"/>
      <c r="EC246" s="50"/>
      <c r="ED246" s="50"/>
      <c r="EE246" s="50"/>
      <c r="EF246" s="50"/>
      <c r="EG246" s="50"/>
      <c r="EH246" s="50"/>
      <c r="EI246" s="50"/>
      <c r="EJ246" s="50"/>
      <c r="EK246" s="50"/>
      <c r="EL246" s="50"/>
      <c r="EM246" s="50"/>
      <c r="EN246" s="50">
        <v>1</v>
      </c>
      <c r="EO246" s="50"/>
      <c r="EP246" s="50"/>
      <c r="EQ246" s="50"/>
      <c r="ER246" s="50">
        <v>1</v>
      </c>
      <c r="ET246" s="55">
        <f t="shared" si="11"/>
        <v>2</v>
      </c>
    </row>
    <row r="247" spans="1:150" s="5" customFormat="1" ht="16" customHeight="1" x14ac:dyDescent="0.2">
      <c r="A247" s="5">
        <v>75</v>
      </c>
      <c r="B247" s="8" t="s">
        <v>559</v>
      </c>
      <c r="C247" s="8" t="s">
        <v>335</v>
      </c>
      <c r="D247" s="5">
        <v>92</v>
      </c>
      <c r="E247" s="5" t="s">
        <v>336</v>
      </c>
      <c r="F247" s="21" t="s">
        <v>566</v>
      </c>
      <c r="G247" s="21">
        <v>246</v>
      </c>
      <c r="H247" s="5">
        <v>75094</v>
      </c>
      <c r="I247" t="s">
        <v>1267</v>
      </c>
      <c r="J247">
        <v>209</v>
      </c>
      <c r="K247">
        <v>226</v>
      </c>
      <c r="L247">
        <v>49</v>
      </c>
      <c r="M247" s="6">
        <v>255</v>
      </c>
      <c r="N247" s="6" t="str">
        <f t="shared" si="10"/>
        <v>246: (209, 226, 49, 255, Water quality change (pollution): 75094),</v>
      </c>
      <c r="O247" s="5" t="str">
        <f>VLOOKUP(Australia!B247,Impacts!$A$2:$B$80,2, FALSE)</f>
        <v>Change in the physical, chemical and biological characteristics of water.</v>
      </c>
      <c r="P247" s="5" t="str">
        <f>VLOOKUP(E247,Pressures!$A$2:$B$145,2,FALSE)</f>
        <v xml:space="preserve">Introduction of harmful materials known as pollutants into the environment. </v>
      </c>
      <c r="AB247" s="32">
        <v>227227</v>
      </c>
      <c r="AC247" s="32">
        <v>228228</v>
      </c>
      <c r="AD247" s="32">
        <v>220220</v>
      </c>
      <c r="CZ247" s="47">
        <v>11</v>
      </c>
      <c r="DK247" s="8"/>
      <c r="DL247" s="8"/>
      <c r="DM247" s="8"/>
      <c r="DN247" s="8"/>
      <c r="DO247" s="50"/>
      <c r="DP247" s="50"/>
      <c r="DQ247" s="50"/>
      <c r="DR247" s="50"/>
      <c r="DS247" s="50"/>
      <c r="DT247" s="50"/>
      <c r="DU247" s="50"/>
      <c r="DV247" s="50"/>
      <c r="DW247" s="50"/>
      <c r="DX247" s="50"/>
      <c r="DY247" s="50"/>
      <c r="DZ247" s="50"/>
      <c r="EA247" s="50"/>
      <c r="EB247" s="50"/>
      <c r="EC247" s="50"/>
      <c r="ED247" s="50"/>
      <c r="EE247" s="50"/>
      <c r="EF247" s="50"/>
      <c r="EG247" s="50"/>
      <c r="EH247" s="50"/>
      <c r="EI247" s="50"/>
      <c r="EJ247" s="50"/>
      <c r="EK247" s="50"/>
      <c r="EL247" s="50"/>
      <c r="EM247" s="50"/>
      <c r="EN247" s="50"/>
      <c r="EO247" s="50"/>
      <c r="EP247" s="50"/>
      <c r="EQ247" s="50"/>
      <c r="ER247" s="50">
        <v>1</v>
      </c>
      <c r="ET247" s="55">
        <f t="shared" si="11"/>
        <v>1</v>
      </c>
    </row>
    <row r="248" spans="1:150" x14ac:dyDescent="0.2">
      <c r="B248" s="5" t="s">
        <v>713</v>
      </c>
      <c r="G248" s="21" t="s">
        <v>713</v>
      </c>
      <c r="ET248" s="55"/>
    </row>
    <row r="249" spans="1:150" x14ac:dyDescent="0.2">
      <c r="ET249" s="55"/>
    </row>
    <row r="250" spans="1:150" x14ac:dyDescent="0.2">
      <c r="B250" t="s">
        <v>713</v>
      </c>
      <c r="ET250" s="55"/>
    </row>
    <row r="251" spans="1:150" x14ac:dyDescent="0.2">
      <c r="B251" t="s">
        <v>713</v>
      </c>
    </row>
  </sheetData>
  <sortState xmlns:xlrd2="http://schemas.microsoft.com/office/spreadsheetml/2017/richdata2" ref="A2:DR247">
    <sortCondition ref="A2:A247"/>
  </sortState>
  <conditionalFormatting sqref="ET2:ET247">
    <cfRule type="cellIs" dxfId="0" priority="1" operator="equal">
      <formula>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87C07-FAB1-9641-AAF0-62B77482FC7A}">
  <sheetPr codeName="Sheet4"/>
  <dimension ref="A1:G258"/>
  <sheetViews>
    <sheetView workbookViewId="0">
      <selection activeCell="C11" sqref="C11"/>
    </sheetView>
  </sheetViews>
  <sheetFormatPr baseColWidth="10" defaultColWidth="11.5" defaultRowHeight="15" x14ac:dyDescent="0.2"/>
  <sheetData>
    <row r="1" spans="1:7" x14ac:dyDescent="0.2">
      <c r="A1" t="s">
        <v>597</v>
      </c>
      <c r="B1" t="s">
        <v>735</v>
      </c>
      <c r="C1" t="s">
        <v>736</v>
      </c>
      <c r="D1" t="s">
        <v>737</v>
      </c>
      <c r="E1" t="s">
        <v>1710</v>
      </c>
      <c r="F1" t="s">
        <v>739</v>
      </c>
      <c r="G1" t="s">
        <v>1032</v>
      </c>
    </row>
    <row r="2" spans="1:7" x14ac:dyDescent="0.2">
      <c r="A2" t="s">
        <v>1034</v>
      </c>
      <c r="B2">
        <v>123</v>
      </c>
      <c r="C2">
        <v>104</v>
      </c>
      <c r="D2">
        <v>238</v>
      </c>
      <c r="F2">
        <v>255</v>
      </c>
      <c r="G2" t="s">
        <v>1279</v>
      </c>
    </row>
    <row r="3" spans="1:7" x14ac:dyDescent="0.2">
      <c r="A3" t="s">
        <v>1035</v>
      </c>
      <c r="B3">
        <v>119</v>
      </c>
      <c r="C3">
        <v>136</v>
      </c>
      <c r="D3">
        <v>153</v>
      </c>
      <c r="F3">
        <v>255</v>
      </c>
      <c r="G3" t="s">
        <v>1280</v>
      </c>
    </row>
    <row r="4" spans="1:7" x14ac:dyDescent="0.2">
      <c r="A4" t="s">
        <v>1036</v>
      </c>
      <c r="B4">
        <v>186</v>
      </c>
      <c r="C4">
        <v>85</v>
      </c>
      <c r="D4">
        <v>211</v>
      </c>
      <c r="F4">
        <v>255</v>
      </c>
      <c r="G4" t="s">
        <v>1281</v>
      </c>
    </row>
    <row r="5" spans="1:7" x14ac:dyDescent="0.2">
      <c r="A5" t="s">
        <v>1037</v>
      </c>
      <c r="B5">
        <v>255</v>
      </c>
      <c r="C5">
        <v>160</v>
      </c>
      <c r="D5">
        <v>122</v>
      </c>
      <c r="F5">
        <v>255</v>
      </c>
      <c r="G5" t="s">
        <v>1282</v>
      </c>
    </row>
    <row r="6" spans="1:7" x14ac:dyDescent="0.2">
      <c r="A6" t="s">
        <v>1038</v>
      </c>
      <c r="B6">
        <v>0</v>
      </c>
      <c r="C6">
        <v>206</v>
      </c>
      <c r="D6">
        <v>209</v>
      </c>
      <c r="F6">
        <v>255</v>
      </c>
      <c r="G6" t="s">
        <v>1283</v>
      </c>
    </row>
    <row r="7" spans="1:7" x14ac:dyDescent="0.2">
      <c r="A7" t="s">
        <v>1039</v>
      </c>
      <c r="B7">
        <v>135</v>
      </c>
      <c r="C7">
        <v>206</v>
      </c>
      <c r="D7">
        <v>250</v>
      </c>
      <c r="F7">
        <v>255</v>
      </c>
      <c r="G7" t="s">
        <v>1284</v>
      </c>
    </row>
    <row r="8" spans="1:7" x14ac:dyDescent="0.2">
      <c r="A8" t="s">
        <v>1040</v>
      </c>
      <c r="B8">
        <v>176</v>
      </c>
      <c r="C8">
        <v>196</v>
      </c>
      <c r="D8">
        <v>222</v>
      </c>
      <c r="F8">
        <v>255</v>
      </c>
      <c r="G8" t="s">
        <v>1285</v>
      </c>
    </row>
    <row r="9" spans="1:7" x14ac:dyDescent="0.2">
      <c r="A9" t="s">
        <v>1041</v>
      </c>
      <c r="B9">
        <v>147</v>
      </c>
      <c r="C9">
        <v>112</v>
      </c>
      <c r="D9">
        <v>219</v>
      </c>
      <c r="F9">
        <v>255</v>
      </c>
      <c r="G9" t="s">
        <v>1286</v>
      </c>
    </row>
    <row r="10" spans="1:7" x14ac:dyDescent="0.2">
      <c r="A10" t="s">
        <v>1042</v>
      </c>
      <c r="B10">
        <v>219</v>
      </c>
      <c r="C10">
        <v>112</v>
      </c>
      <c r="D10">
        <v>147</v>
      </c>
      <c r="F10">
        <v>255</v>
      </c>
      <c r="G10" t="s">
        <v>1287</v>
      </c>
    </row>
    <row r="11" spans="1:7" x14ac:dyDescent="0.2">
      <c r="A11" t="s">
        <v>1043</v>
      </c>
      <c r="B11">
        <v>144</v>
      </c>
      <c r="C11">
        <v>238</v>
      </c>
      <c r="D11">
        <v>144</v>
      </c>
      <c r="F11">
        <v>255</v>
      </c>
      <c r="G11" t="s">
        <v>1288</v>
      </c>
    </row>
    <row r="12" spans="1:7" x14ac:dyDescent="0.2">
      <c r="A12" t="s">
        <v>1044</v>
      </c>
      <c r="B12">
        <v>0</v>
      </c>
      <c r="C12">
        <v>250</v>
      </c>
      <c r="D12">
        <v>154</v>
      </c>
      <c r="F12">
        <v>255</v>
      </c>
      <c r="G12" t="s">
        <v>1289</v>
      </c>
    </row>
    <row r="13" spans="1:7" x14ac:dyDescent="0.2">
      <c r="A13" t="s">
        <v>1045</v>
      </c>
      <c r="B13">
        <v>224</v>
      </c>
      <c r="C13">
        <v>255</v>
      </c>
      <c r="D13">
        <v>255</v>
      </c>
      <c r="F13">
        <v>255</v>
      </c>
      <c r="G13" t="s">
        <v>1290</v>
      </c>
    </row>
    <row r="14" spans="1:7" x14ac:dyDescent="0.2">
      <c r="A14" t="s">
        <v>1046</v>
      </c>
      <c r="B14">
        <v>153</v>
      </c>
      <c r="C14">
        <v>50</v>
      </c>
      <c r="D14">
        <v>204</v>
      </c>
      <c r="F14">
        <v>255</v>
      </c>
      <c r="G14" t="s">
        <v>1291</v>
      </c>
    </row>
    <row r="15" spans="1:7" x14ac:dyDescent="0.2">
      <c r="A15" t="s">
        <v>1047</v>
      </c>
      <c r="B15">
        <v>100</v>
      </c>
      <c r="C15">
        <v>149</v>
      </c>
      <c r="D15">
        <v>237</v>
      </c>
      <c r="F15">
        <v>255</v>
      </c>
      <c r="G15" t="s">
        <v>1292</v>
      </c>
    </row>
    <row r="16" spans="1:7" x14ac:dyDescent="0.2">
      <c r="A16" t="s">
        <v>1048</v>
      </c>
      <c r="B16">
        <v>255</v>
      </c>
      <c r="C16">
        <v>255</v>
      </c>
      <c r="D16">
        <v>224</v>
      </c>
      <c r="F16">
        <v>255</v>
      </c>
      <c r="G16" t="s">
        <v>1293</v>
      </c>
    </row>
    <row r="17" spans="1:7" x14ac:dyDescent="0.2">
      <c r="A17" t="s">
        <v>1049</v>
      </c>
      <c r="B17">
        <v>255</v>
      </c>
      <c r="C17">
        <v>140</v>
      </c>
      <c r="D17">
        <v>0</v>
      </c>
      <c r="F17">
        <v>255</v>
      </c>
      <c r="G17" t="s">
        <v>1294</v>
      </c>
    </row>
    <row r="18" spans="1:7" x14ac:dyDescent="0.2">
      <c r="A18" t="s">
        <v>1050</v>
      </c>
      <c r="B18">
        <v>152</v>
      </c>
      <c r="C18">
        <v>251</v>
      </c>
      <c r="D18">
        <v>152</v>
      </c>
      <c r="F18">
        <v>255</v>
      </c>
      <c r="G18" t="s">
        <v>1295</v>
      </c>
    </row>
    <row r="19" spans="1:7" x14ac:dyDescent="0.2">
      <c r="A19" t="s">
        <v>1051</v>
      </c>
      <c r="B19">
        <v>102</v>
      </c>
      <c r="C19">
        <v>205</v>
      </c>
      <c r="D19">
        <v>170</v>
      </c>
      <c r="F19">
        <v>255</v>
      </c>
      <c r="G19" t="s">
        <v>1296</v>
      </c>
    </row>
    <row r="20" spans="1:7" x14ac:dyDescent="0.2">
      <c r="A20" t="s">
        <v>1052</v>
      </c>
      <c r="B20">
        <v>255</v>
      </c>
      <c r="C20">
        <v>182</v>
      </c>
      <c r="D20">
        <v>193</v>
      </c>
      <c r="F20">
        <v>255</v>
      </c>
      <c r="G20" t="s">
        <v>1297</v>
      </c>
    </row>
    <row r="21" spans="1:7" x14ac:dyDescent="0.2">
      <c r="A21" t="s">
        <v>1053</v>
      </c>
      <c r="B21">
        <v>46</v>
      </c>
      <c r="C21">
        <v>139</v>
      </c>
      <c r="D21">
        <v>87</v>
      </c>
      <c r="F21">
        <v>255</v>
      </c>
      <c r="G21" t="s">
        <v>1298</v>
      </c>
    </row>
    <row r="22" spans="1:7" x14ac:dyDescent="0.2">
      <c r="A22" t="s">
        <v>1054</v>
      </c>
      <c r="B22">
        <v>205</v>
      </c>
      <c r="C22">
        <v>133</v>
      </c>
      <c r="D22">
        <v>63</v>
      </c>
      <c r="F22">
        <v>255</v>
      </c>
      <c r="G22" t="s">
        <v>1299</v>
      </c>
    </row>
    <row r="23" spans="1:7" x14ac:dyDescent="0.2">
      <c r="A23" t="s">
        <v>1055</v>
      </c>
      <c r="B23">
        <v>205</v>
      </c>
      <c r="C23">
        <v>92</v>
      </c>
      <c r="D23">
        <v>92</v>
      </c>
      <c r="F23">
        <v>255</v>
      </c>
      <c r="G23" t="s">
        <v>1300</v>
      </c>
    </row>
    <row r="24" spans="1:7" x14ac:dyDescent="0.2">
      <c r="A24" t="s">
        <v>1056</v>
      </c>
      <c r="B24">
        <v>210</v>
      </c>
      <c r="C24">
        <v>180</v>
      </c>
      <c r="D24">
        <v>140</v>
      </c>
      <c r="F24">
        <v>255</v>
      </c>
      <c r="G24" t="s">
        <v>1301</v>
      </c>
    </row>
    <row r="25" spans="1:7" x14ac:dyDescent="0.2">
      <c r="A25" t="s">
        <v>1057</v>
      </c>
      <c r="B25">
        <v>189</v>
      </c>
      <c r="C25">
        <v>183</v>
      </c>
      <c r="D25">
        <v>107</v>
      </c>
      <c r="F25">
        <v>255</v>
      </c>
      <c r="G25" t="s">
        <v>1302</v>
      </c>
    </row>
    <row r="26" spans="1:7" x14ac:dyDescent="0.2">
      <c r="A26" t="s">
        <v>1058</v>
      </c>
      <c r="B26">
        <v>188</v>
      </c>
      <c r="C26">
        <v>143</v>
      </c>
      <c r="D26">
        <v>143</v>
      </c>
      <c r="F26">
        <v>255</v>
      </c>
      <c r="G26" t="s">
        <v>1303</v>
      </c>
    </row>
    <row r="27" spans="1:7" x14ac:dyDescent="0.2">
      <c r="A27" t="s">
        <v>1059</v>
      </c>
      <c r="B27">
        <v>85</v>
      </c>
      <c r="C27">
        <v>107</v>
      </c>
      <c r="D27">
        <v>47</v>
      </c>
      <c r="F27">
        <v>255</v>
      </c>
      <c r="G27" t="s">
        <v>1304</v>
      </c>
    </row>
    <row r="28" spans="1:7" x14ac:dyDescent="0.2">
      <c r="A28" t="s">
        <v>1060</v>
      </c>
      <c r="B28">
        <v>107</v>
      </c>
      <c r="C28">
        <v>142</v>
      </c>
      <c r="D28">
        <v>35</v>
      </c>
      <c r="F28">
        <v>255</v>
      </c>
      <c r="G28" t="s">
        <v>1305</v>
      </c>
    </row>
    <row r="29" spans="1:7" x14ac:dyDescent="0.2">
      <c r="A29" t="s">
        <v>1061</v>
      </c>
      <c r="B29">
        <v>112</v>
      </c>
      <c r="C29">
        <v>128</v>
      </c>
      <c r="D29">
        <v>144</v>
      </c>
      <c r="F29">
        <v>255</v>
      </c>
      <c r="G29" t="s">
        <v>1306</v>
      </c>
    </row>
    <row r="30" spans="1:7" x14ac:dyDescent="0.2">
      <c r="A30" t="s">
        <v>1062</v>
      </c>
      <c r="B30">
        <v>230</v>
      </c>
      <c r="C30">
        <v>230</v>
      </c>
      <c r="D30">
        <v>250</v>
      </c>
      <c r="F30">
        <v>255</v>
      </c>
      <c r="G30" t="s">
        <v>1307</v>
      </c>
    </row>
    <row r="31" spans="1:7" x14ac:dyDescent="0.2">
      <c r="A31" t="s">
        <v>1063</v>
      </c>
      <c r="B31">
        <v>248</v>
      </c>
      <c r="C31">
        <v>248</v>
      </c>
      <c r="D31">
        <v>255</v>
      </c>
      <c r="F31">
        <v>255</v>
      </c>
      <c r="G31" t="s">
        <v>1308</v>
      </c>
    </row>
    <row r="32" spans="1:7" x14ac:dyDescent="0.2">
      <c r="A32" t="s">
        <v>1064</v>
      </c>
      <c r="B32">
        <v>0</v>
      </c>
      <c r="C32">
        <v>0</v>
      </c>
      <c r="D32">
        <v>255</v>
      </c>
      <c r="F32">
        <v>255</v>
      </c>
      <c r="G32" t="s">
        <v>1309</v>
      </c>
    </row>
    <row r="33" spans="1:7" x14ac:dyDescent="0.2">
      <c r="A33" t="s">
        <v>1065</v>
      </c>
      <c r="B33">
        <v>0</v>
      </c>
      <c r="C33">
        <v>128</v>
      </c>
      <c r="D33">
        <v>0</v>
      </c>
      <c r="F33">
        <v>255</v>
      </c>
      <c r="G33" t="s">
        <v>1310</v>
      </c>
    </row>
    <row r="34" spans="1:7" x14ac:dyDescent="0.2">
      <c r="A34" t="s">
        <v>1066</v>
      </c>
      <c r="B34">
        <v>0</v>
      </c>
      <c r="C34">
        <v>255</v>
      </c>
      <c r="D34">
        <v>255</v>
      </c>
      <c r="F34">
        <v>255</v>
      </c>
      <c r="G34" t="s">
        <v>1311</v>
      </c>
    </row>
    <row r="35" spans="1:7" x14ac:dyDescent="0.2">
      <c r="A35" t="s">
        <v>1067</v>
      </c>
      <c r="B35">
        <v>255</v>
      </c>
      <c r="C35">
        <v>0</v>
      </c>
      <c r="D35">
        <v>0</v>
      </c>
      <c r="F35">
        <v>255</v>
      </c>
      <c r="G35" t="s">
        <v>1312</v>
      </c>
    </row>
    <row r="36" spans="1:7" x14ac:dyDescent="0.2">
      <c r="A36" t="s">
        <v>1068</v>
      </c>
      <c r="B36">
        <v>255</v>
      </c>
      <c r="C36">
        <v>0</v>
      </c>
      <c r="D36">
        <v>255</v>
      </c>
      <c r="F36">
        <v>255</v>
      </c>
      <c r="G36" t="s">
        <v>1313</v>
      </c>
    </row>
    <row r="37" spans="1:7" x14ac:dyDescent="0.2">
      <c r="A37" t="s">
        <v>1069</v>
      </c>
      <c r="B37">
        <v>255</v>
      </c>
      <c r="C37">
        <v>255</v>
      </c>
      <c r="D37">
        <v>0</v>
      </c>
      <c r="F37">
        <v>255</v>
      </c>
      <c r="G37" t="s">
        <v>1314</v>
      </c>
    </row>
    <row r="38" spans="1:7" x14ac:dyDescent="0.2">
      <c r="A38" t="s">
        <v>1070</v>
      </c>
      <c r="B38">
        <v>255</v>
      </c>
      <c r="C38">
        <v>255</v>
      </c>
      <c r="D38">
        <v>255</v>
      </c>
      <c r="F38">
        <v>255</v>
      </c>
      <c r="G38" t="s">
        <v>1315</v>
      </c>
    </row>
    <row r="39" spans="1:7" x14ac:dyDescent="0.2">
      <c r="A39" t="s">
        <v>1071</v>
      </c>
      <c r="B39">
        <v>240</v>
      </c>
      <c r="C39">
        <v>248</v>
      </c>
      <c r="D39">
        <v>255</v>
      </c>
      <c r="F39">
        <v>255</v>
      </c>
      <c r="G39" t="s">
        <v>1316</v>
      </c>
    </row>
    <row r="40" spans="1:7" x14ac:dyDescent="0.2">
      <c r="A40" t="s">
        <v>1072</v>
      </c>
      <c r="B40">
        <v>250</v>
      </c>
      <c r="C40">
        <v>235</v>
      </c>
      <c r="D40">
        <v>215</v>
      </c>
      <c r="F40">
        <v>255</v>
      </c>
      <c r="G40" t="s">
        <v>1317</v>
      </c>
    </row>
    <row r="41" spans="1:7" x14ac:dyDescent="0.2">
      <c r="A41" t="s">
        <v>1073</v>
      </c>
      <c r="B41">
        <v>0</v>
      </c>
      <c r="C41">
        <v>255</v>
      </c>
      <c r="D41">
        <v>255</v>
      </c>
      <c r="F41">
        <v>255</v>
      </c>
      <c r="G41" t="s">
        <v>1318</v>
      </c>
    </row>
    <row r="42" spans="1:7" x14ac:dyDescent="0.2">
      <c r="A42" t="s">
        <v>1074</v>
      </c>
      <c r="B42">
        <v>127</v>
      </c>
      <c r="C42">
        <v>255</v>
      </c>
      <c r="D42">
        <v>212</v>
      </c>
      <c r="F42">
        <v>255</v>
      </c>
      <c r="G42" t="s">
        <v>1319</v>
      </c>
    </row>
    <row r="43" spans="1:7" x14ac:dyDescent="0.2">
      <c r="A43" t="s">
        <v>1075</v>
      </c>
      <c r="B43">
        <v>240</v>
      </c>
      <c r="C43">
        <v>255</v>
      </c>
      <c r="D43">
        <v>255</v>
      </c>
      <c r="F43">
        <v>255</v>
      </c>
      <c r="G43" t="s">
        <v>1320</v>
      </c>
    </row>
    <row r="44" spans="1:7" x14ac:dyDescent="0.2">
      <c r="A44" t="s">
        <v>1076</v>
      </c>
      <c r="B44">
        <v>245</v>
      </c>
      <c r="C44">
        <v>245</v>
      </c>
      <c r="D44">
        <v>220</v>
      </c>
      <c r="F44">
        <v>255</v>
      </c>
      <c r="G44" t="s">
        <v>1321</v>
      </c>
    </row>
    <row r="45" spans="1:7" x14ac:dyDescent="0.2">
      <c r="A45" t="s">
        <v>1077</v>
      </c>
      <c r="B45">
        <v>255</v>
      </c>
      <c r="C45">
        <v>228</v>
      </c>
      <c r="D45">
        <v>196</v>
      </c>
      <c r="F45">
        <v>255</v>
      </c>
      <c r="G45" t="s">
        <v>1322</v>
      </c>
    </row>
    <row r="46" spans="1:7" x14ac:dyDescent="0.2">
      <c r="A46" t="s">
        <v>1078</v>
      </c>
      <c r="B46">
        <v>255</v>
      </c>
      <c r="C46">
        <v>235</v>
      </c>
      <c r="D46">
        <v>205</v>
      </c>
      <c r="F46">
        <v>255</v>
      </c>
      <c r="G46" t="s">
        <v>1323</v>
      </c>
    </row>
    <row r="47" spans="1:7" x14ac:dyDescent="0.2">
      <c r="A47" t="s">
        <v>1079</v>
      </c>
      <c r="B47">
        <v>138</v>
      </c>
      <c r="C47">
        <v>43</v>
      </c>
      <c r="D47">
        <v>226</v>
      </c>
      <c r="F47">
        <v>255</v>
      </c>
      <c r="G47" t="s">
        <v>1324</v>
      </c>
    </row>
    <row r="48" spans="1:7" x14ac:dyDescent="0.2">
      <c r="A48" t="s">
        <v>1080</v>
      </c>
      <c r="B48">
        <v>165</v>
      </c>
      <c r="C48">
        <v>42</v>
      </c>
      <c r="D48">
        <v>42</v>
      </c>
      <c r="F48">
        <v>255</v>
      </c>
      <c r="G48" t="s">
        <v>1325</v>
      </c>
    </row>
    <row r="49" spans="1:7" x14ac:dyDescent="0.2">
      <c r="A49" t="s">
        <v>1081</v>
      </c>
      <c r="B49">
        <v>222</v>
      </c>
      <c r="C49">
        <v>184</v>
      </c>
      <c r="D49">
        <v>135</v>
      </c>
      <c r="F49">
        <v>255</v>
      </c>
      <c r="G49" t="s">
        <v>1326</v>
      </c>
    </row>
    <row r="50" spans="1:7" x14ac:dyDescent="0.2">
      <c r="A50" t="s">
        <v>1082</v>
      </c>
      <c r="B50">
        <v>95</v>
      </c>
      <c r="C50">
        <v>158</v>
      </c>
      <c r="D50">
        <v>160</v>
      </c>
      <c r="F50">
        <v>255</v>
      </c>
      <c r="G50" t="s">
        <v>1327</v>
      </c>
    </row>
    <row r="51" spans="1:7" x14ac:dyDescent="0.2">
      <c r="A51" t="s">
        <v>1083</v>
      </c>
      <c r="B51">
        <v>127</v>
      </c>
      <c r="C51">
        <v>255</v>
      </c>
      <c r="D51">
        <v>0</v>
      </c>
      <c r="F51">
        <v>255</v>
      </c>
      <c r="G51" t="s">
        <v>1328</v>
      </c>
    </row>
    <row r="52" spans="1:7" x14ac:dyDescent="0.2">
      <c r="A52" t="s">
        <v>1084</v>
      </c>
      <c r="B52">
        <v>210</v>
      </c>
      <c r="C52">
        <v>105</v>
      </c>
      <c r="D52">
        <v>30</v>
      </c>
      <c r="F52">
        <v>255</v>
      </c>
      <c r="G52" t="s">
        <v>1329</v>
      </c>
    </row>
    <row r="53" spans="1:7" x14ac:dyDescent="0.2">
      <c r="A53" t="s">
        <v>1085</v>
      </c>
      <c r="B53">
        <v>255</v>
      </c>
      <c r="C53">
        <v>127</v>
      </c>
      <c r="D53">
        <v>80</v>
      </c>
      <c r="F53">
        <v>255</v>
      </c>
      <c r="G53" t="s">
        <v>1330</v>
      </c>
    </row>
    <row r="54" spans="1:7" x14ac:dyDescent="0.2">
      <c r="A54" t="s">
        <v>1086</v>
      </c>
      <c r="B54">
        <v>255</v>
      </c>
      <c r="C54">
        <v>248</v>
      </c>
      <c r="D54">
        <v>220</v>
      </c>
      <c r="F54">
        <v>255</v>
      </c>
      <c r="G54" t="s">
        <v>1331</v>
      </c>
    </row>
    <row r="55" spans="1:7" x14ac:dyDescent="0.2">
      <c r="A55" t="s">
        <v>1087</v>
      </c>
      <c r="B55">
        <v>220</v>
      </c>
      <c r="C55">
        <v>20</v>
      </c>
      <c r="D55">
        <v>60</v>
      </c>
      <c r="F55">
        <v>255</v>
      </c>
      <c r="G55" t="s">
        <v>1332</v>
      </c>
    </row>
    <row r="56" spans="1:7" x14ac:dyDescent="0.2">
      <c r="A56" t="s">
        <v>1088</v>
      </c>
      <c r="B56">
        <v>0</v>
      </c>
      <c r="C56">
        <v>0</v>
      </c>
      <c r="D56">
        <v>139</v>
      </c>
      <c r="F56">
        <v>255</v>
      </c>
      <c r="G56" t="s">
        <v>1333</v>
      </c>
    </row>
    <row r="57" spans="1:7" x14ac:dyDescent="0.2">
      <c r="A57" t="s">
        <v>1089</v>
      </c>
      <c r="B57">
        <v>0</v>
      </c>
      <c r="C57">
        <v>139</v>
      </c>
      <c r="D57">
        <v>139</v>
      </c>
      <c r="F57">
        <v>255</v>
      </c>
      <c r="G57" t="s">
        <v>1334</v>
      </c>
    </row>
    <row r="58" spans="1:7" x14ac:dyDescent="0.2">
      <c r="A58" t="s">
        <v>1090</v>
      </c>
      <c r="B58">
        <v>184</v>
      </c>
      <c r="C58">
        <v>134</v>
      </c>
      <c r="D58">
        <v>11</v>
      </c>
      <c r="F58">
        <v>255</v>
      </c>
      <c r="G58" t="s">
        <v>1335</v>
      </c>
    </row>
    <row r="59" spans="1:7" x14ac:dyDescent="0.2">
      <c r="A59" t="s">
        <v>1091</v>
      </c>
      <c r="B59">
        <v>169</v>
      </c>
      <c r="C59">
        <v>169</v>
      </c>
      <c r="D59">
        <v>169</v>
      </c>
      <c r="F59">
        <v>255</v>
      </c>
      <c r="G59" t="s">
        <v>1336</v>
      </c>
    </row>
    <row r="60" spans="1:7" x14ac:dyDescent="0.2">
      <c r="A60" t="s">
        <v>1092</v>
      </c>
      <c r="B60">
        <v>0</v>
      </c>
      <c r="C60">
        <v>100</v>
      </c>
      <c r="D60">
        <v>0</v>
      </c>
      <c r="F60">
        <v>255</v>
      </c>
      <c r="G60" t="s">
        <v>1337</v>
      </c>
    </row>
    <row r="61" spans="1:7" x14ac:dyDescent="0.2">
      <c r="A61" t="s">
        <v>1093</v>
      </c>
      <c r="B61">
        <v>139</v>
      </c>
      <c r="C61">
        <v>0</v>
      </c>
      <c r="D61">
        <v>139</v>
      </c>
      <c r="F61">
        <v>255</v>
      </c>
      <c r="G61" t="s">
        <v>1338</v>
      </c>
    </row>
    <row r="62" spans="1:7" x14ac:dyDescent="0.2">
      <c r="A62" t="s">
        <v>1049</v>
      </c>
      <c r="B62">
        <v>255</v>
      </c>
      <c r="C62">
        <v>140</v>
      </c>
      <c r="D62">
        <v>0</v>
      </c>
      <c r="F62">
        <v>255</v>
      </c>
      <c r="G62" t="s">
        <v>1339</v>
      </c>
    </row>
    <row r="63" spans="1:7" x14ac:dyDescent="0.2">
      <c r="A63" t="s">
        <v>1094</v>
      </c>
      <c r="B63">
        <v>139</v>
      </c>
      <c r="C63">
        <v>0</v>
      </c>
      <c r="D63">
        <v>0</v>
      </c>
      <c r="F63">
        <v>255</v>
      </c>
      <c r="G63" t="s">
        <v>1340</v>
      </c>
    </row>
    <row r="64" spans="1:7" x14ac:dyDescent="0.2">
      <c r="A64" t="s">
        <v>1095</v>
      </c>
      <c r="B64">
        <v>233</v>
      </c>
      <c r="C64">
        <v>150</v>
      </c>
      <c r="D64">
        <v>122</v>
      </c>
      <c r="F64">
        <v>255</v>
      </c>
      <c r="G64" t="s">
        <v>1341</v>
      </c>
    </row>
    <row r="65" spans="1:7" x14ac:dyDescent="0.2">
      <c r="A65" t="s">
        <v>1096</v>
      </c>
      <c r="B65">
        <v>143</v>
      </c>
      <c r="C65">
        <v>188</v>
      </c>
      <c r="D65">
        <v>143</v>
      </c>
      <c r="F65">
        <v>255</v>
      </c>
      <c r="G65" t="s">
        <v>1342</v>
      </c>
    </row>
    <row r="66" spans="1:7" x14ac:dyDescent="0.2">
      <c r="A66" t="s">
        <v>1097</v>
      </c>
      <c r="B66">
        <v>72</v>
      </c>
      <c r="C66">
        <v>61</v>
      </c>
      <c r="D66">
        <v>139</v>
      </c>
      <c r="F66">
        <v>255</v>
      </c>
      <c r="G66" t="s">
        <v>1343</v>
      </c>
    </row>
    <row r="67" spans="1:7" x14ac:dyDescent="0.2">
      <c r="A67" t="s">
        <v>1098</v>
      </c>
      <c r="B67">
        <v>47</v>
      </c>
      <c r="C67">
        <v>79</v>
      </c>
      <c r="D67">
        <v>79</v>
      </c>
      <c r="F67">
        <v>255</v>
      </c>
      <c r="G67" t="s">
        <v>1344</v>
      </c>
    </row>
    <row r="68" spans="1:7" x14ac:dyDescent="0.2">
      <c r="A68" t="s">
        <v>1038</v>
      </c>
      <c r="B68">
        <v>0</v>
      </c>
      <c r="C68">
        <v>206</v>
      </c>
      <c r="D68">
        <v>209</v>
      </c>
      <c r="F68">
        <v>255</v>
      </c>
      <c r="G68" t="s">
        <v>1345</v>
      </c>
    </row>
    <row r="69" spans="1:7" x14ac:dyDescent="0.2">
      <c r="A69" t="s">
        <v>1099</v>
      </c>
      <c r="B69">
        <v>148</v>
      </c>
      <c r="C69">
        <v>0</v>
      </c>
      <c r="D69">
        <v>211</v>
      </c>
      <c r="F69">
        <v>255</v>
      </c>
      <c r="G69" t="s">
        <v>1346</v>
      </c>
    </row>
    <row r="70" spans="1:7" x14ac:dyDescent="0.2">
      <c r="A70" t="s">
        <v>1100</v>
      </c>
      <c r="B70">
        <v>255</v>
      </c>
      <c r="C70">
        <v>20</v>
      </c>
      <c r="D70">
        <v>147</v>
      </c>
      <c r="F70">
        <v>255</v>
      </c>
      <c r="G70" t="s">
        <v>1347</v>
      </c>
    </row>
    <row r="71" spans="1:7" x14ac:dyDescent="0.2">
      <c r="A71" t="s">
        <v>1101</v>
      </c>
      <c r="B71">
        <v>0</v>
      </c>
      <c r="C71">
        <v>191</v>
      </c>
      <c r="D71">
        <v>255</v>
      </c>
      <c r="F71">
        <v>255</v>
      </c>
      <c r="G71" t="s">
        <v>1348</v>
      </c>
    </row>
    <row r="72" spans="1:7" x14ac:dyDescent="0.2">
      <c r="A72" t="s">
        <v>1102</v>
      </c>
      <c r="B72">
        <v>105</v>
      </c>
      <c r="C72">
        <v>105</v>
      </c>
      <c r="D72">
        <v>105</v>
      </c>
      <c r="F72">
        <v>255</v>
      </c>
      <c r="G72" t="s">
        <v>1349</v>
      </c>
    </row>
    <row r="73" spans="1:7" x14ac:dyDescent="0.2">
      <c r="A73" t="s">
        <v>1103</v>
      </c>
      <c r="B73">
        <v>30</v>
      </c>
      <c r="C73">
        <v>144</v>
      </c>
      <c r="D73">
        <v>255</v>
      </c>
      <c r="F73">
        <v>255</v>
      </c>
      <c r="G73" t="s">
        <v>1350</v>
      </c>
    </row>
    <row r="74" spans="1:7" x14ac:dyDescent="0.2">
      <c r="A74" t="s">
        <v>1104</v>
      </c>
      <c r="B74">
        <v>178</v>
      </c>
      <c r="C74">
        <v>34</v>
      </c>
      <c r="D74">
        <v>34</v>
      </c>
      <c r="F74">
        <v>255</v>
      </c>
      <c r="G74" t="s">
        <v>1351</v>
      </c>
    </row>
    <row r="75" spans="1:7" x14ac:dyDescent="0.2">
      <c r="A75" t="s">
        <v>1105</v>
      </c>
      <c r="B75">
        <v>255</v>
      </c>
      <c r="C75">
        <v>250</v>
      </c>
      <c r="D75">
        <v>240</v>
      </c>
      <c r="F75">
        <v>255</v>
      </c>
      <c r="G75" t="s">
        <v>1352</v>
      </c>
    </row>
    <row r="76" spans="1:7" x14ac:dyDescent="0.2">
      <c r="A76" t="s">
        <v>1106</v>
      </c>
      <c r="B76">
        <v>34</v>
      </c>
      <c r="C76">
        <v>139</v>
      </c>
      <c r="D76">
        <v>34</v>
      </c>
      <c r="F76">
        <v>255</v>
      </c>
      <c r="G76" t="s">
        <v>1353</v>
      </c>
    </row>
    <row r="77" spans="1:7" x14ac:dyDescent="0.2">
      <c r="A77" t="s">
        <v>1107</v>
      </c>
      <c r="B77">
        <v>220</v>
      </c>
      <c r="C77">
        <v>220</v>
      </c>
      <c r="D77">
        <v>220</v>
      </c>
      <c r="F77">
        <v>255</v>
      </c>
      <c r="G77" t="s">
        <v>1354</v>
      </c>
    </row>
    <row r="78" spans="1:7" x14ac:dyDescent="0.2">
      <c r="A78" t="s">
        <v>1108</v>
      </c>
      <c r="B78">
        <v>255</v>
      </c>
      <c r="C78">
        <v>215</v>
      </c>
      <c r="D78">
        <v>0</v>
      </c>
      <c r="F78">
        <v>255</v>
      </c>
      <c r="G78" t="s">
        <v>1355</v>
      </c>
    </row>
    <row r="79" spans="1:7" x14ac:dyDescent="0.2">
      <c r="A79" t="s">
        <v>1109</v>
      </c>
      <c r="B79">
        <v>218</v>
      </c>
      <c r="C79">
        <v>165</v>
      </c>
      <c r="D79">
        <v>32</v>
      </c>
      <c r="F79">
        <v>255</v>
      </c>
      <c r="G79" t="s">
        <v>1356</v>
      </c>
    </row>
    <row r="80" spans="1:7" x14ac:dyDescent="0.2">
      <c r="A80" t="s">
        <v>1110</v>
      </c>
      <c r="B80">
        <v>128</v>
      </c>
      <c r="C80">
        <v>128</v>
      </c>
      <c r="D80">
        <v>128</v>
      </c>
      <c r="F80">
        <v>255</v>
      </c>
      <c r="G80" t="s">
        <v>1357</v>
      </c>
    </row>
    <row r="81" spans="1:7" x14ac:dyDescent="0.2">
      <c r="A81" t="s">
        <v>1111</v>
      </c>
      <c r="B81">
        <v>173</v>
      </c>
      <c r="C81">
        <v>255</v>
      </c>
      <c r="D81">
        <v>47</v>
      </c>
      <c r="F81">
        <v>255</v>
      </c>
      <c r="G81" t="s">
        <v>1358</v>
      </c>
    </row>
    <row r="82" spans="1:7" x14ac:dyDescent="0.2">
      <c r="A82" t="s">
        <v>1112</v>
      </c>
      <c r="B82">
        <v>240</v>
      </c>
      <c r="C82">
        <v>255</v>
      </c>
      <c r="D82">
        <v>240</v>
      </c>
      <c r="F82">
        <v>255</v>
      </c>
      <c r="G82" t="s">
        <v>1359</v>
      </c>
    </row>
    <row r="83" spans="1:7" x14ac:dyDescent="0.2">
      <c r="A83" t="s">
        <v>1113</v>
      </c>
      <c r="B83">
        <v>255</v>
      </c>
      <c r="C83">
        <v>105</v>
      </c>
      <c r="D83">
        <v>180</v>
      </c>
      <c r="F83">
        <v>255</v>
      </c>
      <c r="G83" t="s">
        <v>1360</v>
      </c>
    </row>
    <row r="84" spans="1:7" x14ac:dyDescent="0.2">
      <c r="A84" t="s">
        <v>1114</v>
      </c>
      <c r="B84">
        <v>75</v>
      </c>
      <c r="C84">
        <v>0</v>
      </c>
      <c r="D84">
        <v>130</v>
      </c>
      <c r="F84">
        <v>255</v>
      </c>
      <c r="G84" t="s">
        <v>1361</v>
      </c>
    </row>
    <row r="85" spans="1:7" x14ac:dyDescent="0.2">
      <c r="A85" t="s">
        <v>1115</v>
      </c>
      <c r="B85">
        <v>255</v>
      </c>
      <c r="C85">
        <v>255</v>
      </c>
      <c r="D85">
        <v>240</v>
      </c>
      <c r="F85">
        <v>255</v>
      </c>
      <c r="G85" t="s">
        <v>1362</v>
      </c>
    </row>
    <row r="86" spans="1:7" x14ac:dyDescent="0.2">
      <c r="A86" t="s">
        <v>1116</v>
      </c>
      <c r="B86">
        <v>240</v>
      </c>
      <c r="C86">
        <v>230</v>
      </c>
      <c r="D86">
        <v>140</v>
      </c>
      <c r="F86">
        <v>255</v>
      </c>
      <c r="G86" t="s">
        <v>1363</v>
      </c>
    </row>
    <row r="87" spans="1:7" x14ac:dyDescent="0.2">
      <c r="A87" t="s">
        <v>1117</v>
      </c>
      <c r="B87">
        <v>255</v>
      </c>
      <c r="C87">
        <v>240</v>
      </c>
      <c r="D87">
        <v>245</v>
      </c>
      <c r="F87">
        <v>255</v>
      </c>
      <c r="G87" t="s">
        <v>1364</v>
      </c>
    </row>
    <row r="88" spans="1:7" x14ac:dyDescent="0.2">
      <c r="A88" t="s">
        <v>1118</v>
      </c>
      <c r="B88">
        <v>124</v>
      </c>
      <c r="C88">
        <v>252</v>
      </c>
      <c r="D88">
        <v>0</v>
      </c>
      <c r="F88">
        <v>255</v>
      </c>
      <c r="G88" t="s">
        <v>1365</v>
      </c>
    </row>
    <row r="89" spans="1:7" x14ac:dyDescent="0.2">
      <c r="A89" t="s">
        <v>1119</v>
      </c>
      <c r="B89">
        <v>255</v>
      </c>
      <c r="C89">
        <v>250</v>
      </c>
      <c r="D89">
        <v>205</v>
      </c>
      <c r="F89">
        <v>255</v>
      </c>
      <c r="G89" t="s">
        <v>1366</v>
      </c>
    </row>
    <row r="90" spans="1:7" x14ac:dyDescent="0.2">
      <c r="A90" t="s">
        <v>1120</v>
      </c>
      <c r="B90">
        <v>173</v>
      </c>
      <c r="C90">
        <v>216</v>
      </c>
      <c r="D90">
        <v>230</v>
      </c>
      <c r="F90">
        <v>255</v>
      </c>
      <c r="G90" t="s">
        <v>1367</v>
      </c>
    </row>
    <row r="91" spans="1:7" x14ac:dyDescent="0.2">
      <c r="A91" t="s">
        <v>1121</v>
      </c>
      <c r="B91">
        <v>240</v>
      </c>
      <c r="C91">
        <v>128</v>
      </c>
      <c r="D91">
        <v>128</v>
      </c>
      <c r="F91">
        <v>255</v>
      </c>
      <c r="G91" t="s">
        <v>1368</v>
      </c>
    </row>
    <row r="92" spans="1:7" x14ac:dyDescent="0.2">
      <c r="A92" t="s">
        <v>1122</v>
      </c>
      <c r="B92">
        <v>250</v>
      </c>
      <c r="C92">
        <v>250</v>
      </c>
      <c r="D92">
        <v>210</v>
      </c>
      <c r="F92">
        <v>255</v>
      </c>
      <c r="G92" t="s">
        <v>1369</v>
      </c>
    </row>
    <row r="93" spans="1:7" x14ac:dyDescent="0.2">
      <c r="A93" t="s">
        <v>1123</v>
      </c>
      <c r="B93">
        <v>211</v>
      </c>
      <c r="C93">
        <v>211</v>
      </c>
      <c r="D93">
        <v>211</v>
      </c>
      <c r="F93">
        <v>255</v>
      </c>
      <c r="G93" t="s">
        <v>1370</v>
      </c>
    </row>
    <row r="94" spans="1:7" x14ac:dyDescent="0.2">
      <c r="A94" t="s">
        <v>1052</v>
      </c>
      <c r="B94">
        <v>255</v>
      </c>
      <c r="C94">
        <v>182</v>
      </c>
      <c r="D94">
        <v>193</v>
      </c>
      <c r="F94">
        <v>255</v>
      </c>
      <c r="G94" t="s">
        <v>1371</v>
      </c>
    </row>
    <row r="95" spans="1:7" x14ac:dyDescent="0.2">
      <c r="A95" t="s">
        <v>1037</v>
      </c>
      <c r="B95">
        <v>255</v>
      </c>
      <c r="C95">
        <v>160</v>
      </c>
      <c r="D95">
        <v>122</v>
      </c>
      <c r="F95">
        <v>255</v>
      </c>
      <c r="G95" t="s">
        <v>1372</v>
      </c>
    </row>
    <row r="96" spans="1:7" x14ac:dyDescent="0.2">
      <c r="A96" t="s">
        <v>1124</v>
      </c>
      <c r="B96">
        <v>32</v>
      </c>
      <c r="C96">
        <v>178</v>
      </c>
      <c r="D96">
        <v>170</v>
      </c>
      <c r="F96">
        <v>255</v>
      </c>
      <c r="G96" t="s">
        <v>1373</v>
      </c>
    </row>
    <row r="97" spans="1:7" x14ac:dyDescent="0.2">
      <c r="A97" t="s">
        <v>1035</v>
      </c>
      <c r="B97">
        <v>119</v>
      </c>
      <c r="C97">
        <v>136</v>
      </c>
      <c r="D97">
        <v>153</v>
      </c>
      <c r="F97">
        <v>255</v>
      </c>
      <c r="G97" t="s">
        <v>1374</v>
      </c>
    </row>
    <row r="98" spans="1:7" x14ac:dyDescent="0.2">
      <c r="A98" t="s">
        <v>1040</v>
      </c>
      <c r="B98">
        <v>176</v>
      </c>
      <c r="C98">
        <v>196</v>
      </c>
      <c r="D98">
        <v>222</v>
      </c>
      <c r="F98">
        <v>255</v>
      </c>
      <c r="G98" t="s">
        <v>1375</v>
      </c>
    </row>
    <row r="99" spans="1:7" x14ac:dyDescent="0.2">
      <c r="A99" t="s">
        <v>1048</v>
      </c>
      <c r="B99">
        <v>255</v>
      </c>
      <c r="C99">
        <v>255</v>
      </c>
      <c r="D99">
        <v>224</v>
      </c>
      <c r="F99">
        <v>255</v>
      </c>
      <c r="G99" t="s">
        <v>1376</v>
      </c>
    </row>
    <row r="100" spans="1:7" x14ac:dyDescent="0.2">
      <c r="A100" t="s">
        <v>1125</v>
      </c>
      <c r="B100">
        <v>0</v>
      </c>
      <c r="C100">
        <v>255</v>
      </c>
      <c r="D100">
        <v>0</v>
      </c>
      <c r="F100">
        <v>255</v>
      </c>
      <c r="G100" t="s">
        <v>1377</v>
      </c>
    </row>
    <row r="101" spans="1:7" x14ac:dyDescent="0.2">
      <c r="A101" t="s">
        <v>1126</v>
      </c>
      <c r="B101">
        <v>50</v>
      </c>
      <c r="C101">
        <v>205</v>
      </c>
      <c r="D101">
        <v>50</v>
      </c>
      <c r="F101">
        <v>255</v>
      </c>
      <c r="G101" t="s">
        <v>1378</v>
      </c>
    </row>
    <row r="102" spans="1:7" x14ac:dyDescent="0.2">
      <c r="A102" t="s">
        <v>1127</v>
      </c>
      <c r="B102">
        <v>250</v>
      </c>
      <c r="C102">
        <v>240</v>
      </c>
      <c r="D102">
        <v>230</v>
      </c>
      <c r="F102">
        <v>255</v>
      </c>
      <c r="G102" t="s">
        <v>1379</v>
      </c>
    </row>
    <row r="103" spans="1:7" x14ac:dyDescent="0.2">
      <c r="A103" t="s">
        <v>1128</v>
      </c>
      <c r="B103">
        <v>128</v>
      </c>
      <c r="C103">
        <v>0</v>
      </c>
      <c r="D103">
        <v>0</v>
      </c>
      <c r="F103">
        <v>255</v>
      </c>
      <c r="G103" t="s">
        <v>1380</v>
      </c>
    </row>
    <row r="104" spans="1:7" x14ac:dyDescent="0.2">
      <c r="A104" t="s">
        <v>1051</v>
      </c>
      <c r="B104">
        <v>102</v>
      </c>
      <c r="C104">
        <v>205</v>
      </c>
      <c r="D104">
        <v>170</v>
      </c>
      <c r="F104">
        <v>255</v>
      </c>
      <c r="G104" t="s">
        <v>1381</v>
      </c>
    </row>
    <row r="105" spans="1:7" x14ac:dyDescent="0.2">
      <c r="A105" t="s">
        <v>1129</v>
      </c>
      <c r="B105">
        <v>0</v>
      </c>
      <c r="C105">
        <v>0</v>
      </c>
      <c r="D105">
        <v>205</v>
      </c>
      <c r="F105">
        <v>255</v>
      </c>
      <c r="G105" t="s">
        <v>1382</v>
      </c>
    </row>
    <row r="106" spans="1:7" x14ac:dyDescent="0.2">
      <c r="A106" t="s">
        <v>1041</v>
      </c>
      <c r="B106">
        <v>147</v>
      </c>
      <c r="C106">
        <v>112</v>
      </c>
      <c r="D106">
        <v>219</v>
      </c>
      <c r="F106">
        <v>255</v>
      </c>
      <c r="G106" t="s">
        <v>1383</v>
      </c>
    </row>
    <row r="107" spans="1:7" x14ac:dyDescent="0.2">
      <c r="A107" t="s">
        <v>1130</v>
      </c>
      <c r="B107">
        <v>60</v>
      </c>
      <c r="C107">
        <v>179</v>
      </c>
      <c r="D107">
        <v>113</v>
      </c>
      <c r="F107">
        <v>255</v>
      </c>
      <c r="G107" t="s">
        <v>1384</v>
      </c>
    </row>
    <row r="108" spans="1:7" x14ac:dyDescent="0.2">
      <c r="A108" t="s">
        <v>1034</v>
      </c>
      <c r="B108">
        <v>123</v>
      </c>
      <c r="C108">
        <v>104</v>
      </c>
      <c r="D108">
        <v>238</v>
      </c>
      <c r="F108">
        <v>255</v>
      </c>
      <c r="G108" t="s">
        <v>1385</v>
      </c>
    </row>
    <row r="109" spans="1:7" x14ac:dyDescent="0.2">
      <c r="A109" t="s">
        <v>1131</v>
      </c>
      <c r="B109">
        <v>72</v>
      </c>
      <c r="C109">
        <v>209</v>
      </c>
      <c r="D109">
        <v>204</v>
      </c>
      <c r="F109">
        <v>255</v>
      </c>
      <c r="G109" t="s">
        <v>1386</v>
      </c>
    </row>
    <row r="110" spans="1:7" x14ac:dyDescent="0.2">
      <c r="A110" t="s">
        <v>1132</v>
      </c>
      <c r="B110">
        <v>199</v>
      </c>
      <c r="C110">
        <v>21</v>
      </c>
      <c r="D110">
        <v>133</v>
      </c>
      <c r="F110">
        <v>255</v>
      </c>
      <c r="G110" t="s">
        <v>1387</v>
      </c>
    </row>
    <row r="111" spans="1:7" x14ac:dyDescent="0.2">
      <c r="A111" t="s">
        <v>1133</v>
      </c>
      <c r="B111">
        <v>25</v>
      </c>
      <c r="C111">
        <v>25</v>
      </c>
      <c r="D111">
        <v>112</v>
      </c>
      <c r="F111">
        <v>255</v>
      </c>
      <c r="G111" t="s">
        <v>1388</v>
      </c>
    </row>
    <row r="112" spans="1:7" x14ac:dyDescent="0.2">
      <c r="A112" t="s">
        <v>1134</v>
      </c>
      <c r="B112">
        <v>245</v>
      </c>
      <c r="C112">
        <v>255</v>
      </c>
      <c r="D112">
        <v>250</v>
      </c>
      <c r="F112">
        <v>255</v>
      </c>
      <c r="G112" t="s">
        <v>1389</v>
      </c>
    </row>
    <row r="113" spans="1:7" x14ac:dyDescent="0.2">
      <c r="A113" t="s">
        <v>1135</v>
      </c>
      <c r="B113">
        <v>255</v>
      </c>
      <c r="C113">
        <v>228</v>
      </c>
      <c r="D113">
        <v>225</v>
      </c>
      <c r="F113">
        <v>255</v>
      </c>
      <c r="G113" t="s">
        <v>1390</v>
      </c>
    </row>
    <row r="114" spans="1:7" x14ac:dyDescent="0.2">
      <c r="A114" t="s">
        <v>1136</v>
      </c>
      <c r="B114">
        <v>255</v>
      </c>
      <c r="C114">
        <v>228</v>
      </c>
      <c r="D114">
        <v>181</v>
      </c>
      <c r="F114">
        <v>255</v>
      </c>
      <c r="G114" t="s">
        <v>1391</v>
      </c>
    </row>
    <row r="115" spans="1:7" x14ac:dyDescent="0.2">
      <c r="A115" t="s">
        <v>1137</v>
      </c>
      <c r="B115">
        <v>255</v>
      </c>
      <c r="C115">
        <v>222</v>
      </c>
      <c r="D115">
        <v>173</v>
      </c>
      <c r="F115">
        <v>255</v>
      </c>
      <c r="G115" t="s">
        <v>1392</v>
      </c>
    </row>
    <row r="116" spans="1:7" x14ac:dyDescent="0.2">
      <c r="A116" t="s">
        <v>1138</v>
      </c>
      <c r="B116">
        <v>0</v>
      </c>
      <c r="C116">
        <v>0</v>
      </c>
      <c r="D116">
        <v>128</v>
      </c>
      <c r="F116">
        <v>255</v>
      </c>
      <c r="G116" t="s">
        <v>1393</v>
      </c>
    </row>
    <row r="117" spans="1:7" x14ac:dyDescent="0.2">
      <c r="A117" t="s">
        <v>1139</v>
      </c>
      <c r="B117">
        <v>253</v>
      </c>
      <c r="C117">
        <v>245</v>
      </c>
      <c r="D117">
        <v>230</v>
      </c>
      <c r="F117">
        <v>255</v>
      </c>
      <c r="G117" t="s">
        <v>1394</v>
      </c>
    </row>
    <row r="118" spans="1:7" x14ac:dyDescent="0.2">
      <c r="A118" t="s">
        <v>1140</v>
      </c>
      <c r="B118">
        <v>128</v>
      </c>
      <c r="C118">
        <v>128</v>
      </c>
      <c r="D118">
        <v>0</v>
      </c>
      <c r="F118">
        <v>255</v>
      </c>
      <c r="G118" t="s">
        <v>1395</v>
      </c>
    </row>
    <row r="119" spans="1:7" x14ac:dyDescent="0.2">
      <c r="A119" t="s">
        <v>1141</v>
      </c>
      <c r="B119">
        <v>255</v>
      </c>
      <c r="C119">
        <v>165</v>
      </c>
      <c r="D119">
        <v>0</v>
      </c>
      <c r="F119">
        <v>255</v>
      </c>
      <c r="G119" t="s">
        <v>1396</v>
      </c>
    </row>
    <row r="120" spans="1:7" x14ac:dyDescent="0.2">
      <c r="A120" t="s">
        <v>1142</v>
      </c>
      <c r="B120">
        <v>255</v>
      </c>
      <c r="C120">
        <v>69</v>
      </c>
      <c r="D120">
        <v>0</v>
      </c>
      <c r="F120">
        <v>255</v>
      </c>
      <c r="G120" t="s">
        <v>1397</v>
      </c>
    </row>
    <row r="121" spans="1:7" x14ac:dyDescent="0.2">
      <c r="A121" t="s">
        <v>1143</v>
      </c>
      <c r="B121">
        <v>218</v>
      </c>
      <c r="C121">
        <v>112</v>
      </c>
      <c r="D121">
        <v>214</v>
      </c>
      <c r="F121">
        <v>255</v>
      </c>
      <c r="G121" t="s">
        <v>1398</v>
      </c>
    </row>
    <row r="122" spans="1:7" x14ac:dyDescent="0.2">
      <c r="A122" t="s">
        <v>1144</v>
      </c>
      <c r="B122">
        <v>238</v>
      </c>
      <c r="C122">
        <v>232</v>
      </c>
      <c r="D122">
        <v>170</v>
      </c>
      <c r="F122">
        <v>255</v>
      </c>
      <c r="G122" t="s">
        <v>1399</v>
      </c>
    </row>
    <row r="123" spans="1:7" x14ac:dyDescent="0.2">
      <c r="A123" t="s">
        <v>1145</v>
      </c>
      <c r="B123">
        <v>175</v>
      </c>
      <c r="C123">
        <v>238</v>
      </c>
      <c r="D123">
        <v>238</v>
      </c>
      <c r="F123">
        <v>255</v>
      </c>
      <c r="G123" t="s">
        <v>1400</v>
      </c>
    </row>
    <row r="124" spans="1:7" x14ac:dyDescent="0.2">
      <c r="A124" t="s">
        <v>1146</v>
      </c>
      <c r="B124">
        <v>255</v>
      </c>
      <c r="C124">
        <v>239</v>
      </c>
      <c r="D124">
        <v>213</v>
      </c>
      <c r="F124">
        <v>255</v>
      </c>
      <c r="G124" t="s">
        <v>1401</v>
      </c>
    </row>
    <row r="125" spans="1:7" x14ac:dyDescent="0.2">
      <c r="A125" t="s">
        <v>1147</v>
      </c>
      <c r="B125">
        <v>255</v>
      </c>
      <c r="C125">
        <v>218</v>
      </c>
      <c r="D125">
        <v>185</v>
      </c>
      <c r="F125">
        <v>255</v>
      </c>
      <c r="G125" t="s">
        <v>1402</v>
      </c>
    </row>
    <row r="126" spans="1:7" x14ac:dyDescent="0.2">
      <c r="A126" t="s">
        <v>1148</v>
      </c>
      <c r="B126">
        <v>255</v>
      </c>
      <c r="C126">
        <v>192</v>
      </c>
      <c r="D126">
        <v>203</v>
      </c>
      <c r="F126">
        <v>255</v>
      </c>
      <c r="G126" t="s">
        <v>1403</v>
      </c>
    </row>
    <row r="127" spans="1:7" x14ac:dyDescent="0.2">
      <c r="A127" t="s">
        <v>1149</v>
      </c>
      <c r="B127">
        <v>221</v>
      </c>
      <c r="C127">
        <v>160</v>
      </c>
      <c r="D127">
        <v>221</v>
      </c>
      <c r="F127">
        <v>255</v>
      </c>
      <c r="G127" t="s">
        <v>1404</v>
      </c>
    </row>
    <row r="128" spans="1:7" x14ac:dyDescent="0.2">
      <c r="A128" t="s">
        <v>1150</v>
      </c>
      <c r="B128">
        <v>176</v>
      </c>
      <c r="C128">
        <v>224</v>
      </c>
      <c r="D128">
        <v>230</v>
      </c>
      <c r="F128">
        <v>255</v>
      </c>
      <c r="G128" t="s">
        <v>1405</v>
      </c>
    </row>
    <row r="129" spans="1:7" x14ac:dyDescent="0.2">
      <c r="A129" t="s">
        <v>1151</v>
      </c>
      <c r="B129">
        <v>102</v>
      </c>
      <c r="C129">
        <v>51</v>
      </c>
      <c r="D129">
        <v>153</v>
      </c>
      <c r="F129">
        <v>255</v>
      </c>
      <c r="G129" t="s">
        <v>1406</v>
      </c>
    </row>
    <row r="130" spans="1:7" x14ac:dyDescent="0.2">
      <c r="A130" t="s">
        <v>1152</v>
      </c>
      <c r="B130">
        <v>65</v>
      </c>
      <c r="C130">
        <v>105</v>
      </c>
      <c r="D130">
        <v>225</v>
      </c>
      <c r="F130">
        <v>255</v>
      </c>
      <c r="G130" t="s">
        <v>1407</v>
      </c>
    </row>
    <row r="131" spans="1:7" x14ac:dyDescent="0.2">
      <c r="A131" t="s">
        <v>1153</v>
      </c>
      <c r="B131">
        <v>139</v>
      </c>
      <c r="C131">
        <v>69</v>
      </c>
      <c r="D131">
        <v>19</v>
      </c>
      <c r="F131">
        <v>255</v>
      </c>
      <c r="G131" t="s">
        <v>1408</v>
      </c>
    </row>
    <row r="132" spans="1:7" x14ac:dyDescent="0.2">
      <c r="A132" t="s">
        <v>1154</v>
      </c>
      <c r="B132">
        <v>250</v>
      </c>
      <c r="C132">
        <v>128</v>
      </c>
      <c r="D132">
        <v>114</v>
      </c>
      <c r="F132">
        <v>255</v>
      </c>
      <c r="G132" t="s">
        <v>1409</v>
      </c>
    </row>
    <row r="133" spans="1:7" x14ac:dyDescent="0.2">
      <c r="A133" t="s">
        <v>1155</v>
      </c>
      <c r="B133">
        <v>244</v>
      </c>
      <c r="C133">
        <v>164</v>
      </c>
      <c r="D133">
        <v>96</v>
      </c>
      <c r="F133">
        <v>255</v>
      </c>
      <c r="G133" t="s">
        <v>1410</v>
      </c>
    </row>
    <row r="134" spans="1:7" x14ac:dyDescent="0.2">
      <c r="A134" t="s">
        <v>1156</v>
      </c>
      <c r="B134">
        <v>255</v>
      </c>
      <c r="C134">
        <v>245</v>
      </c>
      <c r="D134">
        <v>238</v>
      </c>
      <c r="F134">
        <v>255</v>
      </c>
      <c r="G134" t="s">
        <v>1411</v>
      </c>
    </row>
    <row r="135" spans="1:7" x14ac:dyDescent="0.2">
      <c r="A135" t="s">
        <v>1157</v>
      </c>
      <c r="B135">
        <v>160</v>
      </c>
      <c r="C135">
        <v>82</v>
      </c>
      <c r="D135">
        <v>45</v>
      </c>
      <c r="F135">
        <v>255</v>
      </c>
      <c r="G135" t="s">
        <v>1412</v>
      </c>
    </row>
    <row r="136" spans="1:7" x14ac:dyDescent="0.2">
      <c r="A136" t="s">
        <v>1158</v>
      </c>
      <c r="B136">
        <v>192</v>
      </c>
      <c r="C136">
        <v>192</v>
      </c>
      <c r="D136">
        <v>192</v>
      </c>
      <c r="F136">
        <v>255</v>
      </c>
      <c r="G136" t="s">
        <v>1413</v>
      </c>
    </row>
    <row r="137" spans="1:7" x14ac:dyDescent="0.2">
      <c r="A137" t="s">
        <v>1159</v>
      </c>
      <c r="B137">
        <v>135</v>
      </c>
      <c r="C137">
        <v>206</v>
      </c>
      <c r="D137">
        <v>235</v>
      </c>
      <c r="F137">
        <v>255</v>
      </c>
      <c r="G137" t="s">
        <v>1414</v>
      </c>
    </row>
    <row r="138" spans="1:7" x14ac:dyDescent="0.2">
      <c r="A138" t="s">
        <v>1160</v>
      </c>
      <c r="B138">
        <v>106</v>
      </c>
      <c r="C138">
        <v>90</v>
      </c>
      <c r="D138">
        <v>205</v>
      </c>
      <c r="F138">
        <v>255</v>
      </c>
      <c r="G138" t="s">
        <v>1415</v>
      </c>
    </row>
    <row r="139" spans="1:7" x14ac:dyDescent="0.2">
      <c r="A139" t="s">
        <v>1161</v>
      </c>
      <c r="B139">
        <v>255</v>
      </c>
      <c r="C139">
        <v>250</v>
      </c>
      <c r="D139">
        <v>250</v>
      </c>
      <c r="F139">
        <v>255</v>
      </c>
      <c r="G139" t="s">
        <v>1416</v>
      </c>
    </row>
    <row r="140" spans="1:7" x14ac:dyDescent="0.2">
      <c r="A140" t="s">
        <v>1162</v>
      </c>
      <c r="B140">
        <v>0</v>
      </c>
      <c r="C140">
        <v>255</v>
      </c>
      <c r="D140">
        <v>127</v>
      </c>
      <c r="F140">
        <v>255</v>
      </c>
      <c r="G140" t="s">
        <v>1417</v>
      </c>
    </row>
    <row r="141" spans="1:7" x14ac:dyDescent="0.2">
      <c r="A141" t="s">
        <v>1163</v>
      </c>
      <c r="B141">
        <v>70</v>
      </c>
      <c r="C141">
        <v>130</v>
      </c>
      <c r="D141">
        <v>180</v>
      </c>
      <c r="F141">
        <v>255</v>
      </c>
      <c r="G141" t="s">
        <v>1418</v>
      </c>
    </row>
    <row r="142" spans="1:7" x14ac:dyDescent="0.2">
      <c r="A142" t="s">
        <v>1164</v>
      </c>
      <c r="B142">
        <v>0</v>
      </c>
      <c r="C142">
        <v>128</v>
      </c>
      <c r="D142">
        <v>128</v>
      </c>
      <c r="F142">
        <v>255</v>
      </c>
      <c r="G142" t="s">
        <v>1419</v>
      </c>
    </row>
    <row r="143" spans="1:7" x14ac:dyDescent="0.2">
      <c r="A143" t="s">
        <v>1165</v>
      </c>
      <c r="B143">
        <v>216</v>
      </c>
      <c r="C143">
        <v>191</v>
      </c>
      <c r="D143">
        <v>216</v>
      </c>
      <c r="F143">
        <v>255</v>
      </c>
      <c r="G143" t="s">
        <v>1420</v>
      </c>
    </row>
    <row r="144" spans="1:7" x14ac:dyDescent="0.2">
      <c r="A144" t="s">
        <v>1166</v>
      </c>
      <c r="B144">
        <v>255</v>
      </c>
      <c r="C144">
        <v>99</v>
      </c>
      <c r="D144">
        <v>71</v>
      </c>
      <c r="F144">
        <v>255</v>
      </c>
      <c r="G144" t="s">
        <v>1421</v>
      </c>
    </row>
    <row r="145" spans="1:7" x14ac:dyDescent="0.2">
      <c r="A145" t="s">
        <v>1167</v>
      </c>
      <c r="B145">
        <v>64</v>
      </c>
      <c r="C145">
        <v>224</v>
      </c>
      <c r="D145">
        <v>208</v>
      </c>
      <c r="F145">
        <v>255</v>
      </c>
      <c r="G145" t="s">
        <v>1422</v>
      </c>
    </row>
    <row r="146" spans="1:7" x14ac:dyDescent="0.2">
      <c r="A146" t="s">
        <v>1168</v>
      </c>
      <c r="B146">
        <v>238</v>
      </c>
      <c r="C146">
        <v>130</v>
      </c>
      <c r="D146">
        <v>238</v>
      </c>
      <c r="F146">
        <v>255</v>
      </c>
      <c r="G146" t="s">
        <v>1423</v>
      </c>
    </row>
    <row r="147" spans="1:7" x14ac:dyDescent="0.2">
      <c r="A147" t="s">
        <v>1169</v>
      </c>
      <c r="B147">
        <v>245</v>
      </c>
      <c r="C147">
        <v>222</v>
      </c>
      <c r="D147">
        <v>179</v>
      </c>
      <c r="F147">
        <v>255</v>
      </c>
      <c r="G147" t="s">
        <v>1424</v>
      </c>
    </row>
    <row r="148" spans="1:7" x14ac:dyDescent="0.2">
      <c r="A148" t="s">
        <v>1170</v>
      </c>
      <c r="B148">
        <v>245</v>
      </c>
      <c r="C148">
        <v>245</v>
      </c>
      <c r="D148">
        <v>245</v>
      </c>
      <c r="F148">
        <v>255</v>
      </c>
      <c r="G148" t="s">
        <v>1425</v>
      </c>
    </row>
    <row r="149" spans="1:7" x14ac:dyDescent="0.2">
      <c r="A149" t="s">
        <v>1171</v>
      </c>
      <c r="B149">
        <v>154</v>
      </c>
      <c r="C149">
        <v>205</v>
      </c>
      <c r="D149">
        <v>50</v>
      </c>
      <c r="F149">
        <v>255</v>
      </c>
      <c r="G149" t="s">
        <v>1426</v>
      </c>
    </row>
    <row r="150" spans="1:7" x14ac:dyDescent="0.2">
      <c r="A150" t="s">
        <v>1172</v>
      </c>
      <c r="B150">
        <v>141</v>
      </c>
      <c r="C150">
        <v>43</v>
      </c>
      <c r="D150">
        <v>11</v>
      </c>
      <c r="F150">
        <v>255</v>
      </c>
      <c r="G150" t="s">
        <v>1427</v>
      </c>
    </row>
    <row r="151" spans="1:7" x14ac:dyDescent="0.2">
      <c r="A151" t="s">
        <v>1173</v>
      </c>
      <c r="B151">
        <v>182</v>
      </c>
      <c r="C151">
        <v>49</v>
      </c>
      <c r="D151">
        <v>108</v>
      </c>
      <c r="F151">
        <v>255</v>
      </c>
      <c r="G151" t="s">
        <v>1428</v>
      </c>
    </row>
    <row r="152" spans="1:7" x14ac:dyDescent="0.2">
      <c r="A152" t="s">
        <v>1174</v>
      </c>
      <c r="B152">
        <v>184</v>
      </c>
      <c r="C152">
        <v>125</v>
      </c>
      <c r="D152">
        <v>73</v>
      </c>
      <c r="F152">
        <v>255</v>
      </c>
      <c r="G152" t="s">
        <v>1429</v>
      </c>
    </row>
    <row r="153" spans="1:7" x14ac:dyDescent="0.2">
      <c r="A153" t="s">
        <v>1175</v>
      </c>
      <c r="B153">
        <v>184</v>
      </c>
      <c r="C153">
        <v>115</v>
      </c>
      <c r="D153">
        <v>51</v>
      </c>
      <c r="F153">
        <v>255</v>
      </c>
      <c r="G153" t="s">
        <v>1430</v>
      </c>
    </row>
    <row r="154" spans="1:7" x14ac:dyDescent="0.2">
      <c r="A154" t="s">
        <v>1176</v>
      </c>
      <c r="B154">
        <v>227</v>
      </c>
      <c r="C154">
        <v>66</v>
      </c>
      <c r="D154">
        <v>52</v>
      </c>
      <c r="F154">
        <v>255</v>
      </c>
      <c r="G154" t="s">
        <v>1431</v>
      </c>
    </row>
    <row r="155" spans="1:7" x14ac:dyDescent="0.2">
      <c r="A155" t="s">
        <v>1177</v>
      </c>
      <c r="B155">
        <v>200</v>
      </c>
      <c r="C155">
        <v>162</v>
      </c>
      <c r="D155">
        <v>200</v>
      </c>
      <c r="F155">
        <v>255</v>
      </c>
      <c r="G155" t="s">
        <v>1432</v>
      </c>
    </row>
    <row r="156" spans="1:7" x14ac:dyDescent="0.2">
      <c r="A156" t="s">
        <v>1178</v>
      </c>
      <c r="B156">
        <v>252</v>
      </c>
      <c r="C156">
        <v>90</v>
      </c>
      <c r="D156">
        <v>141</v>
      </c>
      <c r="F156">
        <v>255</v>
      </c>
      <c r="G156" t="s">
        <v>1433</v>
      </c>
    </row>
    <row r="157" spans="1:7" x14ac:dyDescent="0.2">
      <c r="A157" t="s">
        <v>1179</v>
      </c>
      <c r="B157">
        <v>86</v>
      </c>
      <c r="C157">
        <v>130</v>
      </c>
      <c r="D157">
        <v>3</v>
      </c>
      <c r="F157">
        <v>255</v>
      </c>
      <c r="G157" t="s">
        <v>1434</v>
      </c>
    </row>
    <row r="158" spans="1:7" x14ac:dyDescent="0.2">
      <c r="A158" t="s">
        <v>1180</v>
      </c>
      <c r="B158">
        <v>255</v>
      </c>
      <c r="C158">
        <v>160</v>
      </c>
      <c r="D158">
        <v>0</v>
      </c>
      <c r="F158">
        <v>255</v>
      </c>
      <c r="G158" t="s">
        <v>1435</v>
      </c>
    </row>
    <row r="159" spans="1:7" x14ac:dyDescent="0.2">
      <c r="A159" t="s">
        <v>1181</v>
      </c>
      <c r="B159">
        <v>78</v>
      </c>
      <c r="C159">
        <v>135</v>
      </c>
      <c r="D159">
        <v>32</v>
      </c>
      <c r="F159">
        <v>255</v>
      </c>
      <c r="G159" t="s">
        <v>1436</v>
      </c>
    </row>
    <row r="160" spans="1:7" x14ac:dyDescent="0.2">
      <c r="A160" t="s">
        <v>1182</v>
      </c>
      <c r="B160">
        <v>97</v>
      </c>
      <c r="C160">
        <v>64</v>
      </c>
      <c r="D160">
        <v>81</v>
      </c>
      <c r="F160">
        <v>255</v>
      </c>
      <c r="G160" t="s">
        <v>1437</v>
      </c>
    </row>
    <row r="161" spans="1:7" x14ac:dyDescent="0.2">
      <c r="A161" t="s">
        <v>1183</v>
      </c>
      <c r="B161">
        <v>128</v>
      </c>
      <c r="C161">
        <v>255</v>
      </c>
      <c r="D161">
        <v>159</v>
      </c>
      <c r="F161">
        <v>255</v>
      </c>
      <c r="G161" t="s">
        <v>1438</v>
      </c>
    </row>
    <row r="162" spans="1:7" x14ac:dyDescent="0.2">
      <c r="A162" t="s">
        <v>1184</v>
      </c>
      <c r="B162">
        <v>234</v>
      </c>
      <c r="C162">
        <v>215</v>
      </c>
      <c r="D162">
        <v>160</v>
      </c>
      <c r="F162">
        <v>255</v>
      </c>
      <c r="G162" t="s">
        <v>1439</v>
      </c>
    </row>
    <row r="163" spans="1:7" x14ac:dyDescent="0.2">
      <c r="A163" t="s">
        <v>1185</v>
      </c>
      <c r="B163">
        <v>90</v>
      </c>
      <c r="C163">
        <v>79</v>
      </c>
      <c r="D163">
        <v>207</v>
      </c>
      <c r="F163">
        <v>255</v>
      </c>
      <c r="G163" t="s">
        <v>1440</v>
      </c>
    </row>
    <row r="164" spans="1:7" x14ac:dyDescent="0.2">
      <c r="A164" t="s">
        <v>1186</v>
      </c>
      <c r="B164">
        <v>26</v>
      </c>
      <c r="C164">
        <v>72</v>
      </c>
      <c r="D164">
        <v>118</v>
      </c>
      <c r="F164">
        <v>255</v>
      </c>
      <c r="G164" t="s">
        <v>1441</v>
      </c>
    </row>
    <row r="165" spans="1:7" x14ac:dyDescent="0.2">
      <c r="A165" t="s">
        <v>1084</v>
      </c>
      <c r="B165">
        <v>123</v>
      </c>
      <c r="C165">
        <v>63</v>
      </c>
      <c r="D165">
        <v>0</v>
      </c>
      <c r="F165">
        <v>255</v>
      </c>
      <c r="G165" t="s">
        <v>1442</v>
      </c>
    </row>
    <row r="166" spans="1:7" x14ac:dyDescent="0.2">
      <c r="A166" t="s">
        <v>1187</v>
      </c>
      <c r="B166">
        <v>226</v>
      </c>
      <c r="C166">
        <v>114</v>
      </c>
      <c r="D166">
        <v>91</v>
      </c>
      <c r="F166">
        <v>255</v>
      </c>
      <c r="G166" t="s">
        <v>1443</v>
      </c>
    </row>
    <row r="167" spans="1:7" x14ac:dyDescent="0.2">
      <c r="A167" t="s">
        <v>1188</v>
      </c>
      <c r="B167">
        <v>227</v>
      </c>
      <c r="C167">
        <v>11</v>
      </c>
      <c r="D167">
        <v>92</v>
      </c>
      <c r="F167">
        <v>255</v>
      </c>
      <c r="G167" t="s">
        <v>1444</v>
      </c>
    </row>
    <row r="168" spans="1:7" x14ac:dyDescent="0.2">
      <c r="A168" t="s">
        <v>1189</v>
      </c>
      <c r="B168">
        <v>183</v>
      </c>
      <c r="C168">
        <v>195</v>
      </c>
      <c r="D168">
        <v>243</v>
      </c>
      <c r="F168">
        <v>255</v>
      </c>
      <c r="G168" t="s">
        <v>1445</v>
      </c>
    </row>
    <row r="169" spans="1:7" x14ac:dyDescent="0.2">
      <c r="A169" t="s">
        <v>1190</v>
      </c>
      <c r="B169">
        <v>99</v>
      </c>
      <c r="C169">
        <v>169</v>
      </c>
      <c r="D169">
        <v>80</v>
      </c>
      <c r="F169">
        <v>255</v>
      </c>
      <c r="G169" t="s">
        <v>1446</v>
      </c>
    </row>
    <row r="170" spans="1:7" x14ac:dyDescent="0.2">
      <c r="A170" t="s">
        <v>1191</v>
      </c>
      <c r="B170">
        <v>255</v>
      </c>
      <c r="C170">
        <v>218</v>
      </c>
      <c r="D170">
        <v>191</v>
      </c>
      <c r="F170">
        <v>255</v>
      </c>
      <c r="G170" t="s">
        <v>1447</v>
      </c>
    </row>
    <row r="171" spans="1:7" x14ac:dyDescent="0.2">
      <c r="A171" t="s">
        <v>1192</v>
      </c>
      <c r="B171">
        <v>119</v>
      </c>
      <c r="C171">
        <v>63</v>
      </c>
      <c r="D171">
        <v>26</v>
      </c>
      <c r="F171">
        <v>255</v>
      </c>
      <c r="G171" t="s">
        <v>1448</v>
      </c>
    </row>
    <row r="172" spans="1:7" x14ac:dyDescent="0.2">
      <c r="A172" t="s">
        <v>1193</v>
      </c>
      <c r="B172">
        <v>43</v>
      </c>
      <c r="C172">
        <v>93</v>
      </c>
      <c r="D172">
        <v>52</v>
      </c>
      <c r="F172">
        <v>255</v>
      </c>
      <c r="G172" t="s">
        <v>1449</v>
      </c>
    </row>
    <row r="173" spans="1:7" x14ac:dyDescent="0.2">
      <c r="A173" t="s">
        <v>1194</v>
      </c>
      <c r="B173">
        <v>61</v>
      </c>
      <c r="C173">
        <v>7</v>
      </c>
      <c r="D173">
        <v>52</v>
      </c>
      <c r="F173">
        <v>255</v>
      </c>
      <c r="G173" t="s">
        <v>1450</v>
      </c>
    </row>
    <row r="174" spans="1:7" x14ac:dyDescent="0.2">
      <c r="A174" t="s">
        <v>1195</v>
      </c>
      <c r="B174">
        <v>204</v>
      </c>
      <c r="C174">
        <v>119</v>
      </c>
      <c r="D174">
        <v>34</v>
      </c>
      <c r="F174">
        <v>255</v>
      </c>
      <c r="G174" t="s">
        <v>1451</v>
      </c>
    </row>
    <row r="175" spans="1:7" x14ac:dyDescent="0.2">
      <c r="A175" t="s">
        <v>1196</v>
      </c>
      <c r="B175">
        <v>85</v>
      </c>
      <c r="C175">
        <v>93</v>
      </c>
      <c r="D175">
        <v>80</v>
      </c>
      <c r="F175">
        <v>255</v>
      </c>
      <c r="G175" t="s">
        <v>1452</v>
      </c>
    </row>
    <row r="176" spans="1:7" x14ac:dyDescent="0.2">
      <c r="A176" t="s">
        <v>1197</v>
      </c>
      <c r="B176">
        <v>115</v>
      </c>
      <c r="C176">
        <v>54</v>
      </c>
      <c r="D176">
        <v>53</v>
      </c>
      <c r="F176">
        <v>255</v>
      </c>
      <c r="G176" t="s">
        <v>1453</v>
      </c>
    </row>
    <row r="177" spans="1:7" x14ac:dyDescent="0.2">
      <c r="A177" t="s">
        <v>1198</v>
      </c>
      <c r="B177">
        <v>170</v>
      </c>
      <c r="C177">
        <v>64</v>
      </c>
      <c r="D177">
        <v>105</v>
      </c>
      <c r="F177">
        <v>255</v>
      </c>
      <c r="G177" t="s">
        <v>1454</v>
      </c>
    </row>
    <row r="178" spans="1:7" x14ac:dyDescent="0.2">
      <c r="A178" t="s">
        <v>1199</v>
      </c>
      <c r="B178">
        <v>88</v>
      </c>
      <c r="C178">
        <v>41</v>
      </c>
      <c r="D178">
        <v>0</v>
      </c>
      <c r="F178">
        <v>255</v>
      </c>
      <c r="G178" t="s">
        <v>1455</v>
      </c>
    </row>
    <row r="179" spans="1:7" x14ac:dyDescent="0.2">
      <c r="A179" t="s">
        <v>1200</v>
      </c>
      <c r="B179">
        <v>234</v>
      </c>
      <c r="C179">
        <v>224</v>
      </c>
      <c r="D179">
        <v>200</v>
      </c>
      <c r="F179">
        <v>255</v>
      </c>
      <c r="G179" t="s">
        <v>1456</v>
      </c>
    </row>
    <row r="180" spans="1:7" x14ac:dyDescent="0.2">
      <c r="A180" t="s">
        <v>1201</v>
      </c>
      <c r="B180">
        <v>138</v>
      </c>
      <c r="C180">
        <v>121</v>
      </c>
      <c r="D180">
        <v>93</v>
      </c>
      <c r="F180">
        <v>255</v>
      </c>
      <c r="G180" t="s">
        <v>1457</v>
      </c>
    </row>
    <row r="181" spans="1:7" x14ac:dyDescent="0.2">
      <c r="A181" t="s">
        <v>1202</v>
      </c>
      <c r="B181">
        <v>255</v>
      </c>
      <c r="C181">
        <v>182</v>
      </c>
      <c r="D181">
        <v>30</v>
      </c>
      <c r="F181">
        <v>255</v>
      </c>
      <c r="G181" t="s">
        <v>1458</v>
      </c>
    </row>
    <row r="182" spans="1:7" x14ac:dyDescent="0.2">
      <c r="A182" t="s">
        <v>1203</v>
      </c>
      <c r="B182">
        <v>153</v>
      </c>
      <c r="C182">
        <v>102</v>
      </c>
      <c r="D182">
        <v>204</v>
      </c>
      <c r="F182">
        <v>255</v>
      </c>
      <c r="G182" t="s">
        <v>1459</v>
      </c>
    </row>
    <row r="183" spans="1:7" x14ac:dyDescent="0.2">
      <c r="A183" t="s">
        <v>1204</v>
      </c>
      <c r="B183">
        <v>248</v>
      </c>
      <c r="C183">
        <v>131</v>
      </c>
      <c r="D183">
        <v>121</v>
      </c>
      <c r="F183">
        <v>255</v>
      </c>
      <c r="G183" t="s">
        <v>1460</v>
      </c>
    </row>
    <row r="184" spans="1:7" x14ac:dyDescent="0.2">
      <c r="A184" t="s">
        <v>1205</v>
      </c>
      <c r="B184">
        <v>111</v>
      </c>
      <c r="C184">
        <v>0</v>
      </c>
      <c r="D184">
        <v>255</v>
      </c>
      <c r="F184">
        <v>255</v>
      </c>
      <c r="G184" t="s">
        <v>1461</v>
      </c>
    </row>
    <row r="185" spans="1:7" x14ac:dyDescent="0.2">
      <c r="A185" t="s">
        <v>1206</v>
      </c>
      <c r="B185">
        <v>217</v>
      </c>
      <c r="C185">
        <v>0</v>
      </c>
      <c r="D185">
        <v>0</v>
      </c>
      <c r="F185">
        <v>255</v>
      </c>
      <c r="G185" t="s">
        <v>1462</v>
      </c>
    </row>
    <row r="186" spans="1:7" x14ac:dyDescent="0.2">
      <c r="A186" t="s">
        <v>1207</v>
      </c>
      <c r="B186">
        <v>162</v>
      </c>
      <c r="C186">
        <v>173</v>
      </c>
      <c r="D186">
        <v>208</v>
      </c>
      <c r="F186">
        <v>255</v>
      </c>
      <c r="G186" t="s">
        <v>1463</v>
      </c>
    </row>
    <row r="187" spans="1:7" x14ac:dyDescent="0.2">
      <c r="A187" t="s">
        <v>1208</v>
      </c>
      <c r="B187">
        <v>255</v>
      </c>
      <c r="C187">
        <v>163</v>
      </c>
      <c r="D187">
        <v>67</v>
      </c>
      <c r="F187">
        <v>255</v>
      </c>
      <c r="G187" t="s">
        <v>1464</v>
      </c>
    </row>
    <row r="188" spans="1:7" x14ac:dyDescent="0.2">
      <c r="A188" t="s">
        <v>1209</v>
      </c>
      <c r="B188">
        <v>170</v>
      </c>
      <c r="C188">
        <v>240</v>
      </c>
      <c r="D188">
        <v>209</v>
      </c>
      <c r="F188">
        <v>255</v>
      </c>
      <c r="G188" t="s">
        <v>1465</v>
      </c>
    </row>
    <row r="189" spans="1:7" x14ac:dyDescent="0.2">
      <c r="A189" t="s">
        <v>1210</v>
      </c>
      <c r="B189">
        <v>65</v>
      </c>
      <c r="C189">
        <v>74</v>
      </c>
      <c r="D189">
        <v>76</v>
      </c>
      <c r="F189">
        <v>255</v>
      </c>
      <c r="G189" t="s">
        <v>1466</v>
      </c>
    </row>
    <row r="190" spans="1:7" x14ac:dyDescent="0.2">
      <c r="A190" t="s">
        <v>1211</v>
      </c>
      <c r="B190">
        <v>227</v>
      </c>
      <c r="C190">
        <v>37</v>
      </c>
      <c r="D190">
        <v>107</v>
      </c>
      <c r="F190">
        <v>255</v>
      </c>
      <c r="G190" t="s">
        <v>1467</v>
      </c>
    </row>
    <row r="191" spans="1:7" x14ac:dyDescent="0.2">
      <c r="A191" t="s">
        <v>1212</v>
      </c>
      <c r="B191">
        <v>255</v>
      </c>
      <c r="C191">
        <v>174</v>
      </c>
      <c r="D191">
        <v>66</v>
      </c>
      <c r="F191">
        <v>255</v>
      </c>
      <c r="G191" t="s">
        <v>1468</v>
      </c>
    </row>
    <row r="192" spans="1:7" x14ac:dyDescent="0.2">
      <c r="A192" t="s">
        <v>1213</v>
      </c>
      <c r="B192">
        <v>255</v>
      </c>
      <c r="C192">
        <v>130</v>
      </c>
      <c r="D192">
        <v>67</v>
      </c>
      <c r="F192">
        <v>255</v>
      </c>
      <c r="G192" t="s">
        <v>1469</v>
      </c>
    </row>
    <row r="193" spans="1:7" x14ac:dyDescent="0.2">
      <c r="A193" t="s">
        <v>1214</v>
      </c>
      <c r="B193">
        <v>200</v>
      </c>
      <c r="C193">
        <v>80</v>
      </c>
      <c r="D193">
        <v>155</v>
      </c>
      <c r="F193">
        <v>255</v>
      </c>
      <c r="G193" t="s">
        <v>1470</v>
      </c>
    </row>
    <row r="194" spans="1:7" x14ac:dyDescent="0.2">
      <c r="A194" t="s">
        <v>1215</v>
      </c>
      <c r="B194">
        <v>135</v>
      </c>
      <c r="C194">
        <v>66</v>
      </c>
      <c r="D194">
        <v>31</v>
      </c>
      <c r="F194">
        <v>255</v>
      </c>
      <c r="G194" t="s">
        <v>1471</v>
      </c>
    </row>
    <row r="195" spans="1:7" x14ac:dyDescent="0.2">
      <c r="A195" t="s">
        <v>1216</v>
      </c>
      <c r="B195">
        <v>28</v>
      </c>
      <c r="C195">
        <v>169</v>
      </c>
      <c r="D195">
        <v>201</v>
      </c>
      <c r="F195">
        <v>255</v>
      </c>
      <c r="G195" t="s">
        <v>1472</v>
      </c>
    </row>
    <row r="196" spans="1:7" x14ac:dyDescent="0.2">
      <c r="A196" t="s">
        <v>1217</v>
      </c>
      <c r="B196">
        <v>255</v>
      </c>
      <c r="C196">
        <v>53</v>
      </c>
      <c r="D196">
        <v>94</v>
      </c>
      <c r="F196">
        <v>255</v>
      </c>
      <c r="G196" t="s">
        <v>1473</v>
      </c>
    </row>
    <row r="197" spans="1:7" x14ac:dyDescent="0.2">
      <c r="A197" t="s">
        <v>1218</v>
      </c>
      <c r="B197">
        <v>252</v>
      </c>
      <c r="C197">
        <v>108</v>
      </c>
      <c r="D197">
        <v>133</v>
      </c>
      <c r="F197">
        <v>255</v>
      </c>
      <c r="G197" t="s">
        <v>1474</v>
      </c>
    </row>
    <row r="198" spans="1:7" x14ac:dyDescent="0.2">
      <c r="A198" t="s">
        <v>1219</v>
      </c>
      <c r="B198">
        <v>48</v>
      </c>
      <c r="C198">
        <v>186</v>
      </c>
      <c r="D198">
        <v>143</v>
      </c>
      <c r="F198">
        <v>255</v>
      </c>
      <c r="G198" t="s">
        <v>1475</v>
      </c>
    </row>
    <row r="199" spans="1:7" x14ac:dyDescent="0.2">
      <c r="A199" t="s">
        <v>1220</v>
      </c>
      <c r="B199">
        <v>167</v>
      </c>
      <c r="C199">
        <v>252</v>
      </c>
      <c r="D199">
        <v>0</v>
      </c>
      <c r="F199">
        <v>255</v>
      </c>
      <c r="G199" t="s">
        <v>1476</v>
      </c>
    </row>
    <row r="200" spans="1:7" x14ac:dyDescent="0.2">
      <c r="A200" t="s">
        <v>1221</v>
      </c>
      <c r="B200">
        <v>232</v>
      </c>
      <c r="C200">
        <v>97</v>
      </c>
      <c r="D200">
        <v>0</v>
      </c>
      <c r="F200">
        <v>255</v>
      </c>
      <c r="G200" t="s">
        <v>1477</v>
      </c>
    </row>
    <row r="201" spans="1:7" x14ac:dyDescent="0.2">
      <c r="A201" t="s">
        <v>1222</v>
      </c>
      <c r="B201">
        <v>65</v>
      </c>
      <c r="C201">
        <v>102</v>
      </c>
      <c r="D201">
        <v>245</v>
      </c>
      <c r="F201">
        <v>255</v>
      </c>
      <c r="G201" t="s">
        <v>1478</v>
      </c>
    </row>
    <row r="202" spans="1:7" x14ac:dyDescent="0.2">
      <c r="A202" t="s">
        <v>1223</v>
      </c>
      <c r="B202">
        <v>159</v>
      </c>
      <c r="C202">
        <v>0</v>
      </c>
      <c r="D202">
        <v>255</v>
      </c>
      <c r="F202">
        <v>255</v>
      </c>
      <c r="G202" t="s">
        <v>1479</v>
      </c>
    </row>
    <row r="203" spans="1:7" x14ac:dyDescent="0.2">
      <c r="A203" t="s">
        <v>1224</v>
      </c>
      <c r="B203">
        <v>0</v>
      </c>
      <c r="C203">
        <v>204</v>
      </c>
      <c r="D203">
        <v>153</v>
      </c>
      <c r="F203">
        <v>255</v>
      </c>
      <c r="G203" t="s">
        <v>1480</v>
      </c>
    </row>
    <row r="204" spans="1:7" x14ac:dyDescent="0.2">
      <c r="A204" t="s">
        <v>1225</v>
      </c>
      <c r="B204">
        <v>205</v>
      </c>
      <c r="C204">
        <v>149</v>
      </c>
      <c r="D204">
        <v>117</v>
      </c>
      <c r="F204">
        <v>255</v>
      </c>
      <c r="G204" t="s">
        <v>1481</v>
      </c>
    </row>
    <row r="205" spans="1:7" x14ac:dyDescent="0.2">
      <c r="A205" t="s">
        <v>1226</v>
      </c>
      <c r="B205">
        <v>203</v>
      </c>
      <c r="C205">
        <v>65</v>
      </c>
      <c r="D205">
        <v>84</v>
      </c>
      <c r="F205">
        <v>255</v>
      </c>
      <c r="G205" t="s">
        <v>1482</v>
      </c>
    </row>
    <row r="206" spans="1:7" x14ac:dyDescent="0.2">
      <c r="A206" t="s">
        <v>1227</v>
      </c>
      <c r="B206">
        <v>133</v>
      </c>
      <c r="C206">
        <v>117</v>
      </c>
      <c r="D206">
        <v>78</v>
      </c>
      <c r="F206">
        <v>255</v>
      </c>
      <c r="G206" t="s">
        <v>1483</v>
      </c>
    </row>
    <row r="207" spans="1:7" x14ac:dyDescent="0.2">
      <c r="A207" t="s">
        <v>1228</v>
      </c>
      <c r="B207">
        <v>168</v>
      </c>
      <c r="C207">
        <v>228</v>
      </c>
      <c r="D207">
        <v>160</v>
      </c>
      <c r="F207">
        <v>255</v>
      </c>
      <c r="G207" t="s">
        <v>1484</v>
      </c>
    </row>
    <row r="208" spans="1:7" x14ac:dyDescent="0.2">
      <c r="A208" t="s">
        <v>1229</v>
      </c>
      <c r="B208">
        <v>0</v>
      </c>
      <c r="C208">
        <v>117</v>
      </c>
      <c r="D208">
        <v>94</v>
      </c>
      <c r="F208">
        <v>255</v>
      </c>
      <c r="G208" t="s">
        <v>1485</v>
      </c>
    </row>
    <row r="209" spans="1:7" x14ac:dyDescent="0.2">
      <c r="A209" t="s">
        <v>1206</v>
      </c>
      <c r="B209">
        <v>204</v>
      </c>
      <c r="C209">
        <v>51</v>
      </c>
      <c r="D209">
        <v>51</v>
      </c>
      <c r="F209">
        <v>255</v>
      </c>
      <c r="G209" t="s">
        <v>1486</v>
      </c>
    </row>
    <row r="210" spans="1:7" x14ac:dyDescent="0.2">
      <c r="A210" t="s">
        <v>1230</v>
      </c>
      <c r="B210">
        <v>156</v>
      </c>
      <c r="C210">
        <v>81</v>
      </c>
      <c r="D210">
        <v>182</v>
      </c>
      <c r="F210">
        <v>255</v>
      </c>
      <c r="G210" t="s">
        <v>1487</v>
      </c>
    </row>
    <row r="211" spans="1:7" x14ac:dyDescent="0.2">
      <c r="A211" t="s">
        <v>1231</v>
      </c>
      <c r="B211">
        <v>196</v>
      </c>
      <c r="C211">
        <v>174</v>
      </c>
      <c r="D211">
        <v>173</v>
      </c>
      <c r="F211">
        <v>255</v>
      </c>
      <c r="G211" t="s">
        <v>1488</v>
      </c>
    </row>
    <row r="212" spans="1:7" x14ac:dyDescent="0.2">
      <c r="A212" t="s">
        <v>1232</v>
      </c>
      <c r="B212">
        <v>255</v>
      </c>
      <c r="C212">
        <v>67</v>
      </c>
      <c r="D212">
        <v>164</v>
      </c>
      <c r="F212">
        <v>255</v>
      </c>
      <c r="G212" t="s">
        <v>1489</v>
      </c>
    </row>
    <row r="213" spans="1:7" x14ac:dyDescent="0.2">
      <c r="A213" t="s">
        <v>1233</v>
      </c>
      <c r="B213">
        <v>162</v>
      </c>
      <c r="C213">
        <v>162</v>
      </c>
      <c r="D213">
        <v>208</v>
      </c>
      <c r="F213">
        <v>255</v>
      </c>
      <c r="G213" t="s">
        <v>1490</v>
      </c>
    </row>
    <row r="214" spans="1:7" x14ac:dyDescent="0.2">
      <c r="A214" t="s">
        <v>1234</v>
      </c>
      <c r="B214">
        <v>150</v>
      </c>
      <c r="C214">
        <v>0</v>
      </c>
      <c r="D214">
        <v>24</v>
      </c>
      <c r="F214">
        <v>255</v>
      </c>
      <c r="G214" t="s">
        <v>1491</v>
      </c>
    </row>
    <row r="215" spans="1:7" x14ac:dyDescent="0.2">
      <c r="A215" t="s">
        <v>1235</v>
      </c>
      <c r="B215">
        <v>215</v>
      </c>
      <c r="C215">
        <v>59</v>
      </c>
      <c r="D215">
        <v>62</v>
      </c>
      <c r="F215">
        <v>255</v>
      </c>
      <c r="G215" t="s">
        <v>1492</v>
      </c>
    </row>
    <row r="216" spans="1:7" x14ac:dyDescent="0.2">
      <c r="A216" t="s">
        <v>1236</v>
      </c>
      <c r="B216">
        <v>46</v>
      </c>
      <c r="C216">
        <v>45</v>
      </c>
      <c r="D216">
        <v>136</v>
      </c>
      <c r="F216">
        <v>255</v>
      </c>
      <c r="G216" t="s">
        <v>1493</v>
      </c>
    </row>
    <row r="217" spans="1:7" x14ac:dyDescent="0.2">
      <c r="A217" t="s">
        <v>1237</v>
      </c>
      <c r="B217">
        <v>110</v>
      </c>
      <c r="C217">
        <v>174</v>
      </c>
      <c r="D217">
        <v>161</v>
      </c>
      <c r="F217">
        <v>255</v>
      </c>
      <c r="G217" t="s">
        <v>1494</v>
      </c>
    </row>
    <row r="218" spans="1:7" x14ac:dyDescent="0.2">
      <c r="A218" t="s">
        <v>1238</v>
      </c>
      <c r="B218">
        <v>21</v>
      </c>
      <c r="C218">
        <v>96</v>
      </c>
      <c r="D218">
        <v>189</v>
      </c>
      <c r="F218">
        <v>255</v>
      </c>
      <c r="G218" t="s">
        <v>1495</v>
      </c>
    </row>
    <row r="219" spans="1:7" x14ac:dyDescent="0.2">
      <c r="A219" t="s">
        <v>1239</v>
      </c>
      <c r="B219">
        <v>242</v>
      </c>
      <c r="C219">
        <v>240</v>
      </c>
      <c r="D219">
        <v>230</v>
      </c>
      <c r="F219">
        <v>255</v>
      </c>
      <c r="G219" t="s">
        <v>1496</v>
      </c>
    </row>
    <row r="220" spans="1:7" x14ac:dyDescent="0.2">
      <c r="A220" t="s">
        <v>1240</v>
      </c>
      <c r="B220">
        <v>176</v>
      </c>
      <c r="C220">
        <v>191</v>
      </c>
      <c r="D220">
        <v>26</v>
      </c>
      <c r="F220">
        <v>255</v>
      </c>
      <c r="G220" t="s">
        <v>1497</v>
      </c>
    </row>
    <row r="221" spans="1:7" x14ac:dyDescent="0.2">
      <c r="A221" t="s">
        <v>1241</v>
      </c>
      <c r="B221">
        <v>124</v>
      </c>
      <c r="C221">
        <v>185</v>
      </c>
      <c r="D221">
        <v>232</v>
      </c>
      <c r="F221">
        <v>255</v>
      </c>
      <c r="G221" t="s">
        <v>1498</v>
      </c>
    </row>
    <row r="222" spans="1:7" x14ac:dyDescent="0.2">
      <c r="A222" t="s">
        <v>1242</v>
      </c>
      <c r="B222">
        <v>196</v>
      </c>
      <c r="C222">
        <v>98</v>
      </c>
      <c r="D222">
        <v>16</v>
      </c>
      <c r="F222">
        <v>255</v>
      </c>
      <c r="G222" t="s">
        <v>1499</v>
      </c>
    </row>
    <row r="223" spans="1:7" x14ac:dyDescent="0.2">
      <c r="A223" t="s">
        <v>1243</v>
      </c>
      <c r="B223">
        <v>229</v>
      </c>
      <c r="C223">
        <v>43</v>
      </c>
      <c r="D223">
        <v>80</v>
      </c>
      <c r="F223">
        <v>255</v>
      </c>
      <c r="G223" t="s">
        <v>1500</v>
      </c>
    </row>
    <row r="224" spans="1:7" x14ac:dyDescent="0.2">
      <c r="A224" t="s">
        <v>1244</v>
      </c>
      <c r="B224">
        <v>145</v>
      </c>
      <c r="C224">
        <v>95</v>
      </c>
      <c r="D224">
        <v>109</v>
      </c>
      <c r="F224">
        <v>255</v>
      </c>
      <c r="G224" t="s">
        <v>1501</v>
      </c>
    </row>
    <row r="225" spans="1:7" x14ac:dyDescent="0.2">
      <c r="A225" t="s">
        <v>1245</v>
      </c>
      <c r="B225">
        <v>159</v>
      </c>
      <c r="C225">
        <v>129</v>
      </c>
      <c r="D225">
        <v>112</v>
      </c>
      <c r="F225">
        <v>255</v>
      </c>
      <c r="G225" t="s">
        <v>1502</v>
      </c>
    </row>
    <row r="226" spans="1:7" x14ac:dyDescent="0.2">
      <c r="A226" t="s">
        <v>1246</v>
      </c>
      <c r="B226">
        <v>147</v>
      </c>
      <c r="C226">
        <v>197</v>
      </c>
      <c r="D226">
        <v>114</v>
      </c>
      <c r="F226">
        <v>255</v>
      </c>
      <c r="G226" t="s">
        <v>1503</v>
      </c>
    </row>
    <row r="227" spans="1:7" x14ac:dyDescent="0.2">
      <c r="A227" t="s">
        <v>1247</v>
      </c>
      <c r="B227">
        <v>61</v>
      </c>
      <c r="C227">
        <v>43</v>
      </c>
      <c r="D227">
        <v>31</v>
      </c>
      <c r="F227">
        <v>255</v>
      </c>
      <c r="G227" t="s">
        <v>1504</v>
      </c>
    </row>
    <row r="228" spans="1:7" x14ac:dyDescent="0.2">
      <c r="A228" t="s">
        <v>1248</v>
      </c>
      <c r="B228">
        <v>196</v>
      </c>
      <c r="C228">
        <v>195</v>
      </c>
      <c r="D228">
        <v>208</v>
      </c>
      <c r="F228">
        <v>255</v>
      </c>
      <c r="G228" t="s">
        <v>1505</v>
      </c>
    </row>
    <row r="229" spans="1:7" x14ac:dyDescent="0.2">
      <c r="A229" t="s">
        <v>1249</v>
      </c>
      <c r="B229">
        <v>254</v>
      </c>
      <c r="C229">
        <v>111</v>
      </c>
      <c r="D229">
        <v>94</v>
      </c>
      <c r="F229">
        <v>255</v>
      </c>
      <c r="G229" t="s">
        <v>1506</v>
      </c>
    </row>
    <row r="230" spans="1:7" x14ac:dyDescent="0.2">
      <c r="A230" t="s">
        <v>1250</v>
      </c>
      <c r="B230">
        <v>105</v>
      </c>
      <c r="C230">
        <v>53</v>
      </c>
      <c r="D230">
        <v>156</v>
      </c>
      <c r="F230">
        <v>255</v>
      </c>
      <c r="G230" t="s">
        <v>1507</v>
      </c>
    </row>
    <row r="231" spans="1:7" x14ac:dyDescent="0.2">
      <c r="A231" t="s">
        <v>1251</v>
      </c>
      <c r="B231">
        <v>18</v>
      </c>
      <c r="C231">
        <v>97</v>
      </c>
      <c r="D231">
        <v>128</v>
      </c>
      <c r="F231">
        <v>255</v>
      </c>
      <c r="G231" t="s">
        <v>1508</v>
      </c>
    </row>
    <row r="232" spans="1:7" x14ac:dyDescent="0.2">
      <c r="A232" t="s">
        <v>1252</v>
      </c>
      <c r="B232">
        <v>0</v>
      </c>
      <c r="C232">
        <v>73</v>
      </c>
      <c r="D232">
        <v>83</v>
      </c>
      <c r="F232">
        <v>255</v>
      </c>
      <c r="G232" t="s">
        <v>1509</v>
      </c>
    </row>
    <row r="233" spans="1:7" x14ac:dyDescent="0.2">
      <c r="A233" t="s">
        <v>1253</v>
      </c>
      <c r="B233">
        <v>0</v>
      </c>
      <c r="C233">
        <v>127</v>
      </c>
      <c r="D233">
        <v>92</v>
      </c>
      <c r="F233">
        <v>255</v>
      </c>
      <c r="G233" t="s">
        <v>1510</v>
      </c>
    </row>
    <row r="234" spans="1:7" x14ac:dyDescent="0.2">
      <c r="A234" t="s">
        <v>1254</v>
      </c>
      <c r="B234">
        <v>236</v>
      </c>
      <c r="C234">
        <v>88</v>
      </c>
      <c r="D234">
        <v>0</v>
      </c>
      <c r="F234">
        <v>255</v>
      </c>
      <c r="G234" t="s">
        <v>1511</v>
      </c>
    </row>
    <row r="235" spans="1:7" x14ac:dyDescent="0.2">
      <c r="A235" t="s">
        <v>1255</v>
      </c>
      <c r="B235">
        <v>207</v>
      </c>
      <c r="C235">
        <v>16</v>
      </c>
      <c r="D235">
        <v>32</v>
      </c>
      <c r="F235">
        <v>255</v>
      </c>
      <c r="G235" t="s">
        <v>1512</v>
      </c>
    </row>
    <row r="236" spans="1:7" x14ac:dyDescent="0.2">
      <c r="A236" t="s">
        <v>1256</v>
      </c>
      <c r="B236">
        <v>78</v>
      </c>
      <c r="C236">
        <v>130</v>
      </c>
      <c r="D236">
        <v>180</v>
      </c>
      <c r="F236">
        <v>255</v>
      </c>
      <c r="G236" t="s">
        <v>1513</v>
      </c>
    </row>
    <row r="237" spans="1:7" x14ac:dyDescent="0.2">
      <c r="A237" t="s">
        <v>1257</v>
      </c>
      <c r="B237">
        <v>128</v>
      </c>
      <c r="C237">
        <v>0</v>
      </c>
      <c r="D237">
        <v>32</v>
      </c>
      <c r="F237">
        <v>255</v>
      </c>
      <c r="G237" t="s">
        <v>1514</v>
      </c>
    </row>
    <row r="238" spans="1:7" x14ac:dyDescent="0.2">
      <c r="A238" t="s">
        <v>1258</v>
      </c>
      <c r="B238">
        <v>103</v>
      </c>
      <c r="C238">
        <v>146</v>
      </c>
      <c r="D238">
        <v>103</v>
      </c>
      <c r="F238">
        <v>255</v>
      </c>
      <c r="G238" t="s">
        <v>1515</v>
      </c>
    </row>
    <row r="239" spans="1:7" x14ac:dyDescent="0.2">
      <c r="A239" t="s">
        <v>1259</v>
      </c>
      <c r="B239">
        <v>179</v>
      </c>
      <c r="C239">
        <v>68</v>
      </c>
      <c r="D239">
        <v>108</v>
      </c>
      <c r="F239">
        <v>255</v>
      </c>
      <c r="G239" t="s">
        <v>1516</v>
      </c>
    </row>
    <row r="240" spans="1:7" x14ac:dyDescent="0.2">
      <c r="A240" t="s">
        <v>1260</v>
      </c>
      <c r="B240">
        <v>255</v>
      </c>
      <c r="C240">
        <v>240</v>
      </c>
      <c r="D240">
        <v>0</v>
      </c>
      <c r="F240">
        <v>255</v>
      </c>
      <c r="G240" t="s">
        <v>1517</v>
      </c>
    </row>
    <row r="241" spans="1:7" x14ac:dyDescent="0.2">
      <c r="A241" t="s">
        <v>1261</v>
      </c>
      <c r="B241">
        <v>212</v>
      </c>
      <c r="C241">
        <v>112</v>
      </c>
      <c r="D241">
        <v>162</v>
      </c>
      <c r="F241">
        <v>255</v>
      </c>
      <c r="G241" t="s">
        <v>1518</v>
      </c>
    </row>
    <row r="242" spans="1:7" x14ac:dyDescent="0.2">
      <c r="A242" t="s">
        <v>1262</v>
      </c>
      <c r="B242">
        <v>231</v>
      </c>
      <c r="C242">
        <v>172</v>
      </c>
      <c r="D242">
        <v>207</v>
      </c>
      <c r="F242">
        <v>255</v>
      </c>
      <c r="G242" t="s">
        <v>1519</v>
      </c>
    </row>
    <row r="243" spans="1:7" x14ac:dyDescent="0.2">
      <c r="A243" t="s">
        <v>1263</v>
      </c>
      <c r="B243">
        <v>136</v>
      </c>
      <c r="C243">
        <v>120</v>
      </c>
      <c r="D243">
        <v>195</v>
      </c>
      <c r="F243">
        <v>255</v>
      </c>
      <c r="G243" t="s">
        <v>1520</v>
      </c>
    </row>
    <row r="244" spans="1:7" x14ac:dyDescent="0.2">
      <c r="A244" t="s">
        <v>1264</v>
      </c>
      <c r="B244">
        <v>252</v>
      </c>
      <c r="C244">
        <v>108</v>
      </c>
      <c r="D244">
        <v>133</v>
      </c>
      <c r="F244">
        <v>255</v>
      </c>
      <c r="G244" t="s">
        <v>1521</v>
      </c>
    </row>
    <row r="245" spans="1:7" x14ac:dyDescent="0.2">
      <c r="A245" t="s">
        <v>1265</v>
      </c>
      <c r="B245">
        <v>44</v>
      </c>
      <c r="C245">
        <v>22</v>
      </c>
      <c r="D245">
        <v>8</v>
      </c>
      <c r="F245">
        <v>255</v>
      </c>
      <c r="G245" t="s">
        <v>1522</v>
      </c>
    </row>
    <row r="246" spans="1:7" x14ac:dyDescent="0.2">
      <c r="A246" t="s">
        <v>1266</v>
      </c>
      <c r="B246">
        <v>80</v>
      </c>
      <c r="C246">
        <v>64</v>
      </c>
      <c r="D246">
        <v>77</v>
      </c>
      <c r="F246">
        <v>255</v>
      </c>
      <c r="G246" t="s">
        <v>1523</v>
      </c>
    </row>
    <row r="247" spans="1:7" x14ac:dyDescent="0.2">
      <c r="A247" t="s">
        <v>1267</v>
      </c>
      <c r="B247">
        <v>209</v>
      </c>
      <c r="C247">
        <v>226</v>
      </c>
      <c r="D247">
        <v>49</v>
      </c>
      <c r="F247">
        <v>255</v>
      </c>
      <c r="G247" t="s">
        <v>1524</v>
      </c>
    </row>
    <row r="248" spans="1:7" x14ac:dyDescent="0.2">
      <c r="A248" t="s">
        <v>1268</v>
      </c>
      <c r="B248">
        <v>54</v>
      </c>
      <c r="C248">
        <v>117</v>
      </c>
      <c r="D248">
        <v>136</v>
      </c>
      <c r="G248" t="s">
        <v>1525</v>
      </c>
    </row>
    <row r="249" spans="1:7" x14ac:dyDescent="0.2">
      <c r="A249" t="s">
        <v>1269</v>
      </c>
      <c r="B249">
        <v>57</v>
      </c>
      <c r="C249">
        <v>255</v>
      </c>
      <c r="D249">
        <v>20</v>
      </c>
      <c r="G249" t="s">
        <v>1526</v>
      </c>
    </row>
    <row r="250" spans="1:7" x14ac:dyDescent="0.2">
      <c r="A250" t="s">
        <v>1270</v>
      </c>
      <c r="B250">
        <v>254</v>
      </c>
      <c r="C250">
        <v>65</v>
      </c>
      <c r="D250">
        <v>100</v>
      </c>
      <c r="G250" t="s">
        <v>1527</v>
      </c>
    </row>
    <row r="251" spans="1:7" x14ac:dyDescent="0.2">
      <c r="A251" t="s">
        <v>1271</v>
      </c>
      <c r="B251">
        <v>101</v>
      </c>
      <c r="C251">
        <v>67</v>
      </c>
      <c r="D251">
        <v>33</v>
      </c>
      <c r="G251" t="s">
        <v>1528</v>
      </c>
    </row>
    <row r="252" spans="1:7" x14ac:dyDescent="0.2">
      <c r="A252" t="s">
        <v>1272</v>
      </c>
      <c r="B252">
        <v>195</v>
      </c>
      <c r="C252">
        <v>176</v>
      </c>
      <c r="D252">
        <v>145</v>
      </c>
      <c r="G252" t="s">
        <v>1529</v>
      </c>
    </row>
    <row r="253" spans="1:7" x14ac:dyDescent="0.2">
      <c r="A253" t="s">
        <v>1273</v>
      </c>
      <c r="B253">
        <v>113</v>
      </c>
      <c r="C253">
        <v>166</v>
      </c>
      <c r="D253">
        <v>210</v>
      </c>
      <c r="G253" t="s">
        <v>1530</v>
      </c>
    </row>
    <row r="254" spans="1:7" x14ac:dyDescent="0.2">
      <c r="A254" t="s">
        <v>1274</v>
      </c>
      <c r="B254">
        <v>248</v>
      </c>
      <c r="C254">
        <v>222</v>
      </c>
      <c r="D254">
        <v>126</v>
      </c>
      <c r="G254" t="s">
        <v>1531</v>
      </c>
    </row>
    <row r="255" spans="1:7" x14ac:dyDescent="0.2">
      <c r="A255" t="s">
        <v>1275</v>
      </c>
      <c r="B255">
        <v>192</v>
      </c>
      <c r="C255">
        <v>64</v>
      </c>
      <c r="D255">
        <v>0</v>
      </c>
      <c r="G255" t="s">
        <v>1532</v>
      </c>
    </row>
    <row r="256" spans="1:7" x14ac:dyDescent="0.2">
      <c r="A256" t="s">
        <v>1276</v>
      </c>
      <c r="B256">
        <v>246</v>
      </c>
      <c r="C256">
        <v>74</v>
      </c>
      <c r="D256">
        <v>138</v>
      </c>
      <c r="G256" t="s">
        <v>1533</v>
      </c>
    </row>
    <row r="257" spans="1:7" x14ac:dyDescent="0.2">
      <c r="A257" t="s">
        <v>1277</v>
      </c>
      <c r="B257">
        <v>70</v>
      </c>
      <c r="C257">
        <v>130</v>
      </c>
      <c r="D257">
        <v>191</v>
      </c>
      <c r="G257" t="s">
        <v>1534</v>
      </c>
    </row>
    <row r="258" spans="1:7" x14ac:dyDescent="0.2">
      <c r="A258" t="s">
        <v>1278</v>
      </c>
      <c r="B258">
        <v>255</v>
      </c>
      <c r="C258">
        <v>0</v>
      </c>
      <c r="D258">
        <v>255</v>
      </c>
      <c r="G258" t="s">
        <v>1535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C4447-3184-B747-9928-458998DF683C}">
  <sheetPr codeName="Sheet5"/>
  <dimension ref="A1:H80"/>
  <sheetViews>
    <sheetView topLeftCell="A15" workbookViewId="0">
      <selection activeCell="A78" sqref="A78"/>
    </sheetView>
  </sheetViews>
  <sheetFormatPr baseColWidth="10" defaultColWidth="11.5" defaultRowHeight="15" x14ac:dyDescent="0.2"/>
  <cols>
    <col min="1" max="1" width="38.5" bestFit="1" customWidth="1"/>
    <col min="2" max="4" width="78.5" customWidth="1"/>
    <col min="6" max="6" width="62.83203125" bestFit="1" customWidth="1"/>
    <col min="7" max="7" width="201.83203125" bestFit="1" customWidth="1"/>
    <col min="8" max="8" width="144.1640625" bestFit="1" customWidth="1"/>
  </cols>
  <sheetData>
    <row r="1" spans="1:8" x14ac:dyDescent="0.2">
      <c r="A1" s="18" t="s">
        <v>1537</v>
      </c>
      <c r="B1" s="18" t="s">
        <v>1650</v>
      </c>
      <c r="C1" s="18" t="s">
        <v>1538</v>
      </c>
      <c r="D1" s="18"/>
      <c r="E1" s="18" t="s">
        <v>1539</v>
      </c>
      <c r="F1" s="18" t="s">
        <v>1540</v>
      </c>
      <c r="G1" s="18" t="s">
        <v>1541</v>
      </c>
      <c r="H1" s="18" t="s">
        <v>1542</v>
      </c>
    </row>
    <row r="2" spans="1:8" x14ac:dyDescent="0.2">
      <c r="A2" s="19" t="s">
        <v>4</v>
      </c>
      <c r="B2" s="19" t="s">
        <v>1651</v>
      </c>
      <c r="C2" s="19" t="s">
        <v>1543</v>
      </c>
      <c r="D2" s="19"/>
      <c r="E2" s="19" t="s">
        <v>1544</v>
      </c>
      <c r="F2" s="19" t="s">
        <v>1545</v>
      </c>
      <c r="G2" s="20" t="s">
        <v>1546</v>
      </c>
      <c r="H2" s="20" t="s">
        <v>1547</v>
      </c>
    </row>
    <row r="3" spans="1:8" x14ac:dyDescent="0.2">
      <c r="A3" s="19" t="s">
        <v>8</v>
      </c>
      <c r="B3" s="19" t="s">
        <v>1652</v>
      </c>
      <c r="C3" s="19" t="s">
        <v>1548</v>
      </c>
      <c r="D3" s="19"/>
      <c r="E3" s="19" t="s">
        <v>1549</v>
      </c>
      <c r="F3" s="19" t="s">
        <v>751</v>
      </c>
      <c r="G3" s="19" t="s">
        <v>717</v>
      </c>
      <c r="H3" s="20" t="s">
        <v>752</v>
      </c>
    </row>
    <row r="4" spans="1:8" x14ac:dyDescent="0.2">
      <c r="A4" s="19" t="s">
        <v>18</v>
      </c>
      <c r="B4" s="19" t="s">
        <v>1550</v>
      </c>
      <c r="C4" s="19" t="s">
        <v>1550</v>
      </c>
      <c r="D4" s="19"/>
      <c r="E4" s="19" t="s">
        <v>1551</v>
      </c>
      <c r="F4" s="19" t="s">
        <v>751</v>
      </c>
      <c r="G4" s="19" t="s">
        <v>717</v>
      </c>
      <c r="H4" s="20" t="s">
        <v>752</v>
      </c>
    </row>
    <row r="5" spans="1:8" x14ac:dyDescent="0.2">
      <c r="A5" s="19" t="s">
        <v>22</v>
      </c>
      <c r="B5" s="19" t="s">
        <v>1653</v>
      </c>
      <c r="C5" s="19" t="s">
        <v>1552</v>
      </c>
      <c r="D5" s="19"/>
      <c r="E5" s="19" t="s">
        <v>758</v>
      </c>
      <c r="F5" s="19" t="s">
        <v>759</v>
      </c>
      <c r="G5" s="19" t="s">
        <v>717</v>
      </c>
      <c r="H5" s="19" t="s">
        <v>760</v>
      </c>
    </row>
    <row r="6" spans="1:8" x14ac:dyDescent="0.2">
      <c r="A6" s="19" t="s">
        <v>1553</v>
      </c>
      <c r="B6" s="19" t="s">
        <v>1654</v>
      </c>
      <c r="C6" s="19" t="s">
        <v>1554</v>
      </c>
      <c r="D6" s="19"/>
      <c r="E6" s="19" t="s">
        <v>1549</v>
      </c>
      <c r="F6" s="19" t="s">
        <v>751</v>
      </c>
      <c r="G6" s="19" t="s">
        <v>717</v>
      </c>
      <c r="H6" s="20" t="s">
        <v>752</v>
      </c>
    </row>
    <row r="7" spans="1:8" x14ac:dyDescent="0.2">
      <c r="A7" s="19" t="s">
        <v>749</v>
      </c>
      <c r="B7" s="19" t="s">
        <v>1655</v>
      </c>
      <c r="C7" s="19" t="s">
        <v>1555</v>
      </c>
      <c r="D7" s="19"/>
      <c r="E7" s="19" t="s">
        <v>758</v>
      </c>
      <c r="F7" s="19" t="s">
        <v>759</v>
      </c>
      <c r="G7" s="19" t="s">
        <v>717</v>
      </c>
      <c r="H7" s="19" t="s">
        <v>760</v>
      </c>
    </row>
    <row r="8" spans="1:8" x14ac:dyDescent="0.2">
      <c r="A8" s="19" t="s">
        <v>1556</v>
      </c>
      <c r="B8" s="19" t="s">
        <v>578</v>
      </c>
      <c r="C8" s="19" t="s">
        <v>578</v>
      </c>
      <c r="D8" s="19"/>
      <c r="E8" s="19" t="s">
        <v>758</v>
      </c>
      <c r="F8" s="19" t="s">
        <v>759</v>
      </c>
      <c r="G8" s="19" t="s">
        <v>717</v>
      </c>
      <c r="H8" s="19" t="s">
        <v>760</v>
      </c>
    </row>
    <row r="9" spans="1:8" x14ac:dyDescent="0.2">
      <c r="A9" s="19" t="s">
        <v>51</v>
      </c>
      <c r="B9" s="19" t="s">
        <v>1656</v>
      </c>
      <c r="C9" s="19" t="s">
        <v>1557</v>
      </c>
      <c r="D9" s="19"/>
      <c r="E9" s="19" t="s">
        <v>1558</v>
      </c>
      <c r="F9" s="19" t="s">
        <v>1559</v>
      </c>
      <c r="G9" s="19" t="s">
        <v>717</v>
      </c>
      <c r="H9" s="20" t="s">
        <v>1560</v>
      </c>
    </row>
    <row r="10" spans="1:8" x14ac:dyDescent="0.2">
      <c r="A10" s="19" t="s">
        <v>61</v>
      </c>
      <c r="B10" s="19" t="s">
        <v>1657</v>
      </c>
      <c r="C10" s="19" t="s">
        <v>1561</v>
      </c>
      <c r="D10" s="19"/>
      <c r="E10" s="19" t="s">
        <v>1551</v>
      </c>
      <c r="F10" s="19" t="s">
        <v>751</v>
      </c>
      <c r="G10" s="19" t="s">
        <v>717</v>
      </c>
      <c r="H10" s="20" t="s">
        <v>752</v>
      </c>
    </row>
    <row r="11" spans="1:8" x14ac:dyDescent="0.2">
      <c r="A11" s="19" t="s">
        <v>65</v>
      </c>
      <c r="B11" s="19" t="s">
        <v>1658</v>
      </c>
      <c r="C11" s="19" t="s">
        <v>1562</v>
      </c>
      <c r="D11" s="19"/>
      <c r="E11" s="19" t="s">
        <v>758</v>
      </c>
      <c r="F11" s="19" t="s">
        <v>759</v>
      </c>
      <c r="G11" s="19" t="s">
        <v>717</v>
      </c>
      <c r="H11" s="19" t="s">
        <v>760</v>
      </c>
    </row>
    <row r="12" spans="1:8" x14ac:dyDescent="0.2">
      <c r="A12" s="19" t="s">
        <v>77</v>
      </c>
      <c r="B12" s="19" t="s">
        <v>579</v>
      </c>
      <c r="C12" s="19" t="s">
        <v>579</v>
      </c>
      <c r="D12" s="19"/>
      <c r="E12" s="19" t="s">
        <v>758</v>
      </c>
      <c r="F12" s="19" t="s">
        <v>759</v>
      </c>
      <c r="G12" s="19" t="s">
        <v>717</v>
      </c>
      <c r="H12" s="19" t="s">
        <v>760</v>
      </c>
    </row>
    <row r="13" spans="1:8" x14ac:dyDescent="0.2">
      <c r="A13" s="19" t="s">
        <v>84</v>
      </c>
      <c r="B13" s="19" t="s">
        <v>1563</v>
      </c>
      <c r="C13" s="19" t="s">
        <v>1563</v>
      </c>
      <c r="D13" s="19"/>
      <c r="E13" s="19" t="s">
        <v>758</v>
      </c>
      <c r="F13" s="19" t="s">
        <v>759</v>
      </c>
      <c r="G13" s="19" t="s">
        <v>717</v>
      </c>
      <c r="H13" s="19" t="s">
        <v>760</v>
      </c>
    </row>
    <row r="14" spans="1:8" x14ac:dyDescent="0.2">
      <c r="A14" s="19" t="s">
        <v>88</v>
      </c>
      <c r="B14" s="19" t="s">
        <v>1564</v>
      </c>
      <c r="C14" s="19" t="s">
        <v>1564</v>
      </c>
      <c r="D14" s="19"/>
      <c r="E14" s="19" t="s">
        <v>758</v>
      </c>
      <c r="F14" s="19" t="s">
        <v>759</v>
      </c>
      <c r="G14" s="19" t="s">
        <v>717</v>
      </c>
      <c r="H14" s="19" t="s">
        <v>760</v>
      </c>
    </row>
    <row r="15" spans="1:8" x14ac:dyDescent="0.2">
      <c r="A15" s="19" t="s">
        <v>112</v>
      </c>
      <c r="B15" s="19" t="s">
        <v>580</v>
      </c>
      <c r="C15" s="19" t="s">
        <v>580</v>
      </c>
      <c r="D15" s="19"/>
      <c r="E15" s="19" t="s">
        <v>758</v>
      </c>
      <c r="F15" s="19" t="s">
        <v>759</v>
      </c>
      <c r="G15" s="19" t="s">
        <v>717</v>
      </c>
      <c r="H15" s="19" t="s">
        <v>760</v>
      </c>
    </row>
    <row r="16" spans="1:8" x14ac:dyDescent="0.2">
      <c r="A16" s="19" t="s">
        <v>116</v>
      </c>
      <c r="B16" s="19" t="s">
        <v>1565</v>
      </c>
      <c r="C16" s="19" t="s">
        <v>1565</v>
      </c>
      <c r="D16" s="19"/>
      <c r="E16" s="19" t="s">
        <v>758</v>
      </c>
      <c r="F16" s="19" t="s">
        <v>759</v>
      </c>
      <c r="G16" s="19" t="s">
        <v>717</v>
      </c>
      <c r="H16" s="19" t="s">
        <v>760</v>
      </c>
    </row>
    <row r="17" spans="1:8" x14ac:dyDescent="0.2">
      <c r="A17" s="19" t="s">
        <v>123</v>
      </c>
      <c r="B17" s="19" t="s">
        <v>1566</v>
      </c>
      <c r="C17" s="19" t="s">
        <v>1566</v>
      </c>
      <c r="D17" s="19"/>
      <c r="E17" s="19" t="s">
        <v>758</v>
      </c>
      <c r="F17" s="19" t="s">
        <v>759</v>
      </c>
      <c r="G17" s="19" t="s">
        <v>717</v>
      </c>
      <c r="H17" s="19" t="s">
        <v>760</v>
      </c>
    </row>
    <row r="18" spans="1:8" x14ac:dyDescent="0.2">
      <c r="A18" s="19" t="s">
        <v>139</v>
      </c>
      <c r="B18" s="19" t="s">
        <v>581</v>
      </c>
      <c r="C18" s="19" t="s">
        <v>581</v>
      </c>
      <c r="D18" s="19"/>
      <c r="E18" s="19" t="s">
        <v>1567</v>
      </c>
      <c r="F18" s="19" t="s">
        <v>802</v>
      </c>
      <c r="G18" s="19" t="s">
        <v>717</v>
      </c>
      <c r="H18" s="20" t="s">
        <v>1568</v>
      </c>
    </row>
    <row r="19" spans="1:8" x14ac:dyDescent="0.2">
      <c r="A19" s="19" t="s">
        <v>141</v>
      </c>
      <c r="B19" s="19" t="s">
        <v>1659</v>
      </c>
      <c r="C19" s="19" t="s">
        <v>1569</v>
      </c>
      <c r="D19" s="19"/>
      <c r="E19" s="19" t="s">
        <v>1551</v>
      </c>
      <c r="F19" s="19" t="s">
        <v>751</v>
      </c>
      <c r="G19" s="19" t="s">
        <v>717</v>
      </c>
      <c r="H19" s="20" t="s">
        <v>752</v>
      </c>
    </row>
    <row r="20" spans="1:8" x14ac:dyDescent="0.2">
      <c r="A20" s="19" t="s">
        <v>145</v>
      </c>
      <c r="B20" s="19" t="s">
        <v>582</v>
      </c>
      <c r="C20" s="19" t="s">
        <v>1570</v>
      </c>
      <c r="D20" s="19"/>
      <c r="E20" s="20" t="s">
        <v>1571</v>
      </c>
      <c r="F20" s="19" t="s">
        <v>1572</v>
      </c>
      <c r="G20" s="19"/>
      <c r="H20" s="20" t="s">
        <v>1573</v>
      </c>
    </row>
    <row r="21" spans="1:8" x14ac:dyDescent="0.2">
      <c r="A21" s="19" t="s">
        <v>147</v>
      </c>
      <c r="B21" s="19" t="s">
        <v>583</v>
      </c>
      <c r="C21" s="19" t="s">
        <v>583</v>
      </c>
      <c r="D21" s="19"/>
      <c r="E21" s="19" t="s">
        <v>1574</v>
      </c>
      <c r="F21" s="19" t="s">
        <v>1575</v>
      </c>
      <c r="G21" s="19" t="s">
        <v>717</v>
      </c>
      <c r="H21" s="20" t="s">
        <v>1576</v>
      </c>
    </row>
    <row r="22" spans="1:8" x14ac:dyDescent="0.2">
      <c r="A22" s="19" t="s">
        <v>27</v>
      </c>
      <c r="B22" s="19" t="s">
        <v>1660</v>
      </c>
      <c r="C22" s="19" t="s">
        <v>1577</v>
      </c>
      <c r="D22" s="19"/>
      <c r="E22" s="19" t="s">
        <v>829</v>
      </c>
      <c r="F22" s="19" t="s">
        <v>830</v>
      </c>
      <c r="G22" s="19" t="s">
        <v>717</v>
      </c>
      <c r="H22" s="20" t="s">
        <v>831</v>
      </c>
    </row>
    <row r="23" spans="1:8" x14ac:dyDescent="0.2">
      <c r="A23" s="19" t="s">
        <v>43</v>
      </c>
      <c r="B23" s="19" t="s">
        <v>584</v>
      </c>
      <c r="C23" s="19" t="s">
        <v>584</v>
      </c>
      <c r="D23" s="19"/>
      <c r="E23" s="19" t="s">
        <v>758</v>
      </c>
      <c r="F23" s="19" t="s">
        <v>759</v>
      </c>
      <c r="G23" s="19" t="s">
        <v>717</v>
      </c>
      <c r="H23" s="19" t="s">
        <v>760</v>
      </c>
    </row>
    <row r="24" spans="1:8" x14ac:dyDescent="0.2">
      <c r="A24" s="19" t="s">
        <v>189</v>
      </c>
      <c r="B24" s="19" t="s">
        <v>1661</v>
      </c>
      <c r="C24" s="19" t="s">
        <v>1578</v>
      </c>
      <c r="D24" s="19"/>
      <c r="E24" s="19" t="s">
        <v>758</v>
      </c>
      <c r="F24" s="19" t="s">
        <v>759</v>
      </c>
      <c r="G24" s="19" t="s">
        <v>717</v>
      </c>
      <c r="H24" s="19" t="s">
        <v>760</v>
      </c>
    </row>
    <row r="25" spans="1:8" x14ac:dyDescent="0.2">
      <c r="A25" s="19" t="s">
        <v>191</v>
      </c>
      <c r="B25" s="19" t="s">
        <v>585</v>
      </c>
      <c r="C25" s="19" t="s">
        <v>585</v>
      </c>
      <c r="D25" s="19"/>
      <c r="E25" s="19" t="s">
        <v>758</v>
      </c>
      <c r="F25" s="19" t="s">
        <v>759</v>
      </c>
      <c r="G25" s="19" t="s">
        <v>717</v>
      </c>
      <c r="H25" s="19" t="s">
        <v>760</v>
      </c>
    </row>
    <row r="26" spans="1:8" x14ac:dyDescent="0.2">
      <c r="A26" s="19" t="s">
        <v>193</v>
      </c>
      <c r="B26" s="19" t="s">
        <v>1662</v>
      </c>
      <c r="C26" s="19" t="s">
        <v>1579</v>
      </c>
      <c r="D26" s="19"/>
      <c r="E26" s="19" t="s">
        <v>758</v>
      </c>
      <c r="F26" s="19" t="s">
        <v>759</v>
      </c>
      <c r="G26" s="19" t="s">
        <v>717</v>
      </c>
      <c r="H26" s="19" t="s">
        <v>760</v>
      </c>
    </row>
    <row r="27" spans="1:8" x14ac:dyDescent="0.2">
      <c r="A27" s="19" t="s">
        <v>197</v>
      </c>
      <c r="B27" s="19" t="s">
        <v>586</v>
      </c>
      <c r="C27" s="19" t="s">
        <v>1580</v>
      </c>
      <c r="D27" s="19"/>
      <c r="E27" s="19" t="s">
        <v>1581</v>
      </c>
      <c r="F27" s="19" t="s">
        <v>1582</v>
      </c>
      <c r="G27" s="19" t="s">
        <v>1583</v>
      </c>
      <c r="H27" s="20" t="s">
        <v>1584</v>
      </c>
    </row>
    <row r="28" spans="1:8" x14ac:dyDescent="0.2">
      <c r="A28" s="19" t="s">
        <v>199</v>
      </c>
      <c r="B28" s="19" t="s">
        <v>568</v>
      </c>
      <c r="C28" s="19" t="s">
        <v>568</v>
      </c>
      <c r="D28" s="19"/>
      <c r="E28" s="19" t="s">
        <v>758</v>
      </c>
      <c r="F28" s="19" t="s">
        <v>789</v>
      </c>
      <c r="G28" s="20" t="s">
        <v>790</v>
      </c>
      <c r="H28" s="20" t="s">
        <v>791</v>
      </c>
    </row>
    <row r="29" spans="1:8" x14ac:dyDescent="0.2">
      <c r="A29" s="19" t="s">
        <v>877</v>
      </c>
      <c r="B29" s="19" t="s">
        <v>1663</v>
      </c>
      <c r="C29" s="19" t="s">
        <v>878</v>
      </c>
      <c r="D29" s="19"/>
      <c r="E29" s="19" t="s">
        <v>758</v>
      </c>
      <c r="F29" s="19" t="s">
        <v>759</v>
      </c>
      <c r="G29" s="19" t="s">
        <v>717</v>
      </c>
      <c r="H29" s="19" t="s">
        <v>760</v>
      </c>
    </row>
    <row r="30" spans="1:8" x14ac:dyDescent="0.2">
      <c r="A30" s="19" t="s">
        <v>200</v>
      </c>
      <c r="B30" s="19" t="s">
        <v>1585</v>
      </c>
      <c r="C30" s="19" t="s">
        <v>1585</v>
      </c>
      <c r="D30" s="19"/>
      <c r="E30" s="19" t="s">
        <v>1586</v>
      </c>
      <c r="F30" s="19" t="s">
        <v>1575</v>
      </c>
      <c r="G30" s="19" t="s">
        <v>717</v>
      </c>
      <c r="H30" s="20" t="s">
        <v>1587</v>
      </c>
    </row>
    <row r="31" spans="1:8" x14ac:dyDescent="0.2">
      <c r="A31" s="19" t="s">
        <v>204</v>
      </c>
      <c r="B31" s="19" t="s">
        <v>1664</v>
      </c>
      <c r="C31" s="19" t="s">
        <v>1588</v>
      </c>
      <c r="D31" s="19"/>
      <c r="E31" s="19" t="s">
        <v>1589</v>
      </c>
      <c r="F31" s="19" t="s">
        <v>1590</v>
      </c>
      <c r="G31" s="19" t="s">
        <v>717</v>
      </c>
      <c r="H31" s="20" t="s">
        <v>1591</v>
      </c>
    </row>
    <row r="32" spans="1:8" x14ac:dyDescent="0.2">
      <c r="A32" s="19" t="s">
        <v>206</v>
      </c>
      <c r="B32" s="19" t="s">
        <v>652</v>
      </c>
      <c r="C32" s="19" t="s">
        <v>652</v>
      </c>
      <c r="D32" s="19"/>
      <c r="E32" s="19" t="s">
        <v>758</v>
      </c>
      <c r="F32" s="19" t="s">
        <v>759</v>
      </c>
      <c r="G32" s="19" t="s">
        <v>717</v>
      </c>
      <c r="H32" s="19" t="s">
        <v>760</v>
      </c>
    </row>
    <row r="33" spans="1:8" x14ac:dyDescent="0.2">
      <c r="A33" s="19" t="s">
        <v>214</v>
      </c>
      <c r="B33" s="19" t="s">
        <v>1592</v>
      </c>
      <c r="C33" s="19" t="s">
        <v>1592</v>
      </c>
      <c r="D33" s="19"/>
      <c r="E33" s="19" t="s">
        <v>758</v>
      </c>
      <c r="F33" s="19" t="s">
        <v>759</v>
      </c>
      <c r="G33" s="19" t="s">
        <v>717</v>
      </c>
      <c r="H33" s="19" t="s">
        <v>760</v>
      </c>
    </row>
    <row r="34" spans="1:8" x14ac:dyDescent="0.2">
      <c r="A34" s="19" t="s">
        <v>210</v>
      </c>
      <c r="B34" s="19" t="s">
        <v>1665</v>
      </c>
      <c r="C34" s="19" t="s">
        <v>891</v>
      </c>
      <c r="D34" s="19"/>
      <c r="E34" s="19" t="s">
        <v>892</v>
      </c>
      <c r="F34" s="19" t="s">
        <v>893</v>
      </c>
      <c r="G34" s="20" t="s">
        <v>894</v>
      </c>
      <c r="H34" s="20" t="s">
        <v>895</v>
      </c>
    </row>
    <row r="35" spans="1:8" x14ac:dyDescent="0.2">
      <c r="A35" s="19" t="s">
        <v>215</v>
      </c>
      <c r="B35" s="19" t="s">
        <v>1593</v>
      </c>
      <c r="C35" s="19" t="s">
        <v>1593</v>
      </c>
      <c r="D35" s="19"/>
      <c r="E35" s="19" t="s">
        <v>758</v>
      </c>
      <c r="F35" s="19" t="s">
        <v>759</v>
      </c>
      <c r="G35" s="19" t="s">
        <v>717</v>
      </c>
      <c r="H35" s="19" t="s">
        <v>760</v>
      </c>
    </row>
    <row r="36" spans="1:8" x14ac:dyDescent="0.2">
      <c r="A36" s="19" t="s">
        <v>220</v>
      </c>
      <c r="B36" s="19" t="s">
        <v>1594</v>
      </c>
      <c r="C36" s="19" t="s">
        <v>1594</v>
      </c>
      <c r="D36" s="19"/>
      <c r="E36" s="19" t="s">
        <v>758</v>
      </c>
      <c r="F36" s="19" t="s">
        <v>759</v>
      </c>
      <c r="G36" s="19" t="s">
        <v>717</v>
      </c>
      <c r="H36" s="19" t="s">
        <v>760</v>
      </c>
    </row>
    <row r="37" spans="1:8" s="5" customFormat="1" x14ac:dyDescent="0.2">
      <c r="A37" s="5" t="s">
        <v>745</v>
      </c>
      <c r="B37" s="5" t="s">
        <v>1648</v>
      </c>
      <c r="C37" s="5" t="s">
        <v>1648</v>
      </c>
      <c r="E37" s="5" t="s">
        <v>745</v>
      </c>
      <c r="F37" s="5" t="s">
        <v>745</v>
      </c>
      <c r="G37" s="5" t="s">
        <v>745</v>
      </c>
      <c r="H37" s="5" t="s">
        <v>745</v>
      </c>
    </row>
    <row r="38" spans="1:8" s="5" customFormat="1" x14ac:dyDescent="0.2">
      <c r="A38" s="5" t="s">
        <v>746</v>
      </c>
      <c r="B38" s="5" t="s">
        <v>1649</v>
      </c>
      <c r="C38" s="5" t="s">
        <v>1649</v>
      </c>
      <c r="E38" s="5" t="s">
        <v>746</v>
      </c>
      <c r="F38" s="5" t="s">
        <v>746</v>
      </c>
      <c r="G38" s="5" t="s">
        <v>746</v>
      </c>
      <c r="H38" s="5" t="s">
        <v>746</v>
      </c>
    </row>
    <row r="39" spans="1:8" x14ac:dyDescent="0.2">
      <c r="A39" s="5" t="s">
        <v>677</v>
      </c>
      <c r="B39" s="19" t="s">
        <v>587</v>
      </c>
      <c r="C39" s="19" t="s">
        <v>587</v>
      </c>
      <c r="D39" s="19"/>
      <c r="E39" s="19" t="s">
        <v>758</v>
      </c>
      <c r="F39" s="19" t="s">
        <v>759</v>
      </c>
      <c r="G39" s="19" t="s">
        <v>717</v>
      </c>
      <c r="H39" s="19" t="s">
        <v>760</v>
      </c>
    </row>
    <row r="40" spans="1:8" x14ac:dyDescent="0.2">
      <c r="A40" s="5" t="s">
        <v>674</v>
      </c>
      <c r="B40" s="19" t="s">
        <v>1595</v>
      </c>
      <c r="C40" s="19" t="s">
        <v>1595</v>
      </c>
      <c r="D40" s="19"/>
      <c r="E40" s="19" t="s">
        <v>758</v>
      </c>
      <c r="F40" s="19" t="s">
        <v>759</v>
      </c>
      <c r="G40" s="19" t="s">
        <v>717</v>
      </c>
      <c r="H40" s="19" t="s">
        <v>760</v>
      </c>
    </row>
    <row r="41" spans="1:8" x14ac:dyDescent="0.2">
      <c r="A41" s="5" t="s">
        <v>675</v>
      </c>
      <c r="B41" s="19" t="s">
        <v>1596</v>
      </c>
      <c r="C41" s="19" t="s">
        <v>1596</v>
      </c>
      <c r="D41" s="19"/>
      <c r="E41" s="19" t="s">
        <v>758</v>
      </c>
      <c r="F41" s="19" t="s">
        <v>759</v>
      </c>
      <c r="G41" s="19" t="s">
        <v>717</v>
      </c>
      <c r="H41" s="19" t="s">
        <v>760</v>
      </c>
    </row>
    <row r="42" spans="1:8" x14ac:dyDescent="0.2">
      <c r="A42" s="5" t="s">
        <v>676</v>
      </c>
      <c r="B42" s="19" t="s">
        <v>1597</v>
      </c>
      <c r="C42" s="19" t="s">
        <v>1597</v>
      </c>
      <c r="D42" s="19"/>
      <c r="E42" s="19" t="s">
        <v>758</v>
      </c>
      <c r="F42" s="19" t="s">
        <v>759</v>
      </c>
      <c r="G42" s="19" t="s">
        <v>717</v>
      </c>
      <c r="H42" s="19" t="s">
        <v>760</v>
      </c>
    </row>
    <row r="43" spans="1:8" x14ac:dyDescent="0.2">
      <c r="A43" s="19" t="s">
        <v>230</v>
      </c>
      <c r="B43" s="19" t="s">
        <v>1598</v>
      </c>
      <c r="C43" s="19" t="s">
        <v>1598</v>
      </c>
      <c r="D43" s="19"/>
      <c r="E43" s="19" t="s">
        <v>1551</v>
      </c>
      <c r="F43" s="19" t="s">
        <v>751</v>
      </c>
      <c r="G43" s="19" t="s">
        <v>717</v>
      </c>
      <c r="H43" s="20" t="s">
        <v>752</v>
      </c>
    </row>
    <row r="44" spans="1:8" x14ac:dyDescent="0.2">
      <c r="A44" s="19" t="s">
        <v>234</v>
      </c>
      <c r="B44" s="19" t="s">
        <v>1599</v>
      </c>
      <c r="C44" s="19" t="s">
        <v>1599</v>
      </c>
      <c r="D44" s="19"/>
      <c r="E44" s="19" t="s">
        <v>758</v>
      </c>
      <c r="F44" s="19" t="s">
        <v>759</v>
      </c>
      <c r="G44" s="19" t="s">
        <v>717</v>
      </c>
      <c r="H44" s="19" t="s">
        <v>760</v>
      </c>
    </row>
    <row r="45" spans="1:8" x14ac:dyDescent="0.2">
      <c r="A45" s="19" t="s">
        <v>236</v>
      </c>
      <c r="B45" s="19" t="s">
        <v>1666</v>
      </c>
      <c r="C45" s="19" t="s">
        <v>1600</v>
      </c>
      <c r="D45" s="19"/>
      <c r="E45" s="19" t="s">
        <v>1601</v>
      </c>
      <c r="F45" s="19" t="s">
        <v>1602</v>
      </c>
      <c r="G45" s="19" t="s">
        <v>717</v>
      </c>
      <c r="H45" s="20" t="s">
        <v>1603</v>
      </c>
    </row>
    <row r="46" spans="1:8" x14ac:dyDescent="0.2">
      <c r="A46" s="19" t="s">
        <v>238</v>
      </c>
      <c r="B46" s="19" t="s">
        <v>1604</v>
      </c>
      <c r="C46" s="19" t="s">
        <v>1604</v>
      </c>
      <c r="D46" s="19"/>
      <c r="E46" s="19" t="s">
        <v>758</v>
      </c>
      <c r="F46" s="19" t="s">
        <v>759</v>
      </c>
      <c r="G46" s="19" t="s">
        <v>717</v>
      </c>
      <c r="H46" s="19" t="s">
        <v>760</v>
      </c>
    </row>
    <row r="47" spans="1:8" x14ac:dyDescent="0.2">
      <c r="A47" s="19" t="s">
        <v>239</v>
      </c>
      <c r="B47" s="19" t="s">
        <v>1667</v>
      </c>
      <c r="C47" s="19" t="s">
        <v>1605</v>
      </c>
      <c r="D47" s="19"/>
      <c r="E47" s="19" t="s">
        <v>1551</v>
      </c>
      <c r="F47" s="19" t="s">
        <v>751</v>
      </c>
      <c r="G47" s="19" t="s">
        <v>717</v>
      </c>
      <c r="H47" s="20" t="s">
        <v>752</v>
      </c>
    </row>
    <row r="48" spans="1:8" x14ac:dyDescent="0.2">
      <c r="A48" s="19" t="s">
        <v>243</v>
      </c>
      <c r="B48" s="19" t="s">
        <v>1606</v>
      </c>
      <c r="C48" s="19" t="s">
        <v>1606</v>
      </c>
      <c r="D48" s="19"/>
      <c r="E48" s="19" t="s">
        <v>758</v>
      </c>
      <c r="F48" s="19" t="s">
        <v>759</v>
      </c>
      <c r="G48" s="19" t="s">
        <v>717</v>
      </c>
      <c r="H48" s="19" t="s">
        <v>760</v>
      </c>
    </row>
    <row r="49" spans="1:8" x14ac:dyDescent="0.2">
      <c r="A49" s="19" t="s">
        <v>245</v>
      </c>
      <c r="B49" s="19" t="s">
        <v>1607</v>
      </c>
      <c r="C49" s="19" t="s">
        <v>1607</v>
      </c>
      <c r="D49" s="19"/>
      <c r="E49" s="19" t="s">
        <v>758</v>
      </c>
      <c r="F49" s="19" t="s">
        <v>759</v>
      </c>
      <c r="G49" s="19" t="s">
        <v>717</v>
      </c>
      <c r="H49" s="19" t="s">
        <v>760</v>
      </c>
    </row>
    <row r="50" spans="1:8" x14ac:dyDescent="0.2">
      <c r="A50" s="19" t="s">
        <v>247</v>
      </c>
      <c r="B50" s="19" t="s">
        <v>1668</v>
      </c>
      <c r="C50" s="19" t="s">
        <v>1608</v>
      </c>
      <c r="D50" s="19"/>
      <c r="E50" s="19" t="s">
        <v>1609</v>
      </c>
      <c r="F50" s="19" t="s">
        <v>1545</v>
      </c>
      <c r="G50" s="20" t="s">
        <v>1546</v>
      </c>
      <c r="H50" s="20" t="s">
        <v>1547</v>
      </c>
    </row>
    <row r="51" spans="1:8" x14ac:dyDescent="0.2">
      <c r="A51" s="19" t="s">
        <v>251</v>
      </c>
      <c r="B51" s="19" t="s">
        <v>1669</v>
      </c>
      <c r="C51" s="19" t="s">
        <v>1610</v>
      </c>
      <c r="D51" s="19"/>
      <c r="E51" s="19" t="s">
        <v>1609</v>
      </c>
      <c r="F51" s="19" t="s">
        <v>1545</v>
      </c>
      <c r="G51" s="20" t="s">
        <v>1546</v>
      </c>
      <c r="H51" s="20" t="s">
        <v>1547</v>
      </c>
    </row>
    <row r="52" spans="1:8" x14ac:dyDescent="0.2">
      <c r="A52" s="19" t="s">
        <v>73</v>
      </c>
      <c r="B52" s="19" t="s">
        <v>1670</v>
      </c>
      <c r="C52" s="19" t="s">
        <v>959</v>
      </c>
      <c r="D52" s="19"/>
      <c r="E52" s="19" t="s">
        <v>960</v>
      </c>
      <c r="F52" s="19" t="s">
        <v>755</v>
      </c>
      <c r="G52" s="20" t="s">
        <v>961</v>
      </c>
      <c r="H52" s="20" t="s">
        <v>962</v>
      </c>
    </row>
    <row r="53" spans="1:8" x14ac:dyDescent="0.2">
      <c r="A53" s="19" t="s">
        <v>1611</v>
      </c>
      <c r="B53" s="19" t="s">
        <v>1671</v>
      </c>
      <c r="C53" s="19" t="s">
        <v>1612</v>
      </c>
      <c r="D53" s="19"/>
      <c r="E53" s="19" t="s">
        <v>1613</v>
      </c>
      <c r="F53" s="19" t="s">
        <v>1614</v>
      </c>
      <c r="G53" s="19"/>
      <c r="H53" s="20" t="s">
        <v>1615</v>
      </c>
    </row>
    <row r="54" spans="1:8" x14ac:dyDescent="0.2">
      <c r="A54" s="19" t="s">
        <v>262</v>
      </c>
      <c r="B54" s="19" t="s">
        <v>588</v>
      </c>
      <c r="C54" s="19" t="s">
        <v>588</v>
      </c>
      <c r="D54" s="19"/>
      <c r="E54" s="19" t="s">
        <v>758</v>
      </c>
      <c r="F54" s="19" t="s">
        <v>759</v>
      </c>
      <c r="G54" s="19" t="s">
        <v>717</v>
      </c>
      <c r="H54" s="19" t="s">
        <v>760</v>
      </c>
    </row>
    <row r="55" spans="1:8" x14ac:dyDescent="0.2">
      <c r="A55" s="19" t="s">
        <v>264</v>
      </c>
      <c r="B55" s="19" t="s">
        <v>589</v>
      </c>
      <c r="C55" s="19" t="s">
        <v>589</v>
      </c>
      <c r="D55" s="19"/>
      <c r="E55" s="19" t="s">
        <v>758</v>
      </c>
      <c r="F55" s="19" t="s">
        <v>759</v>
      </c>
      <c r="G55" s="19" t="s">
        <v>717</v>
      </c>
      <c r="H55" s="19" t="s">
        <v>760</v>
      </c>
    </row>
    <row r="56" spans="1:8" x14ac:dyDescent="0.2">
      <c r="A56" s="19" t="s">
        <v>272</v>
      </c>
      <c r="B56" s="19" t="s">
        <v>1616</v>
      </c>
      <c r="C56" s="19" t="s">
        <v>1616</v>
      </c>
      <c r="D56" s="19"/>
      <c r="E56" s="19" t="s">
        <v>758</v>
      </c>
      <c r="F56" s="19" t="s">
        <v>759</v>
      </c>
      <c r="G56" s="19" t="s">
        <v>717</v>
      </c>
      <c r="H56" s="19" t="s">
        <v>760</v>
      </c>
    </row>
    <row r="57" spans="1:8" x14ac:dyDescent="0.2">
      <c r="A57" s="19" t="s">
        <v>276</v>
      </c>
      <c r="B57" s="19" t="s">
        <v>1617</v>
      </c>
      <c r="C57" s="19" t="s">
        <v>1617</v>
      </c>
      <c r="D57" s="19"/>
      <c r="E57" s="19" t="s">
        <v>1618</v>
      </c>
      <c r="F57" s="19" t="s">
        <v>794</v>
      </c>
      <c r="G57" s="19" t="s">
        <v>717</v>
      </c>
      <c r="H57" s="20" t="s">
        <v>1619</v>
      </c>
    </row>
    <row r="58" spans="1:8" x14ac:dyDescent="0.2">
      <c r="A58" s="19" t="s">
        <v>283</v>
      </c>
      <c r="B58" s="19" t="s">
        <v>1672</v>
      </c>
      <c r="C58" s="19" t="s">
        <v>1620</v>
      </c>
      <c r="D58" s="19"/>
      <c r="E58" s="19" t="s">
        <v>758</v>
      </c>
      <c r="F58" s="19" t="s">
        <v>759</v>
      </c>
      <c r="G58" s="19" t="s">
        <v>717</v>
      </c>
      <c r="H58" s="19" t="s">
        <v>760</v>
      </c>
    </row>
    <row r="59" spans="1:8" x14ac:dyDescent="0.2">
      <c r="A59" s="19" t="s">
        <v>285</v>
      </c>
      <c r="B59" s="19" t="s">
        <v>1621</v>
      </c>
      <c r="C59" s="19" t="s">
        <v>1621</v>
      </c>
      <c r="D59" s="19"/>
      <c r="E59" s="19" t="s">
        <v>1622</v>
      </c>
      <c r="F59" s="19" t="s">
        <v>1623</v>
      </c>
      <c r="G59" s="19" t="s">
        <v>717</v>
      </c>
      <c r="H59" s="20" t="s">
        <v>1624</v>
      </c>
    </row>
    <row r="60" spans="1:8" x14ac:dyDescent="0.2">
      <c r="A60" s="19" t="s">
        <v>289</v>
      </c>
      <c r="B60" s="19" t="s">
        <v>1673</v>
      </c>
      <c r="C60" s="19" t="s">
        <v>1625</v>
      </c>
      <c r="D60" s="19"/>
      <c r="E60" s="19" t="s">
        <v>758</v>
      </c>
      <c r="F60" s="19" t="s">
        <v>759</v>
      </c>
      <c r="G60" s="19" t="s">
        <v>717</v>
      </c>
      <c r="H60" s="19" t="s">
        <v>760</v>
      </c>
    </row>
    <row r="61" spans="1:8" x14ac:dyDescent="0.2">
      <c r="A61" s="19" t="s">
        <v>266</v>
      </c>
      <c r="B61" s="19" t="s">
        <v>1674</v>
      </c>
      <c r="C61" s="19" t="s">
        <v>1626</v>
      </c>
      <c r="D61" s="19"/>
      <c r="E61" s="19" t="s">
        <v>1627</v>
      </c>
      <c r="F61" s="19" t="s">
        <v>1628</v>
      </c>
      <c r="G61" s="19" t="s">
        <v>717</v>
      </c>
      <c r="H61" s="20" t="s">
        <v>1629</v>
      </c>
    </row>
    <row r="62" spans="1:8" x14ac:dyDescent="0.2">
      <c r="A62" s="19" t="s">
        <v>291</v>
      </c>
      <c r="B62" s="19" t="s">
        <v>1630</v>
      </c>
      <c r="C62" s="19" t="s">
        <v>1630</v>
      </c>
      <c r="D62" s="19"/>
      <c r="E62" s="19" t="s">
        <v>758</v>
      </c>
      <c r="F62" s="19" t="s">
        <v>759</v>
      </c>
      <c r="G62" s="19" t="s">
        <v>717</v>
      </c>
      <c r="H62" s="19" t="s">
        <v>760</v>
      </c>
    </row>
    <row r="63" spans="1:8" x14ac:dyDescent="0.2">
      <c r="A63" s="19" t="s">
        <v>295</v>
      </c>
      <c r="B63" s="19" t="s">
        <v>1675</v>
      </c>
      <c r="C63" s="19" t="s">
        <v>1631</v>
      </c>
      <c r="D63" s="19"/>
      <c r="E63" s="19" t="s">
        <v>1632</v>
      </c>
      <c r="F63" s="19" t="s">
        <v>830</v>
      </c>
      <c r="G63" s="19" t="s">
        <v>717</v>
      </c>
      <c r="H63" s="20" t="s">
        <v>1633</v>
      </c>
    </row>
    <row r="64" spans="1:8" x14ac:dyDescent="0.2">
      <c r="A64" s="19" t="s">
        <v>297</v>
      </c>
      <c r="B64" s="19" t="s">
        <v>1634</v>
      </c>
      <c r="C64" s="19" t="s">
        <v>1634</v>
      </c>
      <c r="D64" s="19"/>
      <c r="E64" s="19" t="s">
        <v>1635</v>
      </c>
      <c r="F64" s="19" t="s">
        <v>1636</v>
      </c>
      <c r="G64" s="19" t="s">
        <v>717</v>
      </c>
      <c r="H64" s="20" t="s">
        <v>1637</v>
      </c>
    </row>
    <row r="65" spans="1:8" x14ac:dyDescent="0.2">
      <c r="A65" s="19" t="s">
        <v>319</v>
      </c>
      <c r="B65" s="19" t="s">
        <v>1638</v>
      </c>
      <c r="C65" s="19" t="s">
        <v>1638</v>
      </c>
      <c r="D65" s="19"/>
      <c r="E65" s="19" t="s">
        <v>758</v>
      </c>
      <c r="F65" s="19" t="s">
        <v>759</v>
      </c>
      <c r="G65" s="19" t="s">
        <v>717</v>
      </c>
      <c r="H65" s="19" t="s">
        <v>760</v>
      </c>
    </row>
    <row r="66" spans="1:8" x14ac:dyDescent="0.2">
      <c r="A66" s="5" t="s">
        <v>678</v>
      </c>
      <c r="B66" s="19" t="s">
        <v>1639</v>
      </c>
      <c r="C66" s="19" t="s">
        <v>1639</v>
      </c>
      <c r="D66" s="19"/>
      <c r="E66" s="19" t="s">
        <v>758</v>
      </c>
      <c r="F66" s="19" t="s">
        <v>759</v>
      </c>
      <c r="G66" s="19" t="s">
        <v>717</v>
      </c>
      <c r="H66" s="19" t="s">
        <v>760</v>
      </c>
    </row>
    <row r="67" spans="1:8" x14ac:dyDescent="0.2">
      <c r="A67" s="5" t="s">
        <v>673</v>
      </c>
      <c r="B67" s="19" t="s">
        <v>590</v>
      </c>
      <c r="C67" s="19" t="s">
        <v>590</v>
      </c>
      <c r="D67" s="19"/>
      <c r="E67" s="19" t="s">
        <v>758</v>
      </c>
      <c r="F67" s="19" t="s">
        <v>759</v>
      </c>
      <c r="G67" s="19" t="s">
        <v>717</v>
      </c>
      <c r="H67" s="19" t="s">
        <v>760</v>
      </c>
    </row>
    <row r="68" spans="1:8" x14ac:dyDescent="0.2">
      <c r="A68" s="19" t="s">
        <v>407</v>
      </c>
      <c r="B68" s="19" t="s">
        <v>1640</v>
      </c>
      <c r="C68" s="19" t="s">
        <v>1640</v>
      </c>
      <c r="D68" s="19"/>
      <c r="E68" s="19" t="s">
        <v>758</v>
      </c>
      <c r="F68" s="19" t="s">
        <v>759</v>
      </c>
      <c r="G68" s="19" t="s">
        <v>717</v>
      </c>
      <c r="H68" s="19" t="s">
        <v>760</v>
      </c>
    </row>
    <row r="69" spans="1:8" x14ac:dyDescent="0.2">
      <c r="A69" s="19" t="s">
        <v>414</v>
      </c>
      <c r="B69" s="19" t="s">
        <v>591</v>
      </c>
      <c r="C69" s="19" t="s">
        <v>591</v>
      </c>
      <c r="D69" s="19"/>
      <c r="E69" s="19" t="s">
        <v>758</v>
      </c>
      <c r="F69" s="19" t="s">
        <v>759</v>
      </c>
      <c r="G69" s="19" t="s">
        <v>717</v>
      </c>
      <c r="H69" s="19" t="s">
        <v>760</v>
      </c>
    </row>
    <row r="70" spans="1:8" x14ac:dyDescent="0.2">
      <c r="A70" s="5" t="s">
        <v>679</v>
      </c>
      <c r="B70" s="19" t="s">
        <v>592</v>
      </c>
      <c r="C70" s="19" t="s">
        <v>592</v>
      </c>
      <c r="D70" s="19"/>
      <c r="E70" s="19" t="s">
        <v>758</v>
      </c>
      <c r="F70" s="19" t="s">
        <v>759</v>
      </c>
      <c r="G70" s="19" t="s">
        <v>717</v>
      </c>
      <c r="H70" s="19" t="s">
        <v>760</v>
      </c>
    </row>
    <row r="71" spans="1:8" x14ac:dyDescent="0.2">
      <c r="A71" s="5" t="s">
        <v>680</v>
      </c>
      <c r="B71" s="19" t="s">
        <v>1641</v>
      </c>
      <c r="C71" s="19" t="s">
        <v>1641</v>
      </c>
      <c r="D71" s="19"/>
      <c r="E71" s="19" t="s">
        <v>758</v>
      </c>
      <c r="F71" s="19" t="s">
        <v>759</v>
      </c>
      <c r="G71" s="19" t="s">
        <v>717</v>
      </c>
      <c r="H71" s="19" t="s">
        <v>760</v>
      </c>
    </row>
    <row r="72" spans="1:8" x14ac:dyDescent="0.2">
      <c r="A72" s="5" t="s">
        <v>681</v>
      </c>
      <c r="B72" s="19" t="s">
        <v>1642</v>
      </c>
      <c r="C72" s="19" t="s">
        <v>1642</v>
      </c>
      <c r="D72" s="19"/>
      <c r="E72" s="19" t="s">
        <v>758</v>
      </c>
      <c r="F72" s="19" t="s">
        <v>759</v>
      </c>
      <c r="G72" s="19" t="s">
        <v>717</v>
      </c>
      <c r="H72" s="19" t="s">
        <v>760</v>
      </c>
    </row>
    <row r="73" spans="1:8" x14ac:dyDescent="0.2">
      <c r="A73" s="19" t="s">
        <v>470</v>
      </c>
      <c r="B73" s="19" t="s">
        <v>593</v>
      </c>
      <c r="C73" s="19" t="s">
        <v>593</v>
      </c>
      <c r="D73" s="19"/>
      <c r="E73" s="19" t="s">
        <v>758</v>
      </c>
      <c r="F73" s="19" t="s">
        <v>759</v>
      </c>
      <c r="G73" s="19" t="s">
        <v>717</v>
      </c>
      <c r="H73" s="19" t="s">
        <v>760</v>
      </c>
    </row>
    <row r="74" spans="1:8" x14ac:dyDescent="0.2">
      <c r="A74" s="19" t="s">
        <v>522</v>
      </c>
      <c r="B74" s="19" t="s">
        <v>1643</v>
      </c>
      <c r="C74" s="19" t="s">
        <v>1643</v>
      </c>
      <c r="D74" s="19"/>
      <c r="E74" s="19" t="s">
        <v>758</v>
      </c>
      <c r="F74" s="19" t="s">
        <v>759</v>
      </c>
      <c r="G74" s="19" t="s">
        <v>717</v>
      </c>
      <c r="H74" s="19" t="s">
        <v>760</v>
      </c>
    </row>
    <row r="75" spans="1:8" x14ac:dyDescent="0.2">
      <c r="A75" s="19" t="s">
        <v>530</v>
      </c>
      <c r="B75" s="19" t="s">
        <v>594</v>
      </c>
      <c r="C75" s="19" t="s">
        <v>594</v>
      </c>
      <c r="D75" s="19"/>
      <c r="E75" s="19" t="s">
        <v>758</v>
      </c>
      <c r="F75" s="19" t="s">
        <v>759</v>
      </c>
      <c r="G75" s="19" t="s">
        <v>717</v>
      </c>
      <c r="H75" s="19" t="s">
        <v>760</v>
      </c>
    </row>
    <row r="76" spans="1:8" x14ac:dyDescent="0.2">
      <c r="A76" s="5" t="s">
        <v>682</v>
      </c>
      <c r="B76" s="19" t="s">
        <v>595</v>
      </c>
      <c r="C76" s="19" t="s">
        <v>595</v>
      </c>
      <c r="D76" s="19"/>
      <c r="E76" s="19" t="s">
        <v>758</v>
      </c>
      <c r="F76" s="19" t="s">
        <v>759</v>
      </c>
      <c r="G76" s="19" t="s">
        <v>717</v>
      </c>
      <c r="H76" s="19" t="s">
        <v>760</v>
      </c>
    </row>
    <row r="77" spans="1:8" x14ac:dyDescent="0.2">
      <c r="A77" s="5" t="s">
        <v>683</v>
      </c>
      <c r="B77" s="19" t="s">
        <v>596</v>
      </c>
      <c r="C77" s="19" t="s">
        <v>596</v>
      </c>
      <c r="D77" s="19"/>
      <c r="E77" s="19" t="s">
        <v>758</v>
      </c>
      <c r="F77" s="19" t="s">
        <v>759</v>
      </c>
      <c r="G77" s="19" t="s">
        <v>717</v>
      </c>
      <c r="H77" s="19" t="s">
        <v>760</v>
      </c>
    </row>
    <row r="78" spans="1:8" x14ac:dyDescent="0.2">
      <c r="A78" s="19" t="s">
        <v>182</v>
      </c>
      <c r="B78" s="19" t="s">
        <v>669</v>
      </c>
      <c r="C78" s="19" t="s">
        <v>1024</v>
      </c>
      <c r="D78" s="19"/>
      <c r="E78" s="19" t="s">
        <v>758</v>
      </c>
      <c r="F78" s="19" t="s">
        <v>759</v>
      </c>
      <c r="G78" s="19" t="s">
        <v>717</v>
      </c>
      <c r="H78" s="19" t="s">
        <v>760</v>
      </c>
    </row>
    <row r="79" spans="1:8" x14ac:dyDescent="0.2">
      <c r="A79" s="19" t="s">
        <v>559</v>
      </c>
      <c r="B79" s="19" t="s">
        <v>1676</v>
      </c>
      <c r="C79" s="19" t="s">
        <v>1644</v>
      </c>
      <c r="D79" s="19"/>
      <c r="E79" s="19" t="s">
        <v>1645</v>
      </c>
      <c r="F79" s="19" t="s">
        <v>1646</v>
      </c>
      <c r="G79" s="19" t="s">
        <v>717</v>
      </c>
      <c r="H79" s="20" t="s">
        <v>1647</v>
      </c>
    </row>
    <row r="80" spans="1:8" x14ac:dyDescent="0.2">
      <c r="A80" s="19" t="s">
        <v>185</v>
      </c>
      <c r="B80" s="19" t="s">
        <v>1677</v>
      </c>
      <c r="C80" s="19" t="s">
        <v>1020</v>
      </c>
      <c r="D80" s="19"/>
      <c r="E80" s="19" t="s">
        <v>1021</v>
      </c>
      <c r="F80" s="19" t="s">
        <v>1022</v>
      </c>
      <c r="G80" s="19" t="s">
        <v>717</v>
      </c>
    </row>
  </sheetData>
  <hyperlinks>
    <hyperlink ref="G2" r:id="rId1" display="https://www.environment.nsw.gov.au/research-and-publications/publications-search/coastal-management-glossary%3E" xr:uid="{67ACDA9F-821C-D848-889E-34A09D4458BC}"/>
    <hyperlink ref="H2" r:id="rId2" xr:uid="{2F1C5673-3E5A-054B-AA9B-EA879F8C0A0B}"/>
    <hyperlink ref="H3" r:id="rId3" xr:uid="{8EB8F648-2065-8F42-9527-6E7C1EC0F1AA}"/>
    <hyperlink ref="H4" r:id="rId4" xr:uid="{B2D130EF-4B35-E746-B019-22A2E393CDA0}"/>
    <hyperlink ref="H6" r:id="rId5" xr:uid="{D1E4AD5F-DEF3-EE4D-8A7F-364B9967E3F0}"/>
    <hyperlink ref="H9" r:id="rId6" xr:uid="{B43F649E-4611-F047-AE5D-FCB93CB9A44B}"/>
    <hyperlink ref="H10" r:id="rId7" xr:uid="{8D378357-109A-F749-B76C-87566F5E528F}"/>
    <hyperlink ref="H18" r:id="rId8" xr:uid="{540B0492-EAD7-0D4F-8954-CA8F9F749E4E}"/>
    <hyperlink ref="H19" r:id="rId9" xr:uid="{5CEAC062-7A66-1B41-8272-D9F478B90A5B}"/>
    <hyperlink ref="E20" r:id="rId10" display="https://www.nasa.gov/multimedia/guidelines/index.html" xr:uid="{EAE47BDB-203C-5843-B0EA-E30F25B4A5B5}"/>
    <hyperlink ref="H20" r:id="rId11" xr:uid="{A87F54E1-11EB-394D-9B59-C89692D882D9}"/>
    <hyperlink ref="H21" r:id="rId12" xr:uid="{C1E520A8-E888-DF41-AF2B-960D95FE4BE5}"/>
    <hyperlink ref="H22" r:id="rId13" location=":~:text=Erosion%20is%20the%20geological%20process,such%20as%20wind%20or%20water" display="https://www.nationalgeographic.org/encyclopedia/erosion/ - :~:text=Erosion%20is%20the%20geological%20process,such%20as%20wind%20or%20water" xr:uid="{77EEED48-7CEE-7647-916B-21A50CCF1FE6}"/>
    <hyperlink ref="H27" r:id="rId14" xr:uid="{3EF3B220-A2CE-6C4B-A6CB-DE6799FAEC36}"/>
    <hyperlink ref="G28" r:id="rId15" display="https://www.ses.nsw.gov.au/about-us/flood-storm-and-tsunami-plans/%5d%5blast" xr:uid="{41C1824B-DAD3-F349-AB5B-8C955C08C806}"/>
    <hyperlink ref="H28" r:id="rId16" xr:uid="{AC7E427A-D782-EF4A-B430-63C787242D86}"/>
    <hyperlink ref="H30" r:id="rId17" xr:uid="{AB0D02DA-68A3-6D48-BCA1-0CEA0B59E4ED}"/>
    <hyperlink ref="H31" r:id="rId18" display="https://mortonarb.org/plant-and-protect/tree-plant-care/plant-care-resources/leaf-scorch/" xr:uid="{24925B12-01C0-F547-8D71-79E7A86176BC}"/>
    <hyperlink ref="G34" r:id="rId19" display="https://www.industry.gov.au/data-and-publications/leading-practice-handbook-mine-rehabilitation%3E" xr:uid="{D5B0DD6D-5084-4B4E-82F2-570A6A0D6F0C}"/>
    <hyperlink ref="H34" r:id="rId20" xr:uid="{45682BCF-DF9B-914C-B140-2F93DC06602E}"/>
    <hyperlink ref="H43" r:id="rId21" xr:uid="{C749399E-8667-E244-94BC-1CBA838D5657}"/>
    <hyperlink ref="H45" r:id="rId22" xr:uid="{DE8CD4BF-9B7B-AF49-83D8-057C45061B33}"/>
    <hyperlink ref="H47" r:id="rId23" xr:uid="{EDFABC42-49C5-DA41-95CF-157FEAA03BF6}"/>
    <hyperlink ref="G50" r:id="rId24" display="https://www.environment.nsw.gov.au/research-and-publications/publications-search/coastal-management-glossary%3E" xr:uid="{D69BFFFD-FAE7-904F-87A8-3966D894AA26}"/>
    <hyperlink ref="H50" r:id="rId25" xr:uid="{D8CB8E5B-482D-2248-B4B5-82592DE82465}"/>
    <hyperlink ref="G51" r:id="rId26" display="https://www.environment.nsw.gov.au/research-and-publications/publications-search/coastal-management-glossary%3E" xr:uid="{90A174F8-810F-B647-BC3C-11D519955655}"/>
    <hyperlink ref="H51" r:id="rId27" xr:uid="{4271E3E1-EBF0-9845-AC62-9D883AF029E1}"/>
    <hyperlink ref="G52" r:id="rId28" display="http://www.fao.org/3/ca4395en/ca4395en.pdf" xr:uid="{66E39B64-2A8F-954B-9D54-79658FD9E25B}"/>
    <hyperlink ref="H52" r:id="rId29" xr:uid="{0E202A21-AAB5-2847-969C-223AAAE9D3F3}"/>
    <hyperlink ref="H53" r:id="rId30" location="qt-news_science_products" display="https://www.usgs.gov/faqs/what-difference-between-a-sinkhole-and-a-pothole?qt-news_science_products=0 - qt-news_science_products" xr:uid="{A40DE0D5-4C21-2C4A-8102-F32AE0730BB0}"/>
    <hyperlink ref="H57" r:id="rId31" display="https://resources.collins.co.uk/Wesbite images/KS3Geography/TB2/Dictionary of geographical terms.pdf" xr:uid="{0F8CA6CD-CC7C-BB43-B8B2-FC1BA4FDADA8}"/>
    <hyperlink ref="H59" r:id="rId32" xr:uid="{111FEAF0-D1C3-9342-9E9F-6D2B7F09D0D5}"/>
    <hyperlink ref="H61" r:id="rId33" xr:uid="{4C81A08B-2AC1-3846-92FE-816A453B2CB0}"/>
    <hyperlink ref="H63" r:id="rId34" xr:uid="{CC39ADBE-1DED-EB41-87BA-948478CEE66B}"/>
    <hyperlink ref="H64" r:id="rId35" xr:uid="{F2498CC0-AD43-A94F-9BF5-EFACDA12B9D2}"/>
    <hyperlink ref="H79" r:id="rId36" xr:uid="{E68239FD-C98E-7B4C-A5BC-009B90978B4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5DA77-1353-D545-80DA-2399F9D9EE2C}">
  <sheetPr codeName="Sheet6"/>
  <dimension ref="A1:XFD146"/>
  <sheetViews>
    <sheetView topLeftCell="B6" zoomScale="70" zoomScaleNormal="70" workbookViewId="0">
      <selection activeCell="B95" sqref="B95"/>
    </sheetView>
  </sheetViews>
  <sheetFormatPr baseColWidth="10" defaultColWidth="11.5" defaultRowHeight="15" x14ac:dyDescent="0.2"/>
  <cols>
    <col min="1" max="1" width="37.5" bestFit="1" customWidth="1"/>
    <col min="2" max="3" width="255.83203125" bestFit="1" customWidth="1"/>
  </cols>
  <sheetData>
    <row r="1" spans="1:16384" s="3" customFormat="1" x14ac:dyDescent="0.2">
      <c r="A1" s="3" t="s">
        <v>1680</v>
      </c>
      <c r="B1" s="3" t="s">
        <v>1650</v>
      </c>
      <c r="C1" s="3" t="s">
        <v>1538</v>
      </c>
      <c r="D1" s="18" t="s">
        <v>1539</v>
      </c>
      <c r="E1" s="18" t="s">
        <v>1540</v>
      </c>
      <c r="F1" s="18" t="s">
        <v>1541</v>
      </c>
    </row>
    <row r="2" spans="1:16384" s="3" customFormat="1" x14ac:dyDescent="0.2">
      <c r="A2" s="5" t="s">
        <v>409</v>
      </c>
      <c r="B2" s="19" t="s">
        <v>1681</v>
      </c>
      <c r="C2" s="5" t="s">
        <v>409</v>
      </c>
      <c r="D2" s="5" t="s">
        <v>409</v>
      </c>
      <c r="E2" s="5" t="s">
        <v>409</v>
      </c>
      <c r="F2" s="5" t="s">
        <v>409</v>
      </c>
      <c r="G2" s="5" t="s">
        <v>409</v>
      </c>
      <c r="H2" s="5" t="s">
        <v>409</v>
      </c>
      <c r="I2" s="5" t="s">
        <v>409</v>
      </c>
      <c r="J2" s="5" t="s">
        <v>409</v>
      </c>
      <c r="K2" s="5" t="s">
        <v>409</v>
      </c>
      <c r="L2" s="5" t="s">
        <v>409</v>
      </c>
      <c r="M2" s="5" t="s">
        <v>409</v>
      </c>
      <c r="N2" s="5" t="s">
        <v>409</v>
      </c>
      <c r="O2" s="5" t="s">
        <v>409</v>
      </c>
      <c r="P2" s="5" t="s">
        <v>409</v>
      </c>
      <c r="Q2" s="5" t="s">
        <v>409</v>
      </c>
      <c r="R2" s="5" t="s">
        <v>409</v>
      </c>
      <c r="S2" s="5" t="s">
        <v>409</v>
      </c>
      <c r="T2" s="5" t="s">
        <v>409</v>
      </c>
      <c r="U2" s="5" t="s">
        <v>409</v>
      </c>
      <c r="V2" s="5" t="s">
        <v>409</v>
      </c>
      <c r="W2" s="5" t="s">
        <v>409</v>
      </c>
      <c r="X2" s="5" t="s">
        <v>409</v>
      </c>
      <c r="Y2" s="5" t="s">
        <v>409</v>
      </c>
      <c r="Z2" s="5" t="s">
        <v>409</v>
      </c>
      <c r="AA2" s="5" t="s">
        <v>409</v>
      </c>
      <c r="AB2" s="5" t="s">
        <v>409</v>
      </c>
      <c r="AC2" s="5" t="s">
        <v>409</v>
      </c>
      <c r="AD2" s="5" t="s">
        <v>409</v>
      </c>
      <c r="AE2" s="5" t="s">
        <v>409</v>
      </c>
      <c r="AF2" s="5" t="s">
        <v>409</v>
      </c>
      <c r="AG2" s="5" t="s">
        <v>409</v>
      </c>
      <c r="AH2" s="5" t="s">
        <v>409</v>
      </c>
      <c r="AI2" s="5" t="s">
        <v>409</v>
      </c>
      <c r="AJ2" s="5" t="s">
        <v>409</v>
      </c>
      <c r="AK2" s="5" t="s">
        <v>409</v>
      </c>
      <c r="AL2" s="5" t="s">
        <v>409</v>
      </c>
      <c r="AM2" s="5" t="s">
        <v>409</v>
      </c>
      <c r="AN2" s="5" t="s">
        <v>409</v>
      </c>
      <c r="AO2" s="5" t="s">
        <v>409</v>
      </c>
      <c r="AP2" s="5" t="s">
        <v>409</v>
      </c>
      <c r="AQ2" s="5" t="s">
        <v>409</v>
      </c>
      <c r="AR2" s="5" t="s">
        <v>409</v>
      </c>
      <c r="AS2" s="5" t="s">
        <v>409</v>
      </c>
      <c r="AT2" s="5" t="s">
        <v>409</v>
      </c>
      <c r="AU2" s="5" t="s">
        <v>409</v>
      </c>
      <c r="AV2" s="5" t="s">
        <v>409</v>
      </c>
      <c r="AW2" s="5" t="s">
        <v>409</v>
      </c>
      <c r="AX2" s="5" t="s">
        <v>409</v>
      </c>
      <c r="AY2" s="5" t="s">
        <v>409</v>
      </c>
      <c r="AZ2" s="5" t="s">
        <v>409</v>
      </c>
      <c r="BA2" s="5" t="s">
        <v>409</v>
      </c>
      <c r="BB2" s="5" t="s">
        <v>409</v>
      </c>
      <c r="BC2" s="5" t="s">
        <v>409</v>
      </c>
      <c r="BD2" s="5" t="s">
        <v>409</v>
      </c>
      <c r="BE2" s="5" t="s">
        <v>409</v>
      </c>
      <c r="BF2" s="5" t="s">
        <v>409</v>
      </c>
      <c r="BG2" s="5" t="s">
        <v>409</v>
      </c>
      <c r="BH2" s="5" t="s">
        <v>409</v>
      </c>
      <c r="BI2" s="5" t="s">
        <v>409</v>
      </c>
      <c r="BJ2" s="5" t="s">
        <v>409</v>
      </c>
      <c r="BK2" s="5" t="s">
        <v>409</v>
      </c>
      <c r="BL2" s="5" t="s">
        <v>409</v>
      </c>
      <c r="BM2" s="5" t="s">
        <v>409</v>
      </c>
      <c r="BN2" s="5" t="s">
        <v>409</v>
      </c>
      <c r="BO2" s="5" t="s">
        <v>409</v>
      </c>
      <c r="BP2" s="5" t="s">
        <v>409</v>
      </c>
      <c r="BQ2" s="5" t="s">
        <v>409</v>
      </c>
      <c r="BR2" s="5" t="s">
        <v>409</v>
      </c>
      <c r="BS2" s="5" t="s">
        <v>409</v>
      </c>
      <c r="BT2" s="5" t="s">
        <v>409</v>
      </c>
      <c r="BU2" s="5" t="s">
        <v>409</v>
      </c>
      <c r="BV2" s="5" t="s">
        <v>409</v>
      </c>
      <c r="BW2" s="5" t="s">
        <v>409</v>
      </c>
      <c r="BX2" s="5" t="s">
        <v>409</v>
      </c>
      <c r="BY2" s="5" t="s">
        <v>409</v>
      </c>
      <c r="BZ2" s="5" t="s">
        <v>409</v>
      </c>
      <c r="CA2" s="5" t="s">
        <v>409</v>
      </c>
      <c r="CB2" s="5" t="s">
        <v>409</v>
      </c>
      <c r="CC2" s="5" t="s">
        <v>409</v>
      </c>
      <c r="CD2" s="5" t="s">
        <v>409</v>
      </c>
      <c r="CE2" s="5" t="s">
        <v>409</v>
      </c>
      <c r="CF2" s="5" t="s">
        <v>409</v>
      </c>
      <c r="CG2" s="5" t="s">
        <v>409</v>
      </c>
      <c r="CH2" s="5" t="s">
        <v>409</v>
      </c>
      <c r="CI2" s="5" t="s">
        <v>409</v>
      </c>
      <c r="CJ2" s="5" t="s">
        <v>409</v>
      </c>
      <c r="CK2" s="5" t="s">
        <v>409</v>
      </c>
      <c r="CL2" s="5" t="s">
        <v>409</v>
      </c>
      <c r="CM2" s="5" t="s">
        <v>409</v>
      </c>
      <c r="CN2" s="5" t="s">
        <v>409</v>
      </c>
      <c r="CO2" s="5" t="s">
        <v>409</v>
      </c>
      <c r="CP2" s="5" t="s">
        <v>409</v>
      </c>
      <c r="CQ2" s="5" t="s">
        <v>409</v>
      </c>
      <c r="CR2" s="5" t="s">
        <v>409</v>
      </c>
      <c r="CS2" s="5" t="s">
        <v>409</v>
      </c>
      <c r="CT2" s="5" t="s">
        <v>409</v>
      </c>
      <c r="CU2" s="5" t="s">
        <v>409</v>
      </c>
      <c r="CV2" s="5" t="s">
        <v>409</v>
      </c>
      <c r="CW2" s="5" t="s">
        <v>409</v>
      </c>
      <c r="CX2" s="5" t="s">
        <v>409</v>
      </c>
      <c r="CY2" s="5" t="s">
        <v>409</v>
      </c>
      <c r="CZ2" s="5" t="s">
        <v>409</v>
      </c>
      <c r="DA2" s="5" t="s">
        <v>409</v>
      </c>
      <c r="DB2" s="5" t="s">
        <v>409</v>
      </c>
      <c r="DC2" s="5" t="s">
        <v>409</v>
      </c>
      <c r="DD2" s="5" t="s">
        <v>409</v>
      </c>
      <c r="DE2" s="5" t="s">
        <v>409</v>
      </c>
      <c r="DF2" s="5" t="s">
        <v>409</v>
      </c>
      <c r="DG2" s="5" t="s">
        <v>409</v>
      </c>
      <c r="DH2" s="5" t="s">
        <v>409</v>
      </c>
      <c r="DI2" s="5" t="s">
        <v>409</v>
      </c>
      <c r="DJ2" s="5" t="s">
        <v>409</v>
      </c>
      <c r="DK2" s="5" t="s">
        <v>409</v>
      </c>
      <c r="DL2" s="5" t="s">
        <v>409</v>
      </c>
      <c r="DM2" s="5" t="s">
        <v>409</v>
      </c>
      <c r="DN2" s="5" t="s">
        <v>409</v>
      </c>
      <c r="DO2" s="5" t="s">
        <v>409</v>
      </c>
      <c r="DP2" s="5" t="s">
        <v>409</v>
      </c>
      <c r="DQ2" s="5" t="s">
        <v>409</v>
      </c>
      <c r="DR2" s="5" t="s">
        <v>409</v>
      </c>
      <c r="DS2" s="5" t="s">
        <v>409</v>
      </c>
      <c r="DT2" s="5" t="s">
        <v>409</v>
      </c>
      <c r="DU2" s="5" t="s">
        <v>409</v>
      </c>
      <c r="DV2" s="5" t="s">
        <v>409</v>
      </c>
      <c r="DW2" s="5" t="s">
        <v>409</v>
      </c>
      <c r="DX2" s="5" t="s">
        <v>409</v>
      </c>
      <c r="DY2" s="5" t="s">
        <v>409</v>
      </c>
      <c r="DZ2" s="5" t="s">
        <v>409</v>
      </c>
      <c r="EA2" s="5" t="s">
        <v>409</v>
      </c>
      <c r="EB2" s="5" t="s">
        <v>409</v>
      </c>
      <c r="EC2" s="5" t="s">
        <v>409</v>
      </c>
      <c r="ED2" s="5" t="s">
        <v>409</v>
      </c>
      <c r="EE2" s="5" t="s">
        <v>409</v>
      </c>
      <c r="EF2" s="5" t="s">
        <v>409</v>
      </c>
      <c r="EG2" s="5" t="s">
        <v>409</v>
      </c>
      <c r="EH2" s="5" t="s">
        <v>409</v>
      </c>
      <c r="EI2" s="5" t="s">
        <v>409</v>
      </c>
      <c r="EJ2" s="5" t="s">
        <v>409</v>
      </c>
      <c r="EK2" s="5" t="s">
        <v>409</v>
      </c>
      <c r="EL2" s="5" t="s">
        <v>409</v>
      </c>
      <c r="EM2" s="5" t="s">
        <v>409</v>
      </c>
      <c r="EN2" s="5" t="s">
        <v>409</v>
      </c>
      <c r="EO2" s="5" t="s">
        <v>409</v>
      </c>
      <c r="EP2" s="5" t="s">
        <v>409</v>
      </c>
      <c r="EQ2" s="5" t="s">
        <v>409</v>
      </c>
      <c r="ER2" s="5" t="s">
        <v>409</v>
      </c>
      <c r="ES2" s="5" t="s">
        <v>409</v>
      </c>
      <c r="ET2" s="5" t="s">
        <v>409</v>
      </c>
      <c r="EU2" s="5" t="s">
        <v>409</v>
      </c>
      <c r="EV2" s="5" t="s">
        <v>409</v>
      </c>
      <c r="EW2" s="5" t="s">
        <v>409</v>
      </c>
      <c r="EX2" s="5" t="s">
        <v>409</v>
      </c>
      <c r="EY2" s="5" t="s">
        <v>409</v>
      </c>
      <c r="EZ2" s="5" t="s">
        <v>409</v>
      </c>
      <c r="FA2" s="5" t="s">
        <v>409</v>
      </c>
      <c r="FB2" s="5" t="s">
        <v>409</v>
      </c>
      <c r="FC2" s="5" t="s">
        <v>409</v>
      </c>
      <c r="FD2" s="5" t="s">
        <v>409</v>
      </c>
      <c r="FE2" s="5" t="s">
        <v>409</v>
      </c>
      <c r="FF2" s="5" t="s">
        <v>409</v>
      </c>
      <c r="FG2" s="5" t="s">
        <v>409</v>
      </c>
      <c r="FH2" s="5" t="s">
        <v>409</v>
      </c>
      <c r="FI2" s="5" t="s">
        <v>409</v>
      </c>
      <c r="FJ2" s="5" t="s">
        <v>409</v>
      </c>
      <c r="FK2" s="5" t="s">
        <v>409</v>
      </c>
      <c r="FL2" s="5" t="s">
        <v>409</v>
      </c>
      <c r="FM2" s="5" t="s">
        <v>409</v>
      </c>
      <c r="FN2" s="5" t="s">
        <v>409</v>
      </c>
      <c r="FO2" s="5" t="s">
        <v>409</v>
      </c>
      <c r="FP2" s="5" t="s">
        <v>409</v>
      </c>
      <c r="FQ2" s="5" t="s">
        <v>409</v>
      </c>
      <c r="FR2" s="5" t="s">
        <v>409</v>
      </c>
      <c r="FS2" s="5" t="s">
        <v>409</v>
      </c>
      <c r="FT2" s="5" t="s">
        <v>409</v>
      </c>
      <c r="FU2" s="5" t="s">
        <v>409</v>
      </c>
      <c r="FV2" s="5" t="s">
        <v>409</v>
      </c>
      <c r="FW2" s="5" t="s">
        <v>409</v>
      </c>
      <c r="FX2" s="5" t="s">
        <v>409</v>
      </c>
      <c r="FY2" s="5" t="s">
        <v>409</v>
      </c>
      <c r="FZ2" s="5" t="s">
        <v>409</v>
      </c>
      <c r="GA2" s="5" t="s">
        <v>409</v>
      </c>
      <c r="GB2" s="5" t="s">
        <v>409</v>
      </c>
      <c r="GC2" s="5" t="s">
        <v>409</v>
      </c>
      <c r="GD2" s="5" t="s">
        <v>409</v>
      </c>
      <c r="GE2" s="5" t="s">
        <v>409</v>
      </c>
      <c r="GF2" s="5" t="s">
        <v>409</v>
      </c>
      <c r="GG2" s="5" t="s">
        <v>409</v>
      </c>
      <c r="GH2" s="5" t="s">
        <v>409</v>
      </c>
      <c r="GI2" s="5" t="s">
        <v>409</v>
      </c>
      <c r="GJ2" s="5" t="s">
        <v>409</v>
      </c>
      <c r="GK2" s="5" t="s">
        <v>409</v>
      </c>
      <c r="GL2" s="5" t="s">
        <v>409</v>
      </c>
      <c r="GM2" s="5" t="s">
        <v>409</v>
      </c>
      <c r="GN2" s="5" t="s">
        <v>409</v>
      </c>
      <c r="GO2" s="5" t="s">
        <v>409</v>
      </c>
      <c r="GP2" s="5" t="s">
        <v>409</v>
      </c>
      <c r="GQ2" s="5" t="s">
        <v>409</v>
      </c>
      <c r="GR2" s="5" t="s">
        <v>409</v>
      </c>
      <c r="GS2" s="5" t="s">
        <v>409</v>
      </c>
      <c r="GT2" s="5" t="s">
        <v>409</v>
      </c>
      <c r="GU2" s="5" t="s">
        <v>409</v>
      </c>
      <c r="GV2" s="5" t="s">
        <v>409</v>
      </c>
      <c r="GW2" s="5" t="s">
        <v>409</v>
      </c>
      <c r="GX2" s="5" t="s">
        <v>409</v>
      </c>
      <c r="GY2" s="5" t="s">
        <v>409</v>
      </c>
      <c r="GZ2" s="5" t="s">
        <v>409</v>
      </c>
      <c r="HA2" s="5" t="s">
        <v>409</v>
      </c>
      <c r="HB2" s="5" t="s">
        <v>409</v>
      </c>
      <c r="HC2" s="5" t="s">
        <v>409</v>
      </c>
      <c r="HD2" s="5" t="s">
        <v>409</v>
      </c>
      <c r="HE2" s="5" t="s">
        <v>409</v>
      </c>
      <c r="HF2" s="5" t="s">
        <v>409</v>
      </c>
      <c r="HG2" s="5" t="s">
        <v>409</v>
      </c>
      <c r="HH2" s="5" t="s">
        <v>409</v>
      </c>
      <c r="HI2" s="5" t="s">
        <v>409</v>
      </c>
      <c r="HJ2" s="5" t="s">
        <v>409</v>
      </c>
      <c r="HK2" s="5" t="s">
        <v>409</v>
      </c>
      <c r="HL2" s="5" t="s">
        <v>409</v>
      </c>
      <c r="HM2" s="5" t="s">
        <v>409</v>
      </c>
      <c r="HN2" s="5" t="s">
        <v>409</v>
      </c>
      <c r="HO2" s="5" t="s">
        <v>409</v>
      </c>
      <c r="HP2" s="5" t="s">
        <v>409</v>
      </c>
      <c r="HQ2" s="5" t="s">
        <v>409</v>
      </c>
      <c r="HR2" s="5" t="s">
        <v>409</v>
      </c>
      <c r="HS2" s="5" t="s">
        <v>409</v>
      </c>
      <c r="HT2" s="5" t="s">
        <v>409</v>
      </c>
      <c r="HU2" s="5" t="s">
        <v>409</v>
      </c>
      <c r="HV2" s="5" t="s">
        <v>409</v>
      </c>
      <c r="HW2" s="5" t="s">
        <v>409</v>
      </c>
      <c r="HX2" s="5" t="s">
        <v>409</v>
      </c>
      <c r="HY2" s="5" t="s">
        <v>409</v>
      </c>
      <c r="HZ2" s="5" t="s">
        <v>409</v>
      </c>
      <c r="IA2" s="5" t="s">
        <v>409</v>
      </c>
      <c r="IB2" s="5" t="s">
        <v>409</v>
      </c>
      <c r="IC2" s="5" t="s">
        <v>409</v>
      </c>
      <c r="ID2" s="5" t="s">
        <v>409</v>
      </c>
      <c r="IE2" s="5" t="s">
        <v>409</v>
      </c>
      <c r="IF2" s="5" t="s">
        <v>409</v>
      </c>
      <c r="IG2" s="5" t="s">
        <v>409</v>
      </c>
      <c r="IH2" s="5" t="s">
        <v>409</v>
      </c>
      <c r="II2" s="5" t="s">
        <v>409</v>
      </c>
      <c r="IJ2" s="5" t="s">
        <v>409</v>
      </c>
      <c r="IK2" s="5" t="s">
        <v>409</v>
      </c>
      <c r="IL2" s="5" t="s">
        <v>409</v>
      </c>
      <c r="IM2" s="5" t="s">
        <v>409</v>
      </c>
      <c r="IN2" s="5" t="s">
        <v>409</v>
      </c>
      <c r="IO2" s="5" t="s">
        <v>409</v>
      </c>
      <c r="IP2" s="5" t="s">
        <v>409</v>
      </c>
      <c r="IQ2" s="5" t="s">
        <v>409</v>
      </c>
      <c r="IR2" s="5" t="s">
        <v>409</v>
      </c>
      <c r="IS2" s="5" t="s">
        <v>409</v>
      </c>
      <c r="IT2" s="5" t="s">
        <v>409</v>
      </c>
      <c r="IU2" s="5" t="s">
        <v>409</v>
      </c>
      <c r="IV2" s="5" t="s">
        <v>409</v>
      </c>
      <c r="IW2" s="5" t="s">
        <v>409</v>
      </c>
      <c r="IX2" s="5" t="s">
        <v>409</v>
      </c>
      <c r="IY2" s="5" t="s">
        <v>409</v>
      </c>
      <c r="IZ2" s="5" t="s">
        <v>409</v>
      </c>
      <c r="JA2" s="5" t="s">
        <v>409</v>
      </c>
      <c r="JB2" s="5" t="s">
        <v>409</v>
      </c>
      <c r="JC2" s="5" t="s">
        <v>409</v>
      </c>
      <c r="JD2" s="5" t="s">
        <v>409</v>
      </c>
      <c r="JE2" s="5" t="s">
        <v>409</v>
      </c>
      <c r="JF2" s="5" t="s">
        <v>409</v>
      </c>
      <c r="JG2" s="5" t="s">
        <v>409</v>
      </c>
      <c r="JH2" s="5" t="s">
        <v>409</v>
      </c>
      <c r="JI2" s="5" t="s">
        <v>409</v>
      </c>
      <c r="JJ2" s="5" t="s">
        <v>409</v>
      </c>
      <c r="JK2" s="5" t="s">
        <v>409</v>
      </c>
      <c r="JL2" s="5" t="s">
        <v>409</v>
      </c>
      <c r="JM2" s="5" t="s">
        <v>409</v>
      </c>
      <c r="JN2" s="5" t="s">
        <v>409</v>
      </c>
      <c r="JO2" s="5" t="s">
        <v>409</v>
      </c>
      <c r="JP2" s="5" t="s">
        <v>409</v>
      </c>
      <c r="JQ2" s="5" t="s">
        <v>409</v>
      </c>
      <c r="JR2" s="5" t="s">
        <v>409</v>
      </c>
      <c r="JS2" s="5" t="s">
        <v>409</v>
      </c>
      <c r="JT2" s="5" t="s">
        <v>409</v>
      </c>
      <c r="JU2" s="5" t="s">
        <v>409</v>
      </c>
      <c r="JV2" s="5" t="s">
        <v>409</v>
      </c>
      <c r="JW2" s="5" t="s">
        <v>409</v>
      </c>
      <c r="JX2" s="5" t="s">
        <v>409</v>
      </c>
      <c r="JY2" s="5" t="s">
        <v>409</v>
      </c>
      <c r="JZ2" s="5" t="s">
        <v>409</v>
      </c>
      <c r="KA2" s="5" t="s">
        <v>409</v>
      </c>
      <c r="KB2" s="5" t="s">
        <v>409</v>
      </c>
      <c r="KC2" s="5" t="s">
        <v>409</v>
      </c>
      <c r="KD2" s="5" t="s">
        <v>409</v>
      </c>
      <c r="KE2" s="5" t="s">
        <v>409</v>
      </c>
      <c r="KF2" s="5" t="s">
        <v>409</v>
      </c>
      <c r="KG2" s="5" t="s">
        <v>409</v>
      </c>
      <c r="KH2" s="5" t="s">
        <v>409</v>
      </c>
      <c r="KI2" s="5" t="s">
        <v>409</v>
      </c>
      <c r="KJ2" s="5" t="s">
        <v>409</v>
      </c>
      <c r="KK2" s="5" t="s">
        <v>409</v>
      </c>
      <c r="KL2" s="5" t="s">
        <v>409</v>
      </c>
      <c r="KM2" s="5" t="s">
        <v>409</v>
      </c>
      <c r="KN2" s="5" t="s">
        <v>409</v>
      </c>
      <c r="KO2" s="5" t="s">
        <v>409</v>
      </c>
      <c r="KP2" s="5" t="s">
        <v>409</v>
      </c>
      <c r="KQ2" s="5" t="s">
        <v>409</v>
      </c>
      <c r="KR2" s="5" t="s">
        <v>409</v>
      </c>
      <c r="KS2" s="5" t="s">
        <v>409</v>
      </c>
      <c r="KT2" s="5" t="s">
        <v>409</v>
      </c>
      <c r="KU2" s="5" t="s">
        <v>409</v>
      </c>
      <c r="KV2" s="5" t="s">
        <v>409</v>
      </c>
      <c r="KW2" s="5" t="s">
        <v>409</v>
      </c>
      <c r="KX2" s="5" t="s">
        <v>409</v>
      </c>
      <c r="KY2" s="5" t="s">
        <v>409</v>
      </c>
      <c r="KZ2" s="5" t="s">
        <v>409</v>
      </c>
      <c r="LA2" s="5" t="s">
        <v>409</v>
      </c>
      <c r="LB2" s="5" t="s">
        <v>409</v>
      </c>
      <c r="LC2" s="5" t="s">
        <v>409</v>
      </c>
      <c r="LD2" s="5" t="s">
        <v>409</v>
      </c>
      <c r="LE2" s="5" t="s">
        <v>409</v>
      </c>
      <c r="LF2" s="5" t="s">
        <v>409</v>
      </c>
      <c r="LG2" s="5" t="s">
        <v>409</v>
      </c>
      <c r="LH2" s="5" t="s">
        <v>409</v>
      </c>
      <c r="LI2" s="5" t="s">
        <v>409</v>
      </c>
      <c r="LJ2" s="5" t="s">
        <v>409</v>
      </c>
      <c r="LK2" s="5" t="s">
        <v>409</v>
      </c>
      <c r="LL2" s="5" t="s">
        <v>409</v>
      </c>
      <c r="LM2" s="5" t="s">
        <v>409</v>
      </c>
      <c r="LN2" s="5" t="s">
        <v>409</v>
      </c>
      <c r="LO2" s="5" t="s">
        <v>409</v>
      </c>
      <c r="LP2" s="5" t="s">
        <v>409</v>
      </c>
      <c r="LQ2" s="5" t="s">
        <v>409</v>
      </c>
      <c r="LR2" s="5" t="s">
        <v>409</v>
      </c>
      <c r="LS2" s="5" t="s">
        <v>409</v>
      </c>
      <c r="LT2" s="5" t="s">
        <v>409</v>
      </c>
      <c r="LU2" s="5" t="s">
        <v>409</v>
      </c>
      <c r="LV2" s="5" t="s">
        <v>409</v>
      </c>
      <c r="LW2" s="5" t="s">
        <v>409</v>
      </c>
      <c r="LX2" s="5" t="s">
        <v>409</v>
      </c>
      <c r="LY2" s="5" t="s">
        <v>409</v>
      </c>
      <c r="LZ2" s="5" t="s">
        <v>409</v>
      </c>
      <c r="MA2" s="5" t="s">
        <v>409</v>
      </c>
      <c r="MB2" s="5" t="s">
        <v>409</v>
      </c>
      <c r="MC2" s="5" t="s">
        <v>409</v>
      </c>
      <c r="MD2" s="5" t="s">
        <v>409</v>
      </c>
      <c r="ME2" s="5" t="s">
        <v>409</v>
      </c>
      <c r="MF2" s="5" t="s">
        <v>409</v>
      </c>
      <c r="MG2" s="5" t="s">
        <v>409</v>
      </c>
      <c r="MH2" s="5" t="s">
        <v>409</v>
      </c>
      <c r="MI2" s="5" t="s">
        <v>409</v>
      </c>
      <c r="MJ2" s="5" t="s">
        <v>409</v>
      </c>
      <c r="MK2" s="5" t="s">
        <v>409</v>
      </c>
      <c r="ML2" s="5" t="s">
        <v>409</v>
      </c>
      <c r="MM2" s="5" t="s">
        <v>409</v>
      </c>
      <c r="MN2" s="5" t="s">
        <v>409</v>
      </c>
      <c r="MO2" s="5" t="s">
        <v>409</v>
      </c>
      <c r="MP2" s="5" t="s">
        <v>409</v>
      </c>
      <c r="MQ2" s="5" t="s">
        <v>409</v>
      </c>
      <c r="MR2" s="5" t="s">
        <v>409</v>
      </c>
      <c r="MS2" s="5" t="s">
        <v>409</v>
      </c>
      <c r="MT2" s="5" t="s">
        <v>409</v>
      </c>
      <c r="MU2" s="5" t="s">
        <v>409</v>
      </c>
      <c r="MV2" s="5" t="s">
        <v>409</v>
      </c>
      <c r="MW2" s="5" t="s">
        <v>409</v>
      </c>
      <c r="MX2" s="5" t="s">
        <v>409</v>
      </c>
      <c r="MY2" s="5" t="s">
        <v>409</v>
      </c>
      <c r="MZ2" s="5" t="s">
        <v>409</v>
      </c>
      <c r="NA2" s="5" t="s">
        <v>409</v>
      </c>
      <c r="NB2" s="5" t="s">
        <v>409</v>
      </c>
      <c r="NC2" s="5" t="s">
        <v>409</v>
      </c>
      <c r="ND2" s="5" t="s">
        <v>409</v>
      </c>
      <c r="NE2" s="5" t="s">
        <v>409</v>
      </c>
      <c r="NF2" s="5" t="s">
        <v>409</v>
      </c>
      <c r="NG2" s="5" t="s">
        <v>409</v>
      </c>
      <c r="NH2" s="5" t="s">
        <v>409</v>
      </c>
      <c r="NI2" s="5" t="s">
        <v>409</v>
      </c>
      <c r="NJ2" s="5" t="s">
        <v>409</v>
      </c>
      <c r="NK2" s="5" t="s">
        <v>409</v>
      </c>
      <c r="NL2" s="5" t="s">
        <v>409</v>
      </c>
      <c r="NM2" s="5" t="s">
        <v>409</v>
      </c>
      <c r="NN2" s="5" t="s">
        <v>409</v>
      </c>
      <c r="NO2" s="5" t="s">
        <v>409</v>
      </c>
      <c r="NP2" s="5" t="s">
        <v>409</v>
      </c>
      <c r="NQ2" s="5" t="s">
        <v>409</v>
      </c>
      <c r="NR2" s="5" t="s">
        <v>409</v>
      </c>
      <c r="NS2" s="5" t="s">
        <v>409</v>
      </c>
      <c r="NT2" s="5" t="s">
        <v>409</v>
      </c>
      <c r="NU2" s="5" t="s">
        <v>409</v>
      </c>
      <c r="NV2" s="5" t="s">
        <v>409</v>
      </c>
      <c r="NW2" s="5" t="s">
        <v>409</v>
      </c>
      <c r="NX2" s="5" t="s">
        <v>409</v>
      </c>
      <c r="NY2" s="5" t="s">
        <v>409</v>
      </c>
      <c r="NZ2" s="5" t="s">
        <v>409</v>
      </c>
      <c r="OA2" s="5" t="s">
        <v>409</v>
      </c>
      <c r="OB2" s="5" t="s">
        <v>409</v>
      </c>
      <c r="OC2" s="5" t="s">
        <v>409</v>
      </c>
      <c r="OD2" s="5" t="s">
        <v>409</v>
      </c>
      <c r="OE2" s="5" t="s">
        <v>409</v>
      </c>
      <c r="OF2" s="5" t="s">
        <v>409</v>
      </c>
      <c r="OG2" s="5" t="s">
        <v>409</v>
      </c>
      <c r="OH2" s="5" t="s">
        <v>409</v>
      </c>
      <c r="OI2" s="5" t="s">
        <v>409</v>
      </c>
      <c r="OJ2" s="5" t="s">
        <v>409</v>
      </c>
      <c r="OK2" s="5" t="s">
        <v>409</v>
      </c>
      <c r="OL2" s="5" t="s">
        <v>409</v>
      </c>
      <c r="OM2" s="5" t="s">
        <v>409</v>
      </c>
      <c r="ON2" s="5" t="s">
        <v>409</v>
      </c>
      <c r="OO2" s="5" t="s">
        <v>409</v>
      </c>
      <c r="OP2" s="5" t="s">
        <v>409</v>
      </c>
      <c r="OQ2" s="5" t="s">
        <v>409</v>
      </c>
      <c r="OR2" s="5" t="s">
        <v>409</v>
      </c>
      <c r="OS2" s="5" t="s">
        <v>409</v>
      </c>
      <c r="OT2" s="5" t="s">
        <v>409</v>
      </c>
      <c r="OU2" s="5" t="s">
        <v>409</v>
      </c>
      <c r="OV2" s="5" t="s">
        <v>409</v>
      </c>
      <c r="OW2" s="5" t="s">
        <v>409</v>
      </c>
      <c r="OX2" s="5" t="s">
        <v>409</v>
      </c>
      <c r="OY2" s="5" t="s">
        <v>409</v>
      </c>
      <c r="OZ2" s="5" t="s">
        <v>409</v>
      </c>
      <c r="PA2" s="5" t="s">
        <v>409</v>
      </c>
      <c r="PB2" s="5" t="s">
        <v>409</v>
      </c>
      <c r="PC2" s="5" t="s">
        <v>409</v>
      </c>
      <c r="PD2" s="5" t="s">
        <v>409</v>
      </c>
      <c r="PE2" s="5" t="s">
        <v>409</v>
      </c>
      <c r="PF2" s="5" t="s">
        <v>409</v>
      </c>
      <c r="PG2" s="5" t="s">
        <v>409</v>
      </c>
      <c r="PH2" s="5" t="s">
        <v>409</v>
      </c>
      <c r="PI2" s="5" t="s">
        <v>409</v>
      </c>
      <c r="PJ2" s="5" t="s">
        <v>409</v>
      </c>
      <c r="PK2" s="5" t="s">
        <v>409</v>
      </c>
      <c r="PL2" s="5" t="s">
        <v>409</v>
      </c>
      <c r="PM2" s="5" t="s">
        <v>409</v>
      </c>
      <c r="PN2" s="5" t="s">
        <v>409</v>
      </c>
      <c r="PO2" s="5" t="s">
        <v>409</v>
      </c>
      <c r="PP2" s="5" t="s">
        <v>409</v>
      </c>
      <c r="PQ2" s="5" t="s">
        <v>409</v>
      </c>
      <c r="PR2" s="5" t="s">
        <v>409</v>
      </c>
      <c r="PS2" s="5" t="s">
        <v>409</v>
      </c>
      <c r="PT2" s="5" t="s">
        <v>409</v>
      </c>
      <c r="PU2" s="5" t="s">
        <v>409</v>
      </c>
      <c r="PV2" s="5" t="s">
        <v>409</v>
      </c>
      <c r="PW2" s="5" t="s">
        <v>409</v>
      </c>
      <c r="PX2" s="5" t="s">
        <v>409</v>
      </c>
      <c r="PY2" s="5" t="s">
        <v>409</v>
      </c>
      <c r="PZ2" s="5" t="s">
        <v>409</v>
      </c>
      <c r="QA2" s="5" t="s">
        <v>409</v>
      </c>
      <c r="QB2" s="5" t="s">
        <v>409</v>
      </c>
      <c r="QC2" s="5" t="s">
        <v>409</v>
      </c>
      <c r="QD2" s="5" t="s">
        <v>409</v>
      </c>
      <c r="QE2" s="5" t="s">
        <v>409</v>
      </c>
      <c r="QF2" s="5" t="s">
        <v>409</v>
      </c>
      <c r="QG2" s="5" t="s">
        <v>409</v>
      </c>
      <c r="QH2" s="5" t="s">
        <v>409</v>
      </c>
      <c r="QI2" s="5" t="s">
        <v>409</v>
      </c>
      <c r="QJ2" s="5" t="s">
        <v>409</v>
      </c>
      <c r="QK2" s="5" t="s">
        <v>409</v>
      </c>
      <c r="QL2" s="5" t="s">
        <v>409</v>
      </c>
      <c r="QM2" s="5" t="s">
        <v>409</v>
      </c>
      <c r="QN2" s="5" t="s">
        <v>409</v>
      </c>
      <c r="QO2" s="5" t="s">
        <v>409</v>
      </c>
      <c r="QP2" s="5" t="s">
        <v>409</v>
      </c>
      <c r="QQ2" s="5" t="s">
        <v>409</v>
      </c>
      <c r="QR2" s="5" t="s">
        <v>409</v>
      </c>
      <c r="QS2" s="5" t="s">
        <v>409</v>
      </c>
      <c r="QT2" s="5" t="s">
        <v>409</v>
      </c>
      <c r="QU2" s="5" t="s">
        <v>409</v>
      </c>
      <c r="QV2" s="5" t="s">
        <v>409</v>
      </c>
      <c r="QW2" s="5" t="s">
        <v>409</v>
      </c>
      <c r="QX2" s="5" t="s">
        <v>409</v>
      </c>
      <c r="QY2" s="5" t="s">
        <v>409</v>
      </c>
      <c r="QZ2" s="5" t="s">
        <v>409</v>
      </c>
      <c r="RA2" s="5" t="s">
        <v>409</v>
      </c>
      <c r="RB2" s="5" t="s">
        <v>409</v>
      </c>
      <c r="RC2" s="5" t="s">
        <v>409</v>
      </c>
      <c r="RD2" s="5" t="s">
        <v>409</v>
      </c>
      <c r="RE2" s="5" t="s">
        <v>409</v>
      </c>
      <c r="RF2" s="5" t="s">
        <v>409</v>
      </c>
      <c r="RG2" s="5" t="s">
        <v>409</v>
      </c>
      <c r="RH2" s="5" t="s">
        <v>409</v>
      </c>
      <c r="RI2" s="5" t="s">
        <v>409</v>
      </c>
      <c r="RJ2" s="5" t="s">
        <v>409</v>
      </c>
      <c r="RK2" s="5" t="s">
        <v>409</v>
      </c>
      <c r="RL2" s="5" t="s">
        <v>409</v>
      </c>
      <c r="RM2" s="5" t="s">
        <v>409</v>
      </c>
      <c r="RN2" s="5" t="s">
        <v>409</v>
      </c>
      <c r="RO2" s="5" t="s">
        <v>409</v>
      </c>
      <c r="RP2" s="5" t="s">
        <v>409</v>
      </c>
      <c r="RQ2" s="5" t="s">
        <v>409</v>
      </c>
      <c r="RR2" s="5" t="s">
        <v>409</v>
      </c>
      <c r="RS2" s="5" t="s">
        <v>409</v>
      </c>
      <c r="RT2" s="5" t="s">
        <v>409</v>
      </c>
      <c r="RU2" s="5" t="s">
        <v>409</v>
      </c>
      <c r="RV2" s="5" t="s">
        <v>409</v>
      </c>
      <c r="RW2" s="5" t="s">
        <v>409</v>
      </c>
      <c r="RX2" s="5" t="s">
        <v>409</v>
      </c>
      <c r="RY2" s="5" t="s">
        <v>409</v>
      </c>
      <c r="RZ2" s="5" t="s">
        <v>409</v>
      </c>
      <c r="SA2" s="5" t="s">
        <v>409</v>
      </c>
      <c r="SB2" s="5" t="s">
        <v>409</v>
      </c>
      <c r="SC2" s="5" t="s">
        <v>409</v>
      </c>
      <c r="SD2" s="5" t="s">
        <v>409</v>
      </c>
      <c r="SE2" s="5" t="s">
        <v>409</v>
      </c>
      <c r="SF2" s="5" t="s">
        <v>409</v>
      </c>
      <c r="SG2" s="5" t="s">
        <v>409</v>
      </c>
      <c r="SH2" s="5" t="s">
        <v>409</v>
      </c>
      <c r="SI2" s="5" t="s">
        <v>409</v>
      </c>
      <c r="SJ2" s="5" t="s">
        <v>409</v>
      </c>
      <c r="SK2" s="5" t="s">
        <v>409</v>
      </c>
      <c r="SL2" s="5" t="s">
        <v>409</v>
      </c>
      <c r="SM2" s="5" t="s">
        <v>409</v>
      </c>
      <c r="SN2" s="5" t="s">
        <v>409</v>
      </c>
      <c r="SO2" s="5" t="s">
        <v>409</v>
      </c>
      <c r="SP2" s="5" t="s">
        <v>409</v>
      </c>
      <c r="SQ2" s="5" t="s">
        <v>409</v>
      </c>
      <c r="SR2" s="5" t="s">
        <v>409</v>
      </c>
      <c r="SS2" s="5" t="s">
        <v>409</v>
      </c>
      <c r="ST2" s="5" t="s">
        <v>409</v>
      </c>
      <c r="SU2" s="5" t="s">
        <v>409</v>
      </c>
      <c r="SV2" s="5" t="s">
        <v>409</v>
      </c>
      <c r="SW2" s="5" t="s">
        <v>409</v>
      </c>
      <c r="SX2" s="5" t="s">
        <v>409</v>
      </c>
      <c r="SY2" s="5" t="s">
        <v>409</v>
      </c>
      <c r="SZ2" s="5" t="s">
        <v>409</v>
      </c>
      <c r="TA2" s="5" t="s">
        <v>409</v>
      </c>
      <c r="TB2" s="5" t="s">
        <v>409</v>
      </c>
      <c r="TC2" s="5" t="s">
        <v>409</v>
      </c>
      <c r="TD2" s="5" t="s">
        <v>409</v>
      </c>
      <c r="TE2" s="5" t="s">
        <v>409</v>
      </c>
      <c r="TF2" s="5" t="s">
        <v>409</v>
      </c>
      <c r="TG2" s="5" t="s">
        <v>409</v>
      </c>
      <c r="TH2" s="5" t="s">
        <v>409</v>
      </c>
      <c r="TI2" s="5" t="s">
        <v>409</v>
      </c>
      <c r="TJ2" s="5" t="s">
        <v>409</v>
      </c>
      <c r="TK2" s="5" t="s">
        <v>409</v>
      </c>
      <c r="TL2" s="5" t="s">
        <v>409</v>
      </c>
      <c r="TM2" s="5" t="s">
        <v>409</v>
      </c>
      <c r="TN2" s="5" t="s">
        <v>409</v>
      </c>
      <c r="TO2" s="5" t="s">
        <v>409</v>
      </c>
      <c r="TP2" s="5" t="s">
        <v>409</v>
      </c>
      <c r="TQ2" s="5" t="s">
        <v>409</v>
      </c>
      <c r="TR2" s="5" t="s">
        <v>409</v>
      </c>
      <c r="TS2" s="5" t="s">
        <v>409</v>
      </c>
      <c r="TT2" s="5" t="s">
        <v>409</v>
      </c>
      <c r="TU2" s="5" t="s">
        <v>409</v>
      </c>
      <c r="TV2" s="5" t="s">
        <v>409</v>
      </c>
      <c r="TW2" s="5" t="s">
        <v>409</v>
      </c>
      <c r="TX2" s="5" t="s">
        <v>409</v>
      </c>
      <c r="TY2" s="5" t="s">
        <v>409</v>
      </c>
      <c r="TZ2" s="5" t="s">
        <v>409</v>
      </c>
      <c r="UA2" s="5" t="s">
        <v>409</v>
      </c>
      <c r="UB2" s="5" t="s">
        <v>409</v>
      </c>
      <c r="UC2" s="5" t="s">
        <v>409</v>
      </c>
      <c r="UD2" s="5" t="s">
        <v>409</v>
      </c>
      <c r="UE2" s="5" t="s">
        <v>409</v>
      </c>
      <c r="UF2" s="5" t="s">
        <v>409</v>
      </c>
      <c r="UG2" s="5" t="s">
        <v>409</v>
      </c>
      <c r="UH2" s="5" t="s">
        <v>409</v>
      </c>
      <c r="UI2" s="5" t="s">
        <v>409</v>
      </c>
      <c r="UJ2" s="5" t="s">
        <v>409</v>
      </c>
      <c r="UK2" s="5" t="s">
        <v>409</v>
      </c>
      <c r="UL2" s="5" t="s">
        <v>409</v>
      </c>
      <c r="UM2" s="5" t="s">
        <v>409</v>
      </c>
      <c r="UN2" s="5" t="s">
        <v>409</v>
      </c>
      <c r="UO2" s="5" t="s">
        <v>409</v>
      </c>
      <c r="UP2" s="5" t="s">
        <v>409</v>
      </c>
      <c r="UQ2" s="5" t="s">
        <v>409</v>
      </c>
      <c r="UR2" s="5" t="s">
        <v>409</v>
      </c>
      <c r="US2" s="5" t="s">
        <v>409</v>
      </c>
      <c r="UT2" s="5" t="s">
        <v>409</v>
      </c>
      <c r="UU2" s="5" t="s">
        <v>409</v>
      </c>
      <c r="UV2" s="5" t="s">
        <v>409</v>
      </c>
      <c r="UW2" s="5" t="s">
        <v>409</v>
      </c>
      <c r="UX2" s="5" t="s">
        <v>409</v>
      </c>
      <c r="UY2" s="5" t="s">
        <v>409</v>
      </c>
      <c r="UZ2" s="5" t="s">
        <v>409</v>
      </c>
      <c r="VA2" s="5" t="s">
        <v>409</v>
      </c>
      <c r="VB2" s="5" t="s">
        <v>409</v>
      </c>
      <c r="VC2" s="5" t="s">
        <v>409</v>
      </c>
      <c r="VD2" s="5" t="s">
        <v>409</v>
      </c>
      <c r="VE2" s="5" t="s">
        <v>409</v>
      </c>
      <c r="VF2" s="5" t="s">
        <v>409</v>
      </c>
      <c r="VG2" s="5" t="s">
        <v>409</v>
      </c>
      <c r="VH2" s="5" t="s">
        <v>409</v>
      </c>
      <c r="VI2" s="5" t="s">
        <v>409</v>
      </c>
      <c r="VJ2" s="5" t="s">
        <v>409</v>
      </c>
      <c r="VK2" s="5" t="s">
        <v>409</v>
      </c>
      <c r="VL2" s="5" t="s">
        <v>409</v>
      </c>
      <c r="VM2" s="5" t="s">
        <v>409</v>
      </c>
      <c r="VN2" s="5" t="s">
        <v>409</v>
      </c>
      <c r="VO2" s="5" t="s">
        <v>409</v>
      </c>
      <c r="VP2" s="5" t="s">
        <v>409</v>
      </c>
      <c r="VQ2" s="5" t="s">
        <v>409</v>
      </c>
      <c r="VR2" s="5" t="s">
        <v>409</v>
      </c>
      <c r="VS2" s="5" t="s">
        <v>409</v>
      </c>
      <c r="VT2" s="5" t="s">
        <v>409</v>
      </c>
      <c r="VU2" s="5" t="s">
        <v>409</v>
      </c>
      <c r="VV2" s="5" t="s">
        <v>409</v>
      </c>
      <c r="VW2" s="5" t="s">
        <v>409</v>
      </c>
      <c r="VX2" s="5" t="s">
        <v>409</v>
      </c>
      <c r="VY2" s="5" t="s">
        <v>409</v>
      </c>
      <c r="VZ2" s="5" t="s">
        <v>409</v>
      </c>
      <c r="WA2" s="5" t="s">
        <v>409</v>
      </c>
      <c r="WB2" s="5" t="s">
        <v>409</v>
      </c>
      <c r="WC2" s="5" t="s">
        <v>409</v>
      </c>
      <c r="WD2" s="5" t="s">
        <v>409</v>
      </c>
      <c r="WE2" s="5" t="s">
        <v>409</v>
      </c>
      <c r="WF2" s="5" t="s">
        <v>409</v>
      </c>
      <c r="WG2" s="5" t="s">
        <v>409</v>
      </c>
      <c r="WH2" s="5" t="s">
        <v>409</v>
      </c>
      <c r="WI2" s="5" t="s">
        <v>409</v>
      </c>
      <c r="WJ2" s="5" t="s">
        <v>409</v>
      </c>
      <c r="WK2" s="5" t="s">
        <v>409</v>
      </c>
      <c r="WL2" s="5" t="s">
        <v>409</v>
      </c>
      <c r="WM2" s="5" t="s">
        <v>409</v>
      </c>
      <c r="WN2" s="5" t="s">
        <v>409</v>
      </c>
      <c r="WO2" s="5" t="s">
        <v>409</v>
      </c>
      <c r="WP2" s="5" t="s">
        <v>409</v>
      </c>
      <c r="WQ2" s="5" t="s">
        <v>409</v>
      </c>
      <c r="WR2" s="5" t="s">
        <v>409</v>
      </c>
      <c r="WS2" s="5" t="s">
        <v>409</v>
      </c>
      <c r="WT2" s="5" t="s">
        <v>409</v>
      </c>
      <c r="WU2" s="5" t="s">
        <v>409</v>
      </c>
      <c r="WV2" s="5" t="s">
        <v>409</v>
      </c>
      <c r="WW2" s="5" t="s">
        <v>409</v>
      </c>
      <c r="WX2" s="5" t="s">
        <v>409</v>
      </c>
      <c r="WY2" s="5" t="s">
        <v>409</v>
      </c>
      <c r="WZ2" s="5" t="s">
        <v>409</v>
      </c>
      <c r="XA2" s="5" t="s">
        <v>409</v>
      </c>
      <c r="XB2" s="5" t="s">
        <v>409</v>
      </c>
      <c r="XC2" s="5" t="s">
        <v>409</v>
      </c>
      <c r="XD2" s="5" t="s">
        <v>409</v>
      </c>
      <c r="XE2" s="5" t="s">
        <v>409</v>
      </c>
      <c r="XF2" s="5" t="s">
        <v>409</v>
      </c>
      <c r="XG2" s="5" t="s">
        <v>409</v>
      </c>
      <c r="XH2" s="5" t="s">
        <v>409</v>
      </c>
      <c r="XI2" s="5" t="s">
        <v>409</v>
      </c>
      <c r="XJ2" s="5" t="s">
        <v>409</v>
      </c>
      <c r="XK2" s="5" t="s">
        <v>409</v>
      </c>
      <c r="XL2" s="5" t="s">
        <v>409</v>
      </c>
      <c r="XM2" s="5" t="s">
        <v>409</v>
      </c>
      <c r="XN2" s="5" t="s">
        <v>409</v>
      </c>
      <c r="XO2" s="5" t="s">
        <v>409</v>
      </c>
      <c r="XP2" s="5" t="s">
        <v>409</v>
      </c>
      <c r="XQ2" s="5" t="s">
        <v>409</v>
      </c>
      <c r="XR2" s="5" t="s">
        <v>409</v>
      </c>
      <c r="XS2" s="5" t="s">
        <v>409</v>
      </c>
      <c r="XT2" s="5" t="s">
        <v>409</v>
      </c>
      <c r="XU2" s="5" t="s">
        <v>409</v>
      </c>
      <c r="XV2" s="5" t="s">
        <v>409</v>
      </c>
      <c r="XW2" s="5" t="s">
        <v>409</v>
      </c>
      <c r="XX2" s="5" t="s">
        <v>409</v>
      </c>
      <c r="XY2" s="5" t="s">
        <v>409</v>
      </c>
      <c r="XZ2" s="5" t="s">
        <v>409</v>
      </c>
      <c r="YA2" s="5" t="s">
        <v>409</v>
      </c>
      <c r="YB2" s="5" t="s">
        <v>409</v>
      </c>
      <c r="YC2" s="5" t="s">
        <v>409</v>
      </c>
      <c r="YD2" s="5" t="s">
        <v>409</v>
      </c>
      <c r="YE2" s="5" t="s">
        <v>409</v>
      </c>
      <c r="YF2" s="5" t="s">
        <v>409</v>
      </c>
      <c r="YG2" s="5" t="s">
        <v>409</v>
      </c>
      <c r="YH2" s="5" t="s">
        <v>409</v>
      </c>
      <c r="YI2" s="5" t="s">
        <v>409</v>
      </c>
      <c r="YJ2" s="5" t="s">
        <v>409</v>
      </c>
      <c r="YK2" s="5" t="s">
        <v>409</v>
      </c>
      <c r="YL2" s="5" t="s">
        <v>409</v>
      </c>
      <c r="YM2" s="5" t="s">
        <v>409</v>
      </c>
      <c r="YN2" s="5" t="s">
        <v>409</v>
      </c>
      <c r="YO2" s="5" t="s">
        <v>409</v>
      </c>
      <c r="YP2" s="5" t="s">
        <v>409</v>
      </c>
      <c r="YQ2" s="5" t="s">
        <v>409</v>
      </c>
      <c r="YR2" s="5" t="s">
        <v>409</v>
      </c>
      <c r="YS2" s="5" t="s">
        <v>409</v>
      </c>
      <c r="YT2" s="5" t="s">
        <v>409</v>
      </c>
      <c r="YU2" s="5" t="s">
        <v>409</v>
      </c>
      <c r="YV2" s="5" t="s">
        <v>409</v>
      </c>
      <c r="YW2" s="5" t="s">
        <v>409</v>
      </c>
      <c r="YX2" s="5" t="s">
        <v>409</v>
      </c>
      <c r="YY2" s="5" t="s">
        <v>409</v>
      </c>
      <c r="YZ2" s="5" t="s">
        <v>409</v>
      </c>
      <c r="ZA2" s="5" t="s">
        <v>409</v>
      </c>
      <c r="ZB2" s="5" t="s">
        <v>409</v>
      </c>
      <c r="ZC2" s="5" t="s">
        <v>409</v>
      </c>
      <c r="ZD2" s="5" t="s">
        <v>409</v>
      </c>
      <c r="ZE2" s="5" t="s">
        <v>409</v>
      </c>
      <c r="ZF2" s="5" t="s">
        <v>409</v>
      </c>
      <c r="ZG2" s="5" t="s">
        <v>409</v>
      </c>
      <c r="ZH2" s="5" t="s">
        <v>409</v>
      </c>
      <c r="ZI2" s="5" t="s">
        <v>409</v>
      </c>
      <c r="ZJ2" s="5" t="s">
        <v>409</v>
      </c>
      <c r="ZK2" s="5" t="s">
        <v>409</v>
      </c>
      <c r="ZL2" s="5" t="s">
        <v>409</v>
      </c>
      <c r="ZM2" s="5" t="s">
        <v>409</v>
      </c>
      <c r="ZN2" s="5" t="s">
        <v>409</v>
      </c>
      <c r="ZO2" s="5" t="s">
        <v>409</v>
      </c>
      <c r="ZP2" s="5" t="s">
        <v>409</v>
      </c>
      <c r="ZQ2" s="5" t="s">
        <v>409</v>
      </c>
      <c r="ZR2" s="5" t="s">
        <v>409</v>
      </c>
      <c r="ZS2" s="5" t="s">
        <v>409</v>
      </c>
      <c r="ZT2" s="5" t="s">
        <v>409</v>
      </c>
      <c r="ZU2" s="5" t="s">
        <v>409</v>
      </c>
      <c r="ZV2" s="5" t="s">
        <v>409</v>
      </c>
      <c r="ZW2" s="5" t="s">
        <v>409</v>
      </c>
      <c r="ZX2" s="5" t="s">
        <v>409</v>
      </c>
      <c r="ZY2" s="5" t="s">
        <v>409</v>
      </c>
      <c r="ZZ2" s="5" t="s">
        <v>409</v>
      </c>
      <c r="AAA2" s="5" t="s">
        <v>409</v>
      </c>
      <c r="AAB2" s="5" t="s">
        <v>409</v>
      </c>
      <c r="AAC2" s="5" t="s">
        <v>409</v>
      </c>
      <c r="AAD2" s="5" t="s">
        <v>409</v>
      </c>
      <c r="AAE2" s="5" t="s">
        <v>409</v>
      </c>
      <c r="AAF2" s="5" t="s">
        <v>409</v>
      </c>
      <c r="AAG2" s="5" t="s">
        <v>409</v>
      </c>
      <c r="AAH2" s="5" t="s">
        <v>409</v>
      </c>
      <c r="AAI2" s="5" t="s">
        <v>409</v>
      </c>
      <c r="AAJ2" s="5" t="s">
        <v>409</v>
      </c>
      <c r="AAK2" s="5" t="s">
        <v>409</v>
      </c>
      <c r="AAL2" s="5" t="s">
        <v>409</v>
      </c>
      <c r="AAM2" s="5" t="s">
        <v>409</v>
      </c>
      <c r="AAN2" s="5" t="s">
        <v>409</v>
      </c>
      <c r="AAO2" s="5" t="s">
        <v>409</v>
      </c>
      <c r="AAP2" s="5" t="s">
        <v>409</v>
      </c>
      <c r="AAQ2" s="5" t="s">
        <v>409</v>
      </c>
      <c r="AAR2" s="5" t="s">
        <v>409</v>
      </c>
      <c r="AAS2" s="5" t="s">
        <v>409</v>
      </c>
      <c r="AAT2" s="5" t="s">
        <v>409</v>
      </c>
      <c r="AAU2" s="5" t="s">
        <v>409</v>
      </c>
      <c r="AAV2" s="5" t="s">
        <v>409</v>
      </c>
      <c r="AAW2" s="5" t="s">
        <v>409</v>
      </c>
      <c r="AAX2" s="5" t="s">
        <v>409</v>
      </c>
      <c r="AAY2" s="5" t="s">
        <v>409</v>
      </c>
      <c r="AAZ2" s="5" t="s">
        <v>409</v>
      </c>
      <c r="ABA2" s="5" t="s">
        <v>409</v>
      </c>
      <c r="ABB2" s="5" t="s">
        <v>409</v>
      </c>
      <c r="ABC2" s="5" t="s">
        <v>409</v>
      </c>
      <c r="ABD2" s="5" t="s">
        <v>409</v>
      </c>
      <c r="ABE2" s="5" t="s">
        <v>409</v>
      </c>
      <c r="ABF2" s="5" t="s">
        <v>409</v>
      </c>
      <c r="ABG2" s="5" t="s">
        <v>409</v>
      </c>
      <c r="ABH2" s="5" t="s">
        <v>409</v>
      </c>
      <c r="ABI2" s="5" t="s">
        <v>409</v>
      </c>
      <c r="ABJ2" s="5" t="s">
        <v>409</v>
      </c>
      <c r="ABK2" s="5" t="s">
        <v>409</v>
      </c>
      <c r="ABL2" s="5" t="s">
        <v>409</v>
      </c>
      <c r="ABM2" s="5" t="s">
        <v>409</v>
      </c>
      <c r="ABN2" s="5" t="s">
        <v>409</v>
      </c>
      <c r="ABO2" s="5" t="s">
        <v>409</v>
      </c>
      <c r="ABP2" s="5" t="s">
        <v>409</v>
      </c>
      <c r="ABQ2" s="5" t="s">
        <v>409</v>
      </c>
      <c r="ABR2" s="5" t="s">
        <v>409</v>
      </c>
      <c r="ABS2" s="5" t="s">
        <v>409</v>
      </c>
      <c r="ABT2" s="5" t="s">
        <v>409</v>
      </c>
      <c r="ABU2" s="5" t="s">
        <v>409</v>
      </c>
      <c r="ABV2" s="5" t="s">
        <v>409</v>
      </c>
      <c r="ABW2" s="5" t="s">
        <v>409</v>
      </c>
      <c r="ABX2" s="5" t="s">
        <v>409</v>
      </c>
      <c r="ABY2" s="5" t="s">
        <v>409</v>
      </c>
      <c r="ABZ2" s="5" t="s">
        <v>409</v>
      </c>
      <c r="ACA2" s="5" t="s">
        <v>409</v>
      </c>
      <c r="ACB2" s="5" t="s">
        <v>409</v>
      </c>
      <c r="ACC2" s="5" t="s">
        <v>409</v>
      </c>
      <c r="ACD2" s="5" t="s">
        <v>409</v>
      </c>
      <c r="ACE2" s="5" t="s">
        <v>409</v>
      </c>
      <c r="ACF2" s="5" t="s">
        <v>409</v>
      </c>
      <c r="ACG2" s="5" t="s">
        <v>409</v>
      </c>
      <c r="ACH2" s="5" t="s">
        <v>409</v>
      </c>
      <c r="ACI2" s="5" t="s">
        <v>409</v>
      </c>
      <c r="ACJ2" s="5" t="s">
        <v>409</v>
      </c>
      <c r="ACK2" s="5" t="s">
        <v>409</v>
      </c>
      <c r="ACL2" s="5" t="s">
        <v>409</v>
      </c>
      <c r="ACM2" s="5" t="s">
        <v>409</v>
      </c>
      <c r="ACN2" s="5" t="s">
        <v>409</v>
      </c>
      <c r="ACO2" s="5" t="s">
        <v>409</v>
      </c>
      <c r="ACP2" s="5" t="s">
        <v>409</v>
      </c>
      <c r="ACQ2" s="5" t="s">
        <v>409</v>
      </c>
      <c r="ACR2" s="5" t="s">
        <v>409</v>
      </c>
      <c r="ACS2" s="5" t="s">
        <v>409</v>
      </c>
      <c r="ACT2" s="5" t="s">
        <v>409</v>
      </c>
      <c r="ACU2" s="5" t="s">
        <v>409</v>
      </c>
      <c r="ACV2" s="5" t="s">
        <v>409</v>
      </c>
      <c r="ACW2" s="5" t="s">
        <v>409</v>
      </c>
      <c r="ACX2" s="5" t="s">
        <v>409</v>
      </c>
      <c r="ACY2" s="5" t="s">
        <v>409</v>
      </c>
      <c r="ACZ2" s="5" t="s">
        <v>409</v>
      </c>
      <c r="ADA2" s="5" t="s">
        <v>409</v>
      </c>
      <c r="ADB2" s="5" t="s">
        <v>409</v>
      </c>
      <c r="ADC2" s="5" t="s">
        <v>409</v>
      </c>
      <c r="ADD2" s="5" t="s">
        <v>409</v>
      </c>
      <c r="ADE2" s="5" t="s">
        <v>409</v>
      </c>
      <c r="ADF2" s="5" t="s">
        <v>409</v>
      </c>
      <c r="ADG2" s="5" t="s">
        <v>409</v>
      </c>
      <c r="ADH2" s="5" t="s">
        <v>409</v>
      </c>
      <c r="ADI2" s="5" t="s">
        <v>409</v>
      </c>
      <c r="ADJ2" s="5" t="s">
        <v>409</v>
      </c>
      <c r="ADK2" s="5" t="s">
        <v>409</v>
      </c>
      <c r="ADL2" s="5" t="s">
        <v>409</v>
      </c>
      <c r="ADM2" s="5" t="s">
        <v>409</v>
      </c>
      <c r="ADN2" s="5" t="s">
        <v>409</v>
      </c>
      <c r="ADO2" s="5" t="s">
        <v>409</v>
      </c>
      <c r="ADP2" s="5" t="s">
        <v>409</v>
      </c>
      <c r="ADQ2" s="5" t="s">
        <v>409</v>
      </c>
      <c r="ADR2" s="5" t="s">
        <v>409</v>
      </c>
      <c r="ADS2" s="5" t="s">
        <v>409</v>
      </c>
      <c r="ADT2" s="5" t="s">
        <v>409</v>
      </c>
      <c r="ADU2" s="5" t="s">
        <v>409</v>
      </c>
      <c r="ADV2" s="5" t="s">
        <v>409</v>
      </c>
      <c r="ADW2" s="5" t="s">
        <v>409</v>
      </c>
      <c r="ADX2" s="5" t="s">
        <v>409</v>
      </c>
      <c r="ADY2" s="5" t="s">
        <v>409</v>
      </c>
      <c r="ADZ2" s="5" t="s">
        <v>409</v>
      </c>
      <c r="AEA2" s="5" t="s">
        <v>409</v>
      </c>
      <c r="AEB2" s="5" t="s">
        <v>409</v>
      </c>
      <c r="AEC2" s="5" t="s">
        <v>409</v>
      </c>
      <c r="AED2" s="5" t="s">
        <v>409</v>
      </c>
      <c r="AEE2" s="5" t="s">
        <v>409</v>
      </c>
      <c r="AEF2" s="5" t="s">
        <v>409</v>
      </c>
      <c r="AEG2" s="5" t="s">
        <v>409</v>
      </c>
      <c r="AEH2" s="5" t="s">
        <v>409</v>
      </c>
      <c r="AEI2" s="5" t="s">
        <v>409</v>
      </c>
      <c r="AEJ2" s="5" t="s">
        <v>409</v>
      </c>
      <c r="AEK2" s="5" t="s">
        <v>409</v>
      </c>
      <c r="AEL2" s="5" t="s">
        <v>409</v>
      </c>
      <c r="AEM2" s="5" t="s">
        <v>409</v>
      </c>
      <c r="AEN2" s="5" t="s">
        <v>409</v>
      </c>
      <c r="AEO2" s="5" t="s">
        <v>409</v>
      </c>
      <c r="AEP2" s="5" t="s">
        <v>409</v>
      </c>
      <c r="AEQ2" s="5" t="s">
        <v>409</v>
      </c>
      <c r="AER2" s="5" t="s">
        <v>409</v>
      </c>
      <c r="AES2" s="5" t="s">
        <v>409</v>
      </c>
      <c r="AET2" s="5" t="s">
        <v>409</v>
      </c>
      <c r="AEU2" s="5" t="s">
        <v>409</v>
      </c>
      <c r="AEV2" s="5" t="s">
        <v>409</v>
      </c>
      <c r="AEW2" s="5" t="s">
        <v>409</v>
      </c>
      <c r="AEX2" s="5" t="s">
        <v>409</v>
      </c>
      <c r="AEY2" s="5" t="s">
        <v>409</v>
      </c>
      <c r="AEZ2" s="5" t="s">
        <v>409</v>
      </c>
      <c r="AFA2" s="5" t="s">
        <v>409</v>
      </c>
      <c r="AFB2" s="5" t="s">
        <v>409</v>
      </c>
      <c r="AFC2" s="5" t="s">
        <v>409</v>
      </c>
      <c r="AFD2" s="5" t="s">
        <v>409</v>
      </c>
      <c r="AFE2" s="5" t="s">
        <v>409</v>
      </c>
      <c r="AFF2" s="5" t="s">
        <v>409</v>
      </c>
      <c r="AFG2" s="5" t="s">
        <v>409</v>
      </c>
      <c r="AFH2" s="5" t="s">
        <v>409</v>
      </c>
      <c r="AFI2" s="5" t="s">
        <v>409</v>
      </c>
      <c r="AFJ2" s="5" t="s">
        <v>409</v>
      </c>
      <c r="AFK2" s="5" t="s">
        <v>409</v>
      </c>
      <c r="AFL2" s="5" t="s">
        <v>409</v>
      </c>
      <c r="AFM2" s="5" t="s">
        <v>409</v>
      </c>
      <c r="AFN2" s="5" t="s">
        <v>409</v>
      </c>
      <c r="AFO2" s="5" t="s">
        <v>409</v>
      </c>
      <c r="AFP2" s="5" t="s">
        <v>409</v>
      </c>
      <c r="AFQ2" s="5" t="s">
        <v>409</v>
      </c>
      <c r="AFR2" s="5" t="s">
        <v>409</v>
      </c>
      <c r="AFS2" s="5" t="s">
        <v>409</v>
      </c>
      <c r="AFT2" s="5" t="s">
        <v>409</v>
      </c>
      <c r="AFU2" s="5" t="s">
        <v>409</v>
      </c>
      <c r="AFV2" s="5" t="s">
        <v>409</v>
      </c>
      <c r="AFW2" s="5" t="s">
        <v>409</v>
      </c>
      <c r="AFX2" s="5" t="s">
        <v>409</v>
      </c>
      <c r="AFY2" s="5" t="s">
        <v>409</v>
      </c>
      <c r="AFZ2" s="5" t="s">
        <v>409</v>
      </c>
      <c r="AGA2" s="5" t="s">
        <v>409</v>
      </c>
      <c r="AGB2" s="5" t="s">
        <v>409</v>
      </c>
      <c r="AGC2" s="5" t="s">
        <v>409</v>
      </c>
      <c r="AGD2" s="5" t="s">
        <v>409</v>
      </c>
      <c r="AGE2" s="5" t="s">
        <v>409</v>
      </c>
      <c r="AGF2" s="5" t="s">
        <v>409</v>
      </c>
      <c r="AGG2" s="5" t="s">
        <v>409</v>
      </c>
      <c r="AGH2" s="5" t="s">
        <v>409</v>
      </c>
      <c r="AGI2" s="5" t="s">
        <v>409</v>
      </c>
      <c r="AGJ2" s="5" t="s">
        <v>409</v>
      </c>
      <c r="AGK2" s="5" t="s">
        <v>409</v>
      </c>
      <c r="AGL2" s="5" t="s">
        <v>409</v>
      </c>
      <c r="AGM2" s="5" t="s">
        <v>409</v>
      </c>
      <c r="AGN2" s="5" t="s">
        <v>409</v>
      </c>
      <c r="AGO2" s="5" t="s">
        <v>409</v>
      </c>
      <c r="AGP2" s="5" t="s">
        <v>409</v>
      </c>
      <c r="AGQ2" s="5" t="s">
        <v>409</v>
      </c>
      <c r="AGR2" s="5" t="s">
        <v>409</v>
      </c>
      <c r="AGS2" s="5" t="s">
        <v>409</v>
      </c>
      <c r="AGT2" s="5" t="s">
        <v>409</v>
      </c>
      <c r="AGU2" s="5" t="s">
        <v>409</v>
      </c>
      <c r="AGV2" s="5" t="s">
        <v>409</v>
      </c>
      <c r="AGW2" s="5" t="s">
        <v>409</v>
      </c>
      <c r="AGX2" s="5" t="s">
        <v>409</v>
      </c>
      <c r="AGY2" s="5" t="s">
        <v>409</v>
      </c>
      <c r="AGZ2" s="5" t="s">
        <v>409</v>
      </c>
      <c r="AHA2" s="5" t="s">
        <v>409</v>
      </c>
      <c r="AHB2" s="5" t="s">
        <v>409</v>
      </c>
      <c r="AHC2" s="5" t="s">
        <v>409</v>
      </c>
      <c r="AHD2" s="5" t="s">
        <v>409</v>
      </c>
      <c r="AHE2" s="5" t="s">
        <v>409</v>
      </c>
      <c r="AHF2" s="5" t="s">
        <v>409</v>
      </c>
      <c r="AHG2" s="5" t="s">
        <v>409</v>
      </c>
      <c r="AHH2" s="5" t="s">
        <v>409</v>
      </c>
      <c r="AHI2" s="5" t="s">
        <v>409</v>
      </c>
      <c r="AHJ2" s="5" t="s">
        <v>409</v>
      </c>
      <c r="AHK2" s="5" t="s">
        <v>409</v>
      </c>
      <c r="AHL2" s="5" t="s">
        <v>409</v>
      </c>
      <c r="AHM2" s="5" t="s">
        <v>409</v>
      </c>
      <c r="AHN2" s="5" t="s">
        <v>409</v>
      </c>
      <c r="AHO2" s="5" t="s">
        <v>409</v>
      </c>
      <c r="AHP2" s="5" t="s">
        <v>409</v>
      </c>
      <c r="AHQ2" s="5" t="s">
        <v>409</v>
      </c>
      <c r="AHR2" s="5" t="s">
        <v>409</v>
      </c>
      <c r="AHS2" s="5" t="s">
        <v>409</v>
      </c>
      <c r="AHT2" s="5" t="s">
        <v>409</v>
      </c>
      <c r="AHU2" s="5" t="s">
        <v>409</v>
      </c>
      <c r="AHV2" s="5" t="s">
        <v>409</v>
      </c>
      <c r="AHW2" s="5" t="s">
        <v>409</v>
      </c>
      <c r="AHX2" s="5" t="s">
        <v>409</v>
      </c>
      <c r="AHY2" s="5" t="s">
        <v>409</v>
      </c>
      <c r="AHZ2" s="5" t="s">
        <v>409</v>
      </c>
      <c r="AIA2" s="5" t="s">
        <v>409</v>
      </c>
      <c r="AIB2" s="5" t="s">
        <v>409</v>
      </c>
      <c r="AIC2" s="5" t="s">
        <v>409</v>
      </c>
      <c r="AID2" s="5" t="s">
        <v>409</v>
      </c>
      <c r="AIE2" s="5" t="s">
        <v>409</v>
      </c>
      <c r="AIF2" s="5" t="s">
        <v>409</v>
      </c>
      <c r="AIG2" s="5" t="s">
        <v>409</v>
      </c>
      <c r="AIH2" s="5" t="s">
        <v>409</v>
      </c>
      <c r="AII2" s="5" t="s">
        <v>409</v>
      </c>
      <c r="AIJ2" s="5" t="s">
        <v>409</v>
      </c>
      <c r="AIK2" s="5" t="s">
        <v>409</v>
      </c>
      <c r="AIL2" s="5" t="s">
        <v>409</v>
      </c>
      <c r="AIM2" s="5" t="s">
        <v>409</v>
      </c>
      <c r="AIN2" s="5" t="s">
        <v>409</v>
      </c>
      <c r="AIO2" s="5" t="s">
        <v>409</v>
      </c>
      <c r="AIP2" s="5" t="s">
        <v>409</v>
      </c>
      <c r="AIQ2" s="5" t="s">
        <v>409</v>
      </c>
      <c r="AIR2" s="5" t="s">
        <v>409</v>
      </c>
      <c r="AIS2" s="5" t="s">
        <v>409</v>
      </c>
      <c r="AIT2" s="5" t="s">
        <v>409</v>
      </c>
      <c r="AIU2" s="5" t="s">
        <v>409</v>
      </c>
      <c r="AIV2" s="5" t="s">
        <v>409</v>
      </c>
      <c r="AIW2" s="5" t="s">
        <v>409</v>
      </c>
      <c r="AIX2" s="5" t="s">
        <v>409</v>
      </c>
      <c r="AIY2" s="5" t="s">
        <v>409</v>
      </c>
      <c r="AIZ2" s="5" t="s">
        <v>409</v>
      </c>
      <c r="AJA2" s="5" t="s">
        <v>409</v>
      </c>
      <c r="AJB2" s="5" t="s">
        <v>409</v>
      </c>
      <c r="AJC2" s="5" t="s">
        <v>409</v>
      </c>
      <c r="AJD2" s="5" t="s">
        <v>409</v>
      </c>
      <c r="AJE2" s="5" t="s">
        <v>409</v>
      </c>
      <c r="AJF2" s="5" t="s">
        <v>409</v>
      </c>
      <c r="AJG2" s="5" t="s">
        <v>409</v>
      </c>
      <c r="AJH2" s="5" t="s">
        <v>409</v>
      </c>
      <c r="AJI2" s="5" t="s">
        <v>409</v>
      </c>
      <c r="AJJ2" s="5" t="s">
        <v>409</v>
      </c>
      <c r="AJK2" s="5" t="s">
        <v>409</v>
      </c>
      <c r="AJL2" s="5" t="s">
        <v>409</v>
      </c>
      <c r="AJM2" s="5" t="s">
        <v>409</v>
      </c>
      <c r="AJN2" s="5" t="s">
        <v>409</v>
      </c>
      <c r="AJO2" s="5" t="s">
        <v>409</v>
      </c>
      <c r="AJP2" s="5" t="s">
        <v>409</v>
      </c>
      <c r="AJQ2" s="5" t="s">
        <v>409</v>
      </c>
      <c r="AJR2" s="5" t="s">
        <v>409</v>
      </c>
      <c r="AJS2" s="5" t="s">
        <v>409</v>
      </c>
      <c r="AJT2" s="5" t="s">
        <v>409</v>
      </c>
      <c r="AJU2" s="5" t="s">
        <v>409</v>
      </c>
      <c r="AJV2" s="5" t="s">
        <v>409</v>
      </c>
      <c r="AJW2" s="5" t="s">
        <v>409</v>
      </c>
      <c r="AJX2" s="5" t="s">
        <v>409</v>
      </c>
      <c r="AJY2" s="5" t="s">
        <v>409</v>
      </c>
      <c r="AJZ2" s="5" t="s">
        <v>409</v>
      </c>
      <c r="AKA2" s="5" t="s">
        <v>409</v>
      </c>
      <c r="AKB2" s="5" t="s">
        <v>409</v>
      </c>
      <c r="AKC2" s="5" t="s">
        <v>409</v>
      </c>
      <c r="AKD2" s="5" t="s">
        <v>409</v>
      </c>
      <c r="AKE2" s="5" t="s">
        <v>409</v>
      </c>
      <c r="AKF2" s="5" t="s">
        <v>409</v>
      </c>
      <c r="AKG2" s="5" t="s">
        <v>409</v>
      </c>
      <c r="AKH2" s="5" t="s">
        <v>409</v>
      </c>
      <c r="AKI2" s="5" t="s">
        <v>409</v>
      </c>
      <c r="AKJ2" s="5" t="s">
        <v>409</v>
      </c>
      <c r="AKK2" s="5" t="s">
        <v>409</v>
      </c>
      <c r="AKL2" s="5" t="s">
        <v>409</v>
      </c>
      <c r="AKM2" s="5" t="s">
        <v>409</v>
      </c>
      <c r="AKN2" s="5" t="s">
        <v>409</v>
      </c>
      <c r="AKO2" s="5" t="s">
        <v>409</v>
      </c>
      <c r="AKP2" s="5" t="s">
        <v>409</v>
      </c>
      <c r="AKQ2" s="5" t="s">
        <v>409</v>
      </c>
      <c r="AKR2" s="5" t="s">
        <v>409</v>
      </c>
      <c r="AKS2" s="5" t="s">
        <v>409</v>
      </c>
      <c r="AKT2" s="5" t="s">
        <v>409</v>
      </c>
      <c r="AKU2" s="5" t="s">
        <v>409</v>
      </c>
      <c r="AKV2" s="5" t="s">
        <v>409</v>
      </c>
      <c r="AKW2" s="5" t="s">
        <v>409</v>
      </c>
      <c r="AKX2" s="5" t="s">
        <v>409</v>
      </c>
      <c r="AKY2" s="5" t="s">
        <v>409</v>
      </c>
      <c r="AKZ2" s="5" t="s">
        <v>409</v>
      </c>
      <c r="ALA2" s="5" t="s">
        <v>409</v>
      </c>
      <c r="ALB2" s="5" t="s">
        <v>409</v>
      </c>
      <c r="ALC2" s="5" t="s">
        <v>409</v>
      </c>
      <c r="ALD2" s="5" t="s">
        <v>409</v>
      </c>
      <c r="ALE2" s="5" t="s">
        <v>409</v>
      </c>
      <c r="ALF2" s="5" t="s">
        <v>409</v>
      </c>
      <c r="ALG2" s="5" t="s">
        <v>409</v>
      </c>
      <c r="ALH2" s="5" t="s">
        <v>409</v>
      </c>
      <c r="ALI2" s="5" t="s">
        <v>409</v>
      </c>
      <c r="ALJ2" s="5" t="s">
        <v>409</v>
      </c>
      <c r="ALK2" s="5" t="s">
        <v>409</v>
      </c>
      <c r="ALL2" s="5" t="s">
        <v>409</v>
      </c>
      <c r="ALM2" s="5" t="s">
        <v>409</v>
      </c>
      <c r="ALN2" s="5" t="s">
        <v>409</v>
      </c>
      <c r="ALO2" s="5" t="s">
        <v>409</v>
      </c>
      <c r="ALP2" s="5" t="s">
        <v>409</v>
      </c>
      <c r="ALQ2" s="5" t="s">
        <v>409</v>
      </c>
      <c r="ALR2" s="5" t="s">
        <v>409</v>
      </c>
      <c r="ALS2" s="5" t="s">
        <v>409</v>
      </c>
      <c r="ALT2" s="5" t="s">
        <v>409</v>
      </c>
      <c r="ALU2" s="5" t="s">
        <v>409</v>
      </c>
      <c r="ALV2" s="5" t="s">
        <v>409</v>
      </c>
      <c r="ALW2" s="5" t="s">
        <v>409</v>
      </c>
      <c r="ALX2" s="5" t="s">
        <v>409</v>
      </c>
      <c r="ALY2" s="5" t="s">
        <v>409</v>
      </c>
      <c r="ALZ2" s="5" t="s">
        <v>409</v>
      </c>
      <c r="AMA2" s="5" t="s">
        <v>409</v>
      </c>
      <c r="AMB2" s="5" t="s">
        <v>409</v>
      </c>
      <c r="AMC2" s="5" t="s">
        <v>409</v>
      </c>
      <c r="AMD2" s="5" t="s">
        <v>409</v>
      </c>
      <c r="AME2" s="5" t="s">
        <v>409</v>
      </c>
      <c r="AMF2" s="5" t="s">
        <v>409</v>
      </c>
      <c r="AMG2" s="5" t="s">
        <v>409</v>
      </c>
      <c r="AMH2" s="5" t="s">
        <v>409</v>
      </c>
      <c r="AMI2" s="5" t="s">
        <v>409</v>
      </c>
      <c r="AMJ2" s="5" t="s">
        <v>409</v>
      </c>
      <c r="AMK2" s="5" t="s">
        <v>409</v>
      </c>
      <c r="AML2" s="5" t="s">
        <v>409</v>
      </c>
      <c r="AMM2" s="5" t="s">
        <v>409</v>
      </c>
      <c r="AMN2" s="5" t="s">
        <v>409</v>
      </c>
      <c r="AMO2" s="5" t="s">
        <v>409</v>
      </c>
      <c r="AMP2" s="5" t="s">
        <v>409</v>
      </c>
      <c r="AMQ2" s="5" t="s">
        <v>409</v>
      </c>
      <c r="AMR2" s="5" t="s">
        <v>409</v>
      </c>
      <c r="AMS2" s="5" t="s">
        <v>409</v>
      </c>
      <c r="AMT2" s="5" t="s">
        <v>409</v>
      </c>
      <c r="AMU2" s="5" t="s">
        <v>409</v>
      </c>
      <c r="AMV2" s="5" t="s">
        <v>409</v>
      </c>
      <c r="AMW2" s="5" t="s">
        <v>409</v>
      </c>
      <c r="AMX2" s="5" t="s">
        <v>409</v>
      </c>
      <c r="AMY2" s="5" t="s">
        <v>409</v>
      </c>
      <c r="AMZ2" s="5" t="s">
        <v>409</v>
      </c>
      <c r="ANA2" s="5" t="s">
        <v>409</v>
      </c>
      <c r="ANB2" s="5" t="s">
        <v>409</v>
      </c>
      <c r="ANC2" s="5" t="s">
        <v>409</v>
      </c>
      <c r="AND2" s="5" t="s">
        <v>409</v>
      </c>
      <c r="ANE2" s="5" t="s">
        <v>409</v>
      </c>
      <c r="ANF2" s="5" t="s">
        <v>409</v>
      </c>
      <c r="ANG2" s="5" t="s">
        <v>409</v>
      </c>
      <c r="ANH2" s="5" t="s">
        <v>409</v>
      </c>
      <c r="ANI2" s="5" t="s">
        <v>409</v>
      </c>
      <c r="ANJ2" s="5" t="s">
        <v>409</v>
      </c>
      <c r="ANK2" s="5" t="s">
        <v>409</v>
      </c>
      <c r="ANL2" s="5" t="s">
        <v>409</v>
      </c>
      <c r="ANM2" s="5" t="s">
        <v>409</v>
      </c>
      <c r="ANN2" s="5" t="s">
        <v>409</v>
      </c>
      <c r="ANO2" s="5" t="s">
        <v>409</v>
      </c>
      <c r="ANP2" s="5" t="s">
        <v>409</v>
      </c>
      <c r="ANQ2" s="5" t="s">
        <v>409</v>
      </c>
      <c r="ANR2" s="5" t="s">
        <v>409</v>
      </c>
      <c r="ANS2" s="5" t="s">
        <v>409</v>
      </c>
      <c r="ANT2" s="5" t="s">
        <v>409</v>
      </c>
      <c r="ANU2" s="5" t="s">
        <v>409</v>
      </c>
      <c r="ANV2" s="5" t="s">
        <v>409</v>
      </c>
      <c r="ANW2" s="5" t="s">
        <v>409</v>
      </c>
      <c r="ANX2" s="5" t="s">
        <v>409</v>
      </c>
      <c r="ANY2" s="5" t="s">
        <v>409</v>
      </c>
      <c r="ANZ2" s="5" t="s">
        <v>409</v>
      </c>
      <c r="AOA2" s="5" t="s">
        <v>409</v>
      </c>
      <c r="AOB2" s="5" t="s">
        <v>409</v>
      </c>
      <c r="AOC2" s="5" t="s">
        <v>409</v>
      </c>
      <c r="AOD2" s="5" t="s">
        <v>409</v>
      </c>
      <c r="AOE2" s="5" t="s">
        <v>409</v>
      </c>
      <c r="AOF2" s="5" t="s">
        <v>409</v>
      </c>
      <c r="AOG2" s="5" t="s">
        <v>409</v>
      </c>
      <c r="AOH2" s="5" t="s">
        <v>409</v>
      </c>
      <c r="AOI2" s="5" t="s">
        <v>409</v>
      </c>
      <c r="AOJ2" s="5" t="s">
        <v>409</v>
      </c>
      <c r="AOK2" s="5" t="s">
        <v>409</v>
      </c>
      <c r="AOL2" s="5" t="s">
        <v>409</v>
      </c>
      <c r="AOM2" s="5" t="s">
        <v>409</v>
      </c>
      <c r="AON2" s="5" t="s">
        <v>409</v>
      </c>
      <c r="AOO2" s="5" t="s">
        <v>409</v>
      </c>
      <c r="AOP2" s="5" t="s">
        <v>409</v>
      </c>
      <c r="AOQ2" s="5" t="s">
        <v>409</v>
      </c>
      <c r="AOR2" s="5" t="s">
        <v>409</v>
      </c>
      <c r="AOS2" s="5" t="s">
        <v>409</v>
      </c>
      <c r="AOT2" s="5" t="s">
        <v>409</v>
      </c>
      <c r="AOU2" s="5" t="s">
        <v>409</v>
      </c>
      <c r="AOV2" s="5" t="s">
        <v>409</v>
      </c>
      <c r="AOW2" s="5" t="s">
        <v>409</v>
      </c>
      <c r="AOX2" s="5" t="s">
        <v>409</v>
      </c>
      <c r="AOY2" s="5" t="s">
        <v>409</v>
      </c>
      <c r="AOZ2" s="5" t="s">
        <v>409</v>
      </c>
      <c r="APA2" s="5" t="s">
        <v>409</v>
      </c>
      <c r="APB2" s="5" t="s">
        <v>409</v>
      </c>
      <c r="APC2" s="5" t="s">
        <v>409</v>
      </c>
      <c r="APD2" s="5" t="s">
        <v>409</v>
      </c>
      <c r="APE2" s="5" t="s">
        <v>409</v>
      </c>
      <c r="APF2" s="5" t="s">
        <v>409</v>
      </c>
      <c r="APG2" s="5" t="s">
        <v>409</v>
      </c>
      <c r="APH2" s="5" t="s">
        <v>409</v>
      </c>
      <c r="API2" s="5" t="s">
        <v>409</v>
      </c>
      <c r="APJ2" s="5" t="s">
        <v>409</v>
      </c>
      <c r="APK2" s="5" t="s">
        <v>409</v>
      </c>
      <c r="APL2" s="5" t="s">
        <v>409</v>
      </c>
      <c r="APM2" s="5" t="s">
        <v>409</v>
      </c>
      <c r="APN2" s="5" t="s">
        <v>409</v>
      </c>
      <c r="APO2" s="5" t="s">
        <v>409</v>
      </c>
      <c r="APP2" s="5" t="s">
        <v>409</v>
      </c>
      <c r="APQ2" s="5" t="s">
        <v>409</v>
      </c>
      <c r="APR2" s="5" t="s">
        <v>409</v>
      </c>
      <c r="APS2" s="5" t="s">
        <v>409</v>
      </c>
      <c r="APT2" s="5" t="s">
        <v>409</v>
      </c>
      <c r="APU2" s="5" t="s">
        <v>409</v>
      </c>
      <c r="APV2" s="5" t="s">
        <v>409</v>
      </c>
      <c r="APW2" s="5" t="s">
        <v>409</v>
      </c>
      <c r="APX2" s="5" t="s">
        <v>409</v>
      </c>
      <c r="APY2" s="5" t="s">
        <v>409</v>
      </c>
      <c r="APZ2" s="5" t="s">
        <v>409</v>
      </c>
      <c r="AQA2" s="5" t="s">
        <v>409</v>
      </c>
      <c r="AQB2" s="5" t="s">
        <v>409</v>
      </c>
      <c r="AQC2" s="5" t="s">
        <v>409</v>
      </c>
      <c r="AQD2" s="5" t="s">
        <v>409</v>
      </c>
      <c r="AQE2" s="5" t="s">
        <v>409</v>
      </c>
      <c r="AQF2" s="5" t="s">
        <v>409</v>
      </c>
      <c r="AQG2" s="5" t="s">
        <v>409</v>
      </c>
      <c r="AQH2" s="5" t="s">
        <v>409</v>
      </c>
      <c r="AQI2" s="5" t="s">
        <v>409</v>
      </c>
      <c r="AQJ2" s="5" t="s">
        <v>409</v>
      </c>
      <c r="AQK2" s="5" t="s">
        <v>409</v>
      </c>
      <c r="AQL2" s="5" t="s">
        <v>409</v>
      </c>
      <c r="AQM2" s="5" t="s">
        <v>409</v>
      </c>
      <c r="AQN2" s="5" t="s">
        <v>409</v>
      </c>
      <c r="AQO2" s="5" t="s">
        <v>409</v>
      </c>
      <c r="AQP2" s="5" t="s">
        <v>409</v>
      </c>
      <c r="AQQ2" s="5" t="s">
        <v>409</v>
      </c>
      <c r="AQR2" s="5" t="s">
        <v>409</v>
      </c>
      <c r="AQS2" s="5" t="s">
        <v>409</v>
      </c>
      <c r="AQT2" s="5" t="s">
        <v>409</v>
      </c>
      <c r="AQU2" s="5" t="s">
        <v>409</v>
      </c>
      <c r="AQV2" s="5" t="s">
        <v>409</v>
      </c>
      <c r="AQW2" s="5" t="s">
        <v>409</v>
      </c>
      <c r="AQX2" s="5" t="s">
        <v>409</v>
      </c>
      <c r="AQY2" s="5" t="s">
        <v>409</v>
      </c>
      <c r="AQZ2" s="5" t="s">
        <v>409</v>
      </c>
      <c r="ARA2" s="5" t="s">
        <v>409</v>
      </c>
      <c r="ARB2" s="5" t="s">
        <v>409</v>
      </c>
      <c r="ARC2" s="5" t="s">
        <v>409</v>
      </c>
      <c r="ARD2" s="5" t="s">
        <v>409</v>
      </c>
      <c r="ARE2" s="5" t="s">
        <v>409</v>
      </c>
      <c r="ARF2" s="5" t="s">
        <v>409</v>
      </c>
      <c r="ARG2" s="5" t="s">
        <v>409</v>
      </c>
      <c r="ARH2" s="5" t="s">
        <v>409</v>
      </c>
      <c r="ARI2" s="5" t="s">
        <v>409</v>
      </c>
      <c r="ARJ2" s="5" t="s">
        <v>409</v>
      </c>
      <c r="ARK2" s="5" t="s">
        <v>409</v>
      </c>
      <c r="ARL2" s="5" t="s">
        <v>409</v>
      </c>
      <c r="ARM2" s="5" t="s">
        <v>409</v>
      </c>
      <c r="ARN2" s="5" t="s">
        <v>409</v>
      </c>
      <c r="ARO2" s="5" t="s">
        <v>409</v>
      </c>
      <c r="ARP2" s="5" t="s">
        <v>409</v>
      </c>
      <c r="ARQ2" s="5" t="s">
        <v>409</v>
      </c>
      <c r="ARR2" s="5" t="s">
        <v>409</v>
      </c>
      <c r="ARS2" s="5" t="s">
        <v>409</v>
      </c>
      <c r="ART2" s="5" t="s">
        <v>409</v>
      </c>
      <c r="ARU2" s="5" t="s">
        <v>409</v>
      </c>
      <c r="ARV2" s="5" t="s">
        <v>409</v>
      </c>
      <c r="ARW2" s="5" t="s">
        <v>409</v>
      </c>
      <c r="ARX2" s="5" t="s">
        <v>409</v>
      </c>
      <c r="ARY2" s="5" t="s">
        <v>409</v>
      </c>
      <c r="ARZ2" s="5" t="s">
        <v>409</v>
      </c>
      <c r="ASA2" s="5" t="s">
        <v>409</v>
      </c>
      <c r="ASB2" s="5" t="s">
        <v>409</v>
      </c>
      <c r="ASC2" s="5" t="s">
        <v>409</v>
      </c>
      <c r="ASD2" s="5" t="s">
        <v>409</v>
      </c>
      <c r="ASE2" s="5" t="s">
        <v>409</v>
      </c>
      <c r="ASF2" s="5" t="s">
        <v>409</v>
      </c>
      <c r="ASG2" s="5" t="s">
        <v>409</v>
      </c>
      <c r="ASH2" s="5" t="s">
        <v>409</v>
      </c>
      <c r="ASI2" s="5" t="s">
        <v>409</v>
      </c>
      <c r="ASJ2" s="5" t="s">
        <v>409</v>
      </c>
      <c r="ASK2" s="5" t="s">
        <v>409</v>
      </c>
      <c r="ASL2" s="5" t="s">
        <v>409</v>
      </c>
      <c r="ASM2" s="5" t="s">
        <v>409</v>
      </c>
      <c r="ASN2" s="5" t="s">
        <v>409</v>
      </c>
      <c r="ASO2" s="5" t="s">
        <v>409</v>
      </c>
      <c r="ASP2" s="5" t="s">
        <v>409</v>
      </c>
      <c r="ASQ2" s="5" t="s">
        <v>409</v>
      </c>
      <c r="ASR2" s="5" t="s">
        <v>409</v>
      </c>
      <c r="ASS2" s="5" t="s">
        <v>409</v>
      </c>
      <c r="AST2" s="5" t="s">
        <v>409</v>
      </c>
      <c r="ASU2" s="5" t="s">
        <v>409</v>
      </c>
      <c r="ASV2" s="5" t="s">
        <v>409</v>
      </c>
      <c r="ASW2" s="5" t="s">
        <v>409</v>
      </c>
      <c r="ASX2" s="5" t="s">
        <v>409</v>
      </c>
      <c r="ASY2" s="5" t="s">
        <v>409</v>
      </c>
      <c r="ASZ2" s="5" t="s">
        <v>409</v>
      </c>
      <c r="ATA2" s="5" t="s">
        <v>409</v>
      </c>
      <c r="ATB2" s="5" t="s">
        <v>409</v>
      </c>
      <c r="ATC2" s="5" t="s">
        <v>409</v>
      </c>
      <c r="ATD2" s="5" t="s">
        <v>409</v>
      </c>
      <c r="ATE2" s="5" t="s">
        <v>409</v>
      </c>
      <c r="ATF2" s="5" t="s">
        <v>409</v>
      </c>
      <c r="ATG2" s="5" t="s">
        <v>409</v>
      </c>
      <c r="ATH2" s="5" t="s">
        <v>409</v>
      </c>
      <c r="ATI2" s="5" t="s">
        <v>409</v>
      </c>
      <c r="ATJ2" s="5" t="s">
        <v>409</v>
      </c>
      <c r="ATK2" s="5" t="s">
        <v>409</v>
      </c>
      <c r="ATL2" s="5" t="s">
        <v>409</v>
      </c>
      <c r="ATM2" s="5" t="s">
        <v>409</v>
      </c>
      <c r="ATN2" s="5" t="s">
        <v>409</v>
      </c>
      <c r="ATO2" s="5" t="s">
        <v>409</v>
      </c>
      <c r="ATP2" s="5" t="s">
        <v>409</v>
      </c>
      <c r="ATQ2" s="5" t="s">
        <v>409</v>
      </c>
      <c r="ATR2" s="5" t="s">
        <v>409</v>
      </c>
      <c r="ATS2" s="5" t="s">
        <v>409</v>
      </c>
      <c r="ATT2" s="5" t="s">
        <v>409</v>
      </c>
      <c r="ATU2" s="5" t="s">
        <v>409</v>
      </c>
      <c r="ATV2" s="5" t="s">
        <v>409</v>
      </c>
      <c r="ATW2" s="5" t="s">
        <v>409</v>
      </c>
      <c r="ATX2" s="5" t="s">
        <v>409</v>
      </c>
      <c r="ATY2" s="5" t="s">
        <v>409</v>
      </c>
      <c r="ATZ2" s="5" t="s">
        <v>409</v>
      </c>
      <c r="AUA2" s="5" t="s">
        <v>409</v>
      </c>
      <c r="AUB2" s="5" t="s">
        <v>409</v>
      </c>
      <c r="AUC2" s="5" t="s">
        <v>409</v>
      </c>
      <c r="AUD2" s="5" t="s">
        <v>409</v>
      </c>
      <c r="AUE2" s="5" t="s">
        <v>409</v>
      </c>
      <c r="AUF2" s="5" t="s">
        <v>409</v>
      </c>
      <c r="AUG2" s="5" t="s">
        <v>409</v>
      </c>
      <c r="AUH2" s="5" t="s">
        <v>409</v>
      </c>
      <c r="AUI2" s="5" t="s">
        <v>409</v>
      </c>
      <c r="AUJ2" s="5" t="s">
        <v>409</v>
      </c>
      <c r="AUK2" s="5" t="s">
        <v>409</v>
      </c>
      <c r="AUL2" s="5" t="s">
        <v>409</v>
      </c>
      <c r="AUM2" s="5" t="s">
        <v>409</v>
      </c>
      <c r="AUN2" s="5" t="s">
        <v>409</v>
      </c>
      <c r="AUO2" s="5" t="s">
        <v>409</v>
      </c>
      <c r="AUP2" s="5" t="s">
        <v>409</v>
      </c>
      <c r="AUQ2" s="5" t="s">
        <v>409</v>
      </c>
      <c r="AUR2" s="5" t="s">
        <v>409</v>
      </c>
      <c r="AUS2" s="5" t="s">
        <v>409</v>
      </c>
      <c r="AUT2" s="5" t="s">
        <v>409</v>
      </c>
      <c r="AUU2" s="5" t="s">
        <v>409</v>
      </c>
      <c r="AUV2" s="5" t="s">
        <v>409</v>
      </c>
      <c r="AUW2" s="5" t="s">
        <v>409</v>
      </c>
      <c r="AUX2" s="5" t="s">
        <v>409</v>
      </c>
      <c r="AUY2" s="5" t="s">
        <v>409</v>
      </c>
      <c r="AUZ2" s="5" t="s">
        <v>409</v>
      </c>
      <c r="AVA2" s="5" t="s">
        <v>409</v>
      </c>
      <c r="AVB2" s="5" t="s">
        <v>409</v>
      </c>
      <c r="AVC2" s="5" t="s">
        <v>409</v>
      </c>
      <c r="AVD2" s="5" t="s">
        <v>409</v>
      </c>
      <c r="AVE2" s="5" t="s">
        <v>409</v>
      </c>
      <c r="AVF2" s="5" t="s">
        <v>409</v>
      </c>
      <c r="AVG2" s="5" t="s">
        <v>409</v>
      </c>
      <c r="AVH2" s="5" t="s">
        <v>409</v>
      </c>
      <c r="AVI2" s="5" t="s">
        <v>409</v>
      </c>
      <c r="AVJ2" s="5" t="s">
        <v>409</v>
      </c>
      <c r="AVK2" s="5" t="s">
        <v>409</v>
      </c>
      <c r="AVL2" s="5" t="s">
        <v>409</v>
      </c>
      <c r="AVM2" s="5" t="s">
        <v>409</v>
      </c>
      <c r="AVN2" s="5" t="s">
        <v>409</v>
      </c>
      <c r="AVO2" s="5" t="s">
        <v>409</v>
      </c>
      <c r="AVP2" s="5" t="s">
        <v>409</v>
      </c>
      <c r="AVQ2" s="5" t="s">
        <v>409</v>
      </c>
      <c r="AVR2" s="5" t="s">
        <v>409</v>
      </c>
      <c r="AVS2" s="5" t="s">
        <v>409</v>
      </c>
      <c r="AVT2" s="5" t="s">
        <v>409</v>
      </c>
      <c r="AVU2" s="5" t="s">
        <v>409</v>
      </c>
      <c r="AVV2" s="5" t="s">
        <v>409</v>
      </c>
      <c r="AVW2" s="5" t="s">
        <v>409</v>
      </c>
      <c r="AVX2" s="5" t="s">
        <v>409</v>
      </c>
      <c r="AVY2" s="5" t="s">
        <v>409</v>
      </c>
      <c r="AVZ2" s="5" t="s">
        <v>409</v>
      </c>
      <c r="AWA2" s="5" t="s">
        <v>409</v>
      </c>
      <c r="AWB2" s="5" t="s">
        <v>409</v>
      </c>
      <c r="AWC2" s="5" t="s">
        <v>409</v>
      </c>
      <c r="AWD2" s="5" t="s">
        <v>409</v>
      </c>
      <c r="AWE2" s="5" t="s">
        <v>409</v>
      </c>
      <c r="AWF2" s="5" t="s">
        <v>409</v>
      </c>
      <c r="AWG2" s="5" t="s">
        <v>409</v>
      </c>
      <c r="AWH2" s="5" t="s">
        <v>409</v>
      </c>
      <c r="AWI2" s="5" t="s">
        <v>409</v>
      </c>
      <c r="AWJ2" s="5" t="s">
        <v>409</v>
      </c>
      <c r="AWK2" s="5" t="s">
        <v>409</v>
      </c>
      <c r="AWL2" s="5" t="s">
        <v>409</v>
      </c>
      <c r="AWM2" s="5" t="s">
        <v>409</v>
      </c>
      <c r="AWN2" s="5" t="s">
        <v>409</v>
      </c>
      <c r="AWO2" s="5" t="s">
        <v>409</v>
      </c>
      <c r="AWP2" s="5" t="s">
        <v>409</v>
      </c>
      <c r="AWQ2" s="5" t="s">
        <v>409</v>
      </c>
      <c r="AWR2" s="5" t="s">
        <v>409</v>
      </c>
      <c r="AWS2" s="5" t="s">
        <v>409</v>
      </c>
      <c r="AWT2" s="5" t="s">
        <v>409</v>
      </c>
      <c r="AWU2" s="5" t="s">
        <v>409</v>
      </c>
      <c r="AWV2" s="5" t="s">
        <v>409</v>
      </c>
      <c r="AWW2" s="5" t="s">
        <v>409</v>
      </c>
      <c r="AWX2" s="5" t="s">
        <v>409</v>
      </c>
      <c r="AWY2" s="5" t="s">
        <v>409</v>
      </c>
      <c r="AWZ2" s="5" t="s">
        <v>409</v>
      </c>
      <c r="AXA2" s="5" t="s">
        <v>409</v>
      </c>
      <c r="AXB2" s="5" t="s">
        <v>409</v>
      </c>
      <c r="AXC2" s="5" t="s">
        <v>409</v>
      </c>
      <c r="AXD2" s="5" t="s">
        <v>409</v>
      </c>
      <c r="AXE2" s="5" t="s">
        <v>409</v>
      </c>
      <c r="AXF2" s="5" t="s">
        <v>409</v>
      </c>
      <c r="AXG2" s="5" t="s">
        <v>409</v>
      </c>
      <c r="AXH2" s="5" t="s">
        <v>409</v>
      </c>
      <c r="AXI2" s="5" t="s">
        <v>409</v>
      </c>
      <c r="AXJ2" s="5" t="s">
        <v>409</v>
      </c>
      <c r="AXK2" s="5" t="s">
        <v>409</v>
      </c>
      <c r="AXL2" s="5" t="s">
        <v>409</v>
      </c>
      <c r="AXM2" s="5" t="s">
        <v>409</v>
      </c>
      <c r="AXN2" s="5" t="s">
        <v>409</v>
      </c>
      <c r="AXO2" s="5" t="s">
        <v>409</v>
      </c>
      <c r="AXP2" s="5" t="s">
        <v>409</v>
      </c>
      <c r="AXQ2" s="5" t="s">
        <v>409</v>
      </c>
      <c r="AXR2" s="5" t="s">
        <v>409</v>
      </c>
      <c r="AXS2" s="5" t="s">
        <v>409</v>
      </c>
      <c r="AXT2" s="5" t="s">
        <v>409</v>
      </c>
      <c r="AXU2" s="5" t="s">
        <v>409</v>
      </c>
      <c r="AXV2" s="5" t="s">
        <v>409</v>
      </c>
      <c r="AXW2" s="5" t="s">
        <v>409</v>
      </c>
      <c r="AXX2" s="5" t="s">
        <v>409</v>
      </c>
      <c r="AXY2" s="5" t="s">
        <v>409</v>
      </c>
      <c r="AXZ2" s="5" t="s">
        <v>409</v>
      </c>
      <c r="AYA2" s="5" t="s">
        <v>409</v>
      </c>
      <c r="AYB2" s="5" t="s">
        <v>409</v>
      </c>
      <c r="AYC2" s="5" t="s">
        <v>409</v>
      </c>
      <c r="AYD2" s="5" t="s">
        <v>409</v>
      </c>
      <c r="AYE2" s="5" t="s">
        <v>409</v>
      </c>
      <c r="AYF2" s="5" t="s">
        <v>409</v>
      </c>
      <c r="AYG2" s="5" t="s">
        <v>409</v>
      </c>
      <c r="AYH2" s="5" t="s">
        <v>409</v>
      </c>
      <c r="AYI2" s="5" t="s">
        <v>409</v>
      </c>
      <c r="AYJ2" s="5" t="s">
        <v>409</v>
      </c>
      <c r="AYK2" s="5" t="s">
        <v>409</v>
      </c>
      <c r="AYL2" s="5" t="s">
        <v>409</v>
      </c>
      <c r="AYM2" s="5" t="s">
        <v>409</v>
      </c>
      <c r="AYN2" s="5" t="s">
        <v>409</v>
      </c>
      <c r="AYO2" s="5" t="s">
        <v>409</v>
      </c>
      <c r="AYP2" s="5" t="s">
        <v>409</v>
      </c>
      <c r="AYQ2" s="5" t="s">
        <v>409</v>
      </c>
      <c r="AYR2" s="5" t="s">
        <v>409</v>
      </c>
      <c r="AYS2" s="5" t="s">
        <v>409</v>
      </c>
      <c r="AYT2" s="5" t="s">
        <v>409</v>
      </c>
      <c r="AYU2" s="5" t="s">
        <v>409</v>
      </c>
      <c r="AYV2" s="5" t="s">
        <v>409</v>
      </c>
      <c r="AYW2" s="5" t="s">
        <v>409</v>
      </c>
      <c r="AYX2" s="5" t="s">
        <v>409</v>
      </c>
      <c r="AYY2" s="5" t="s">
        <v>409</v>
      </c>
      <c r="AYZ2" s="5" t="s">
        <v>409</v>
      </c>
      <c r="AZA2" s="5" t="s">
        <v>409</v>
      </c>
      <c r="AZB2" s="5" t="s">
        <v>409</v>
      </c>
      <c r="AZC2" s="5" t="s">
        <v>409</v>
      </c>
      <c r="AZD2" s="5" t="s">
        <v>409</v>
      </c>
      <c r="AZE2" s="5" t="s">
        <v>409</v>
      </c>
      <c r="AZF2" s="5" t="s">
        <v>409</v>
      </c>
      <c r="AZG2" s="5" t="s">
        <v>409</v>
      </c>
      <c r="AZH2" s="5" t="s">
        <v>409</v>
      </c>
      <c r="AZI2" s="5" t="s">
        <v>409</v>
      </c>
      <c r="AZJ2" s="5" t="s">
        <v>409</v>
      </c>
      <c r="AZK2" s="5" t="s">
        <v>409</v>
      </c>
      <c r="AZL2" s="5" t="s">
        <v>409</v>
      </c>
      <c r="AZM2" s="5" t="s">
        <v>409</v>
      </c>
      <c r="AZN2" s="5" t="s">
        <v>409</v>
      </c>
      <c r="AZO2" s="5" t="s">
        <v>409</v>
      </c>
      <c r="AZP2" s="5" t="s">
        <v>409</v>
      </c>
      <c r="AZQ2" s="5" t="s">
        <v>409</v>
      </c>
      <c r="AZR2" s="5" t="s">
        <v>409</v>
      </c>
      <c r="AZS2" s="5" t="s">
        <v>409</v>
      </c>
      <c r="AZT2" s="5" t="s">
        <v>409</v>
      </c>
      <c r="AZU2" s="5" t="s">
        <v>409</v>
      </c>
      <c r="AZV2" s="5" t="s">
        <v>409</v>
      </c>
      <c r="AZW2" s="5" t="s">
        <v>409</v>
      </c>
      <c r="AZX2" s="5" t="s">
        <v>409</v>
      </c>
      <c r="AZY2" s="5" t="s">
        <v>409</v>
      </c>
      <c r="AZZ2" s="5" t="s">
        <v>409</v>
      </c>
      <c r="BAA2" s="5" t="s">
        <v>409</v>
      </c>
      <c r="BAB2" s="5" t="s">
        <v>409</v>
      </c>
      <c r="BAC2" s="5" t="s">
        <v>409</v>
      </c>
      <c r="BAD2" s="5" t="s">
        <v>409</v>
      </c>
      <c r="BAE2" s="5" t="s">
        <v>409</v>
      </c>
      <c r="BAF2" s="5" t="s">
        <v>409</v>
      </c>
      <c r="BAG2" s="5" t="s">
        <v>409</v>
      </c>
      <c r="BAH2" s="5" t="s">
        <v>409</v>
      </c>
      <c r="BAI2" s="5" t="s">
        <v>409</v>
      </c>
      <c r="BAJ2" s="5" t="s">
        <v>409</v>
      </c>
      <c r="BAK2" s="5" t="s">
        <v>409</v>
      </c>
      <c r="BAL2" s="5" t="s">
        <v>409</v>
      </c>
      <c r="BAM2" s="5" t="s">
        <v>409</v>
      </c>
      <c r="BAN2" s="5" t="s">
        <v>409</v>
      </c>
      <c r="BAO2" s="5" t="s">
        <v>409</v>
      </c>
      <c r="BAP2" s="5" t="s">
        <v>409</v>
      </c>
      <c r="BAQ2" s="5" t="s">
        <v>409</v>
      </c>
      <c r="BAR2" s="5" t="s">
        <v>409</v>
      </c>
      <c r="BAS2" s="5" t="s">
        <v>409</v>
      </c>
      <c r="BAT2" s="5" t="s">
        <v>409</v>
      </c>
      <c r="BAU2" s="5" t="s">
        <v>409</v>
      </c>
      <c r="BAV2" s="5" t="s">
        <v>409</v>
      </c>
      <c r="BAW2" s="5" t="s">
        <v>409</v>
      </c>
      <c r="BAX2" s="5" t="s">
        <v>409</v>
      </c>
      <c r="BAY2" s="5" t="s">
        <v>409</v>
      </c>
      <c r="BAZ2" s="5" t="s">
        <v>409</v>
      </c>
      <c r="BBA2" s="5" t="s">
        <v>409</v>
      </c>
      <c r="BBB2" s="5" t="s">
        <v>409</v>
      </c>
      <c r="BBC2" s="5" t="s">
        <v>409</v>
      </c>
      <c r="BBD2" s="5" t="s">
        <v>409</v>
      </c>
      <c r="BBE2" s="5" t="s">
        <v>409</v>
      </c>
      <c r="BBF2" s="5" t="s">
        <v>409</v>
      </c>
      <c r="BBG2" s="5" t="s">
        <v>409</v>
      </c>
      <c r="BBH2" s="5" t="s">
        <v>409</v>
      </c>
      <c r="BBI2" s="5" t="s">
        <v>409</v>
      </c>
      <c r="BBJ2" s="5" t="s">
        <v>409</v>
      </c>
      <c r="BBK2" s="5" t="s">
        <v>409</v>
      </c>
      <c r="BBL2" s="5" t="s">
        <v>409</v>
      </c>
      <c r="BBM2" s="5" t="s">
        <v>409</v>
      </c>
      <c r="BBN2" s="5" t="s">
        <v>409</v>
      </c>
      <c r="BBO2" s="5" t="s">
        <v>409</v>
      </c>
      <c r="BBP2" s="5" t="s">
        <v>409</v>
      </c>
      <c r="BBQ2" s="5" t="s">
        <v>409</v>
      </c>
      <c r="BBR2" s="5" t="s">
        <v>409</v>
      </c>
      <c r="BBS2" s="5" t="s">
        <v>409</v>
      </c>
      <c r="BBT2" s="5" t="s">
        <v>409</v>
      </c>
      <c r="BBU2" s="5" t="s">
        <v>409</v>
      </c>
      <c r="BBV2" s="5" t="s">
        <v>409</v>
      </c>
      <c r="BBW2" s="5" t="s">
        <v>409</v>
      </c>
      <c r="BBX2" s="5" t="s">
        <v>409</v>
      </c>
      <c r="BBY2" s="5" t="s">
        <v>409</v>
      </c>
      <c r="BBZ2" s="5" t="s">
        <v>409</v>
      </c>
      <c r="BCA2" s="5" t="s">
        <v>409</v>
      </c>
      <c r="BCB2" s="5" t="s">
        <v>409</v>
      </c>
      <c r="BCC2" s="5" t="s">
        <v>409</v>
      </c>
      <c r="BCD2" s="5" t="s">
        <v>409</v>
      </c>
      <c r="BCE2" s="5" t="s">
        <v>409</v>
      </c>
      <c r="BCF2" s="5" t="s">
        <v>409</v>
      </c>
      <c r="BCG2" s="5" t="s">
        <v>409</v>
      </c>
      <c r="BCH2" s="5" t="s">
        <v>409</v>
      </c>
      <c r="BCI2" s="5" t="s">
        <v>409</v>
      </c>
      <c r="BCJ2" s="5" t="s">
        <v>409</v>
      </c>
      <c r="BCK2" s="5" t="s">
        <v>409</v>
      </c>
      <c r="BCL2" s="5" t="s">
        <v>409</v>
      </c>
      <c r="BCM2" s="5" t="s">
        <v>409</v>
      </c>
      <c r="BCN2" s="5" t="s">
        <v>409</v>
      </c>
      <c r="BCO2" s="5" t="s">
        <v>409</v>
      </c>
      <c r="BCP2" s="5" t="s">
        <v>409</v>
      </c>
      <c r="BCQ2" s="5" t="s">
        <v>409</v>
      </c>
      <c r="BCR2" s="5" t="s">
        <v>409</v>
      </c>
      <c r="BCS2" s="5" t="s">
        <v>409</v>
      </c>
      <c r="BCT2" s="5" t="s">
        <v>409</v>
      </c>
      <c r="BCU2" s="5" t="s">
        <v>409</v>
      </c>
      <c r="BCV2" s="5" t="s">
        <v>409</v>
      </c>
      <c r="BCW2" s="5" t="s">
        <v>409</v>
      </c>
      <c r="BCX2" s="5" t="s">
        <v>409</v>
      </c>
      <c r="BCY2" s="5" t="s">
        <v>409</v>
      </c>
      <c r="BCZ2" s="5" t="s">
        <v>409</v>
      </c>
      <c r="BDA2" s="5" t="s">
        <v>409</v>
      </c>
      <c r="BDB2" s="5" t="s">
        <v>409</v>
      </c>
      <c r="BDC2" s="5" t="s">
        <v>409</v>
      </c>
      <c r="BDD2" s="5" t="s">
        <v>409</v>
      </c>
      <c r="BDE2" s="5" t="s">
        <v>409</v>
      </c>
      <c r="BDF2" s="5" t="s">
        <v>409</v>
      </c>
      <c r="BDG2" s="5" t="s">
        <v>409</v>
      </c>
      <c r="BDH2" s="5" t="s">
        <v>409</v>
      </c>
      <c r="BDI2" s="5" t="s">
        <v>409</v>
      </c>
      <c r="BDJ2" s="5" t="s">
        <v>409</v>
      </c>
      <c r="BDK2" s="5" t="s">
        <v>409</v>
      </c>
      <c r="BDL2" s="5" t="s">
        <v>409</v>
      </c>
      <c r="BDM2" s="5" t="s">
        <v>409</v>
      </c>
      <c r="BDN2" s="5" t="s">
        <v>409</v>
      </c>
      <c r="BDO2" s="5" t="s">
        <v>409</v>
      </c>
      <c r="BDP2" s="5" t="s">
        <v>409</v>
      </c>
      <c r="BDQ2" s="5" t="s">
        <v>409</v>
      </c>
      <c r="BDR2" s="5" t="s">
        <v>409</v>
      </c>
      <c r="BDS2" s="5" t="s">
        <v>409</v>
      </c>
      <c r="BDT2" s="5" t="s">
        <v>409</v>
      </c>
      <c r="BDU2" s="5" t="s">
        <v>409</v>
      </c>
      <c r="BDV2" s="5" t="s">
        <v>409</v>
      </c>
      <c r="BDW2" s="5" t="s">
        <v>409</v>
      </c>
      <c r="BDX2" s="5" t="s">
        <v>409</v>
      </c>
      <c r="BDY2" s="5" t="s">
        <v>409</v>
      </c>
      <c r="BDZ2" s="5" t="s">
        <v>409</v>
      </c>
      <c r="BEA2" s="5" t="s">
        <v>409</v>
      </c>
      <c r="BEB2" s="5" t="s">
        <v>409</v>
      </c>
      <c r="BEC2" s="5" t="s">
        <v>409</v>
      </c>
      <c r="BED2" s="5" t="s">
        <v>409</v>
      </c>
      <c r="BEE2" s="5" t="s">
        <v>409</v>
      </c>
      <c r="BEF2" s="5" t="s">
        <v>409</v>
      </c>
      <c r="BEG2" s="5" t="s">
        <v>409</v>
      </c>
      <c r="BEH2" s="5" t="s">
        <v>409</v>
      </c>
      <c r="BEI2" s="5" t="s">
        <v>409</v>
      </c>
      <c r="BEJ2" s="5" t="s">
        <v>409</v>
      </c>
      <c r="BEK2" s="5" t="s">
        <v>409</v>
      </c>
      <c r="BEL2" s="5" t="s">
        <v>409</v>
      </c>
      <c r="BEM2" s="5" t="s">
        <v>409</v>
      </c>
      <c r="BEN2" s="5" t="s">
        <v>409</v>
      </c>
      <c r="BEO2" s="5" t="s">
        <v>409</v>
      </c>
      <c r="BEP2" s="5" t="s">
        <v>409</v>
      </c>
      <c r="BEQ2" s="5" t="s">
        <v>409</v>
      </c>
      <c r="BER2" s="5" t="s">
        <v>409</v>
      </c>
      <c r="BES2" s="5" t="s">
        <v>409</v>
      </c>
      <c r="BET2" s="5" t="s">
        <v>409</v>
      </c>
      <c r="BEU2" s="5" t="s">
        <v>409</v>
      </c>
      <c r="BEV2" s="5" t="s">
        <v>409</v>
      </c>
      <c r="BEW2" s="5" t="s">
        <v>409</v>
      </c>
      <c r="BEX2" s="5" t="s">
        <v>409</v>
      </c>
      <c r="BEY2" s="5" t="s">
        <v>409</v>
      </c>
      <c r="BEZ2" s="5" t="s">
        <v>409</v>
      </c>
      <c r="BFA2" s="5" t="s">
        <v>409</v>
      </c>
      <c r="BFB2" s="5" t="s">
        <v>409</v>
      </c>
      <c r="BFC2" s="5" t="s">
        <v>409</v>
      </c>
      <c r="BFD2" s="5" t="s">
        <v>409</v>
      </c>
      <c r="BFE2" s="5" t="s">
        <v>409</v>
      </c>
      <c r="BFF2" s="5" t="s">
        <v>409</v>
      </c>
      <c r="BFG2" s="5" t="s">
        <v>409</v>
      </c>
      <c r="BFH2" s="5" t="s">
        <v>409</v>
      </c>
      <c r="BFI2" s="5" t="s">
        <v>409</v>
      </c>
      <c r="BFJ2" s="5" t="s">
        <v>409</v>
      </c>
      <c r="BFK2" s="5" t="s">
        <v>409</v>
      </c>
      <c r="BFL2" s="5" t="s">
        <v>409</v>
      </c>
      <c r="BFM2" s="5" t="s">
        <v>409</v>
      </c>
      <c r="BFN2" s="5" t="s">
        <v>409</v>
      </c>
      <c r="BFO2" s="5" t="s">
        <v>409</v>
      </c>
      <c r="BFP2" s="5" t="s">
        <v>409</v>
      </c>
      <c r="BFQ2" s="5" t="s">
        <v>409</v>
      </c>
      <c r="BFR2" s="5" t="s">
        <v>409</v>
      </c>
      <c r="BFS2" s="5" t="s">
        <v>409</v>
      </c>
      <c r="BFT2" s="5" t="s">
        <v>409</v>
      </c>
      <c r="BFU2" s="5" t="s">
        <v>409</v>
      </c>
      <c r="BFV2" s="5" t="s">
        <v>409</v>
      </c>
      <c r="BFW2" s="5" t="s">
        <v>409</v>
      </c>
      <c r="BFX2" s="5" t="s">
        <v>409</v>
      </c>
      <c r="BFY2" s="5" t="s">
        <v>409</v>
      </c>
      <c r="BFZ2" s="5" t="s">
        <v>409</v>
      </c>
      <c r="BGA2" s="5" t="s">
        <v>409</v>
      </c>
      <c r="BGB2" s="5" t="s">
        <v>409</v>
      </c>
      <c r="BGC2" s="5" t="s">
        <v>409</v>
      </c>
      <c r="BGD2" s="5" t="s">
        <v>409</v>
      </c>
      <c r="BGE2" s="5" t="s">
        <v>409</v>
      </c>
      <c r="BGF2" s="5" t="s">
        <v>409</v>
      </c>
      <c r="BGG2" s="5" t="s">
        <v>409</v>
      </c>
      <c r="BGH2" s="5" t="s">
        <v>409</v>
      </c>
      <c r="BGI2" s="5" t="s">
        <v>409</v>
      </c>
      <c r="BGJ2" s="5" t="s">
        <v>409</v>
      </c>
      <c r="BGK2" s="5" t="s">
        <v>409</v>
      </c>
      <c r="BGL2" s="5" t="s">
        <v>409</v>
      </c>
      <c r="BGM2" s="5" t="s">
        <v>409</v>
      </c>
      <c r="BGN2" s="5" t="s">
        <v>409</v>
      </c>
      <c r="BGO2" s="5" t="s">
        <v>409</v>
      </c>
      <c r="BGP2" s="5" t="s">
        <v>409</v>
      </c>
      <c r="BGQ2" s="5" t="s">
        <v>409</v>
      </c>
      <c r="BGR2" s="5" t="s">
        <v>409</v>
      </c>
      <c r="BGS2" s="5" t="s">
        <v>409</v>
      </c>
      <c r="BGT2" s="5" t="s">
        <v>409</v>
      </c>
      <c r="BGU2" s="5" t="s">
        <v>409</v>
      </c>
      <c r="BGV2" s="5" t="s">
        <v>409</v>
      </c>
      <c r="BGW2" s="5" t="s">
        <v>409</v>
      </c>
      <c r="BGX2" s="5" t="s">
        <v>409</v>
      </c>
      <c r="BGY2" s="5" t="s">
        <v>409</v>
      </c>
      <c r="BGZ2" s="5" t="s">
        <v>409</v>
      </c>
      <c r="BHA2" s="5" t="s">
        <v>409</v>
      </c>
      <c r="BHB2" s="5" t="s">
        <v>409</v>
      </c>
      <c r="BHC2" s="5" t="s">
        <v>409</v>
      </c>
      <c r="BHD2" s="5" t="s">
        <v>409</v>
      </c>
      <c r="BHE2" s="5" t="s">
        <v>409</v>
      </c>
      <c r="BHF2" s="5" t="s">
        <v>409</v>
      </c>
      <c r="BHG2" s="5" t="s">
        <v>409</v>
      </c>
      <c r="BHH2" s="5" t="s">
        <v>409</v>
      </c>
      <c r="BHI2" s="5" t="s">
        <v>409</v>
      </c>
      <c r="BHJ2" s="5" t="s">
        <v>409</v>
      </c>
      <c r="BHK2" s="5" t="s">
        <v>409</v>
      </c>
      <c r="BHL2" s="5" t="s">
        <v>409</v>
      </c>
      <c r="BHM2" s="5" t="s">
        <v>409</v>
      </c>
      <c r="BHN2" s="5" t="s">
        <v>409</v>
      </c>
      <c r="BHO2" s="5" t="s">
        <v>409</v>
      </c>
      <c r="BHP2" s="5" t="s">
        <v>409</v>
      </c>
      <c r="BHQ2" s="5" t="s">
        <v>409</v>
      </c>
      <c r="BHR2" s="5" t="s">
        <v>409</v>
      </c>
      <c r="BHS2" s="5" t="s">
        <v>409</v>
      </c>
      <c r="BHT2" s="5" t="s">
        <v>409</v>
      </c>
      <c r="BHU2" s="5" t="s">
        <v>409</v>
      </c>
      <c r="BHV2" s="5" t="s">
        <v>409</v>
      </c>
      <c r="BHW2" s="5" t="s">
        <v>409</v>
      </c>
      <c r="BHX2" s="5" t="s">
        <v>409</v>
      </c>
      <c r="BHY2" s="5" t="s">
        <v>409</v>
      </c>
      <c r="BHZ2" s="5" t="s">
        <v>409</v>
      </c>
      <c r="BIA2" s="5" t="s">
        <v>409</v>
      </c>
      <c r="BIB2" s="5" t="s">
        <v>409</v>
      </c>
      <c r="BIC2" s="5" t="s">
        <v>409</v>
      </c>
      <c r="BID2" s="5" t="s">
        <v>409</v>
      </c>
      <c r="BIE2" s="5" t="s">
        <v>409</v>
      </c>
      <c r="BIF2" s="5" t="s">
        <v>409</v>
      </c>
      <c r="BIG2" s="5" t="s">
        <v>409</v>
      </c>
      <c r="BIH2" s="5" t="s">
        <v>409</v>
      </c>
      <c r="BII2" s="5" t="s">
        <v>409</v>
      </c>
      <c r="BIJ2" s="5" t="s">
        <v>409</v>
      </c>
      <c r="BIK2" s="5" t="s">
        <v>409</v>
      </c>
      <c r="BIL2" s="5" t="s">
        <v>409</v>
      </c>
      <c r="BIM2" s="5" t="s">
        <v>409</v>
      </c>
      <c r="BIN2" s="5" t="s">
        <v>409</v>
      </c>
      <c r="BIO2" s="5" t="s">
        <v>409</v>
      </c>
      <c r="BIP2" s="5" t="s">
        <v>409</v>
      </c>
      <c r="BIQ2" s="5" t="s">
        <v>409</v>
      </c>
      <c r="BIR2" s="5" t="s">
        <v>409</v>
      </c>
      <c r="BIS2" s="5" t="s">
        <v>409</v>
      </c>
      <c r="BIT2" s="5" t="s">
        <v>409</v>
      </c>
      <c r="BIU2" s="5" t="s">
        <v>409</v>
      </c>
      <c r="BIV2" s="5" t="s">
        <v>409</v>
      </c>
      <c r="BIW2" s="5" t="s">
        <v>409</v>
      </c>
      <c r="BIX2" s="5" t="s">
        <v>409</v>
      </c>
      <c r="BIY2" s="5" t="s">
        <v>409</v>
      </c>
      <c r="BIZ2" s="5" t="s">
        <v>409</v>
      </c>
      <c r="BJA2" s="5" t="s">
        <v>409</v>
      </c>
      <c r="BJB2" s="5" t="s">
        <v>409</v>
      </c>
      <c r="BJC2" s="5" t="s">
        <v>409</v>
      </c>
      <c r="BJD2" s="5" t="s">
        <v>409</v>
      </c>
      <c r="BJE2" s="5" t="s">
        <v>409</v>
      </c>
      <c r="BJF2" s="5" t="s">
        <v>409</v>
      </c>
      <c r="BJG2" s="5" t="s">
        <v>409</v>
      </c>
      <c r="BJH2" s="5" t="s">
        <v>409</v>
      </c>
      <c r="BJI2" s="5" t="s">
        <v>409</v>
      </c>
      <c r="BJJ2" s="5" t="s">
        <v>409</v>
      </c>
      <c r="BJK2" s="5" t="s">
        <v>409</v>
      </c>
      <c r="BJL2" s="5" t="s">
        <v>409</v>
      </c>
      <c r="BJM2" s="5" t="s">
        <v>409</v>
      </c>
      <c r="BJN2" s="5" t="s">
        <v>409</v>
      </c>
      <c r="BJO2" s="5" t="s">
        <v>409</v>
      </c>
      <c r="BJP2" s="5" t="s">
        <v>409</v>
      </c>
      <c r="BJQ2" s="5" t="s">
        <v>409</v>
      </c>
      <c r="BJR2" s="5" t="s">
        <v>409</v>
      </c>
      <c r="BJS2" s="5" t="s">
        <v>409</v>
      </c>
      <c r="BJT2" s="5" t="s">
        <v>409</v>
      </c>
      <c r="BJU2" s="5" t="s">
        <v>409</v>
      </c>
      <c r="BJV2" s="5" t="s">
        <v>409</v>
      </c>
      <c r="BJW2" s="5" t="s">
        <v>409</v>
      </c>
      <c r="BJX2" s="5" t="s">
        <v>409</v>
      </c>
      <c r="BJY2" s="5" t="s">
        <v>409</v>
      </c>
      <c r="BJZ2" s="5" t="s">
        <v>409</v>
      </c>
      <c r="BKA2" s="5" t="s">
        <v>409</v>
      </c>
      <c r="BKB2" s="5" t="s">
        <v>409</v>
      </c>
      <c r="BKC2" s="5" t="s">
        <v>409</v>
      </c>
      <c r="BKD2" s="5" t="s">
        <v>409</v>
      </c>
      <c r="BKE2" s="5" t="s">
        <v>409</v>
      </c>
      <c r="BKF2" s="5" t="s">
        <v>409</v>
      </c>
      <c r="BKG2" s="5" t="s">
        <v>409</v>
      </c>
      <c r="BKH2" s="5" t="s">
        <v>409</v>
      </c>
      <c r="BKI2" s="5" t="s">
        <v>409</v>
      </c>
      <c r="BKJ2" s="5" t="s">
        <v>409</v>
      </c>
      <c r="BKK2" s="5" t="s">
        <v>409</v>
      </c>
      <c r="BKL2" s="5" t="s">
        <v>409</v>
      </c>
      <c r="BKM2" s="5" t="s">
        <v>409</v>
      </c>
      <c r="BKN2" s="5" t="s">
        <v>409</v>
      </c>
      <c r="BKO2" s="5" t="s">
        <v>409</v>
      </c>
      <c r="BKP2" s="5" t="s">
        <v>409</v>
      </c>
      <c r="BKQ2" s="5" t="s">
        <v>409</v>
      </c>
      <c r="BKR2" s="5" t="s">
        <v>409</v>
      </c>
      <c r="BKS2" s="5" t="s">
        <v>409</v>
      </c>
      <c r="BKT2" s="5" t="s">
        <v>409</v>
      </c>
      <c r="BKU2" s="5" t="s">
        <v>409</v>
      </c>
      <c r="BKV2" s="5" t="s">
        <v>409</v>
      </c>
      <c r="BKW2" s="5" t="s">
        <v>409</v>
      </c>
      <c r="BKX2" s="5" t="s">
        <v>409</v>
      </c>
      <c r="BKY2" s="5" t="s">
        <v>409</v>
      </c>
      <c r="BKZ2" s="5" t="s">
        <v>409</v>
      </c>
      <c r="BLA2" s="5" t="s">
        <v>409</v>
      </c>
      <c r="BLB2" s="5" t="s">
        <v>409</v>
      </c>
      <c r="BLC2" s="5" t="s">
        <v>409</v>
      </c>
      <c r="BLD2" s="5" t="s">
        <v>409</v>
      </c>
      <c r="BLE2" s="5" t="s">
        <v>409</v>
      </c>
      <c r="BLF2" s="5" t="s">
        <v>409</v>
      </c>
      <c r="BLG2" s="5" t="s">
        <v>409</v>
      </c>
      <c r="BLH2" s="5" t="s">
        <v>409</v>
      </c>
      <c r="BLI2" s="5" t="s">
        <v>409</v>
      </c>
      <c r="BLJ2" s="5" t="s">
        <v>409</v>
      </c>
      <c r="BLK2" s="5" t="s">
        <v>409</v>
      </c>
      <c r="BLL2" s="5" t="s">
        <v>409</v>
      </c>
      <c r="BLM2" s="5" t="s">
        <v>409</v>
      </c>
      <c r="BLN2" s="5" t="s">
        <v>409</v>
      </c>
      <c r="BLO2" s="5" t="s">
        <v>409</v>
      </c>
      <c r="BLP2" s="5" t="s">
        <v>409</v>
      </c>
      <c r="BLQ2" s="5" t="s">
        <v>409</v>
      </c>
      <c r="BLR2" s="5" t="s">
        <v>409</v>
      </c>
      <c r="BLS2" s="5" t="s">
        <v>409</v>
      </c>
      <c r="BLT2" s="5" t="s">
        <v>409</v>
      </c>
      <c r="BLU2" s="5" t="s">
        <v>409</v>
      </c>
      <c r="BLV2" s="5" t="s">
        <v>409</v>
      </c>
      <c r="BLW2" s="5" t="s">
        <v>409</v>
      </c>
      <c r="BLX2" s="5" t="s">
        <v>409</v>
      </c>
      <c r="BLY2" s="5" t="s">
        <v>409</v>
      </c>
      <c r="BLZ2" s="5" t="s">
        <v>409</v>
      </c>
      <c r="BMA2" s="5" t="s">
        <v>409</v>
      </c>
      <c r="BMB2" s="5" t="s">
        <v>409</v>
      </c>
      <c r="BMC2" s="5" t="s">
        <v>409</v>
      </c>
      <c r="BMD2" s="5" t="s">
        <v>409</v>
      </c>
      <c r="BME2" s="5" t="s">
        <v>409</v>
      </c>
      <c r="BMF2" s="5" t="s">
        <v>409</v>
      </c>
      <c r="BMG2" s="5" t="s">
        <v>409</v>
      </c>
      <c r="BMH2" s="5" t="s">
        <v>409</v>
      </c>
      <c r="BMI2" s="5" t="s">
        <v>409</v>
      </c>
      <c r="BMJ2" s="5" t="s">
        <v>409</v>
      </c>
      <c r="BMK2" s="5" t="s">
        <v>409</v>
      </c>
      <c r="BML2" s="5" t="s">
        <v>409</v>
      </c>
      <c r="BMM2" s="5" t="s">
        <v>409</v>
      </c>
      <c r="BMN2" s="5" t="s">
        <v>409</v>
      </c>
      <c r="BMO2" s="5" t="s">
        <v>409</v>
      </c>
      <c r="BMP2" s="5" t="s">
        <v>409</v>
      </c>
      <c r="BMQ2" s="5" t="s">
        <v>409</v>
      </c>
      <c r="BMR2" s="5" t="s">
        <v>409</v>
      </c>
      <c r="BMS2" s="5" t="s">
        <v>409</v>
      </c>
      <c r="BMT2" s="5" t="s">
        <v>409</v>
      </c>
      <c r="BMU2" s="5" t="s">
        <v>409</v>
      </c>
      <c r="BMV2" s="5" t="s">
        <v>409</v>
      </c>
      <c r="BMW2" s="5" t="s">
        <v>409</v>
      </c>
      <c r="BMX2" s="5" t="s">
        <v>409</v>
      </c>
      <c r="BMY2" s="5" t="s">
        <v>409</v>
      </c>
      <c r="BMZ2" s="5" t="s">
        <v>409</v>
      </c>
      <c r="BNA2" s="5" t="s">
        <v>409</v>
      </c>
      <c r="BNB2" s="5" t="s">
        <v>409</v>
      </c>
      <c r="BNC2" s="5" t="s">
        <v>409</v>
      </c>
      <c r="BND2" s="5" t="s">
        <v>409</v>
      </c>
      <c r="BNE2" s="5" t="s">
        <v>409</v>
      </c>
      <c r="BNF2" s="5" t="s">
        <v>409</v>
      </c>
      <c r="BNG2" s="5" t="s">
        <v>409</v>
      </c>
      <c r="BNH2" s="5" t="s">
        <v>409</v>
      </c>
      <c r="BNI2" s="5" t="s">
        <v>409</v>
      </c>
      <c r="BNJ2" s="5" t="s">
        <v>409</v>
      </c>
      <c r="BNK2" s="5" t="s">
        <v>409</v>
      </c>
      <c r="BNL2" s="5" t="s">
        <v>409</v>
      </c>
      <c r="BNM2" s="5" t="s">
        <v>409</v>
      </c>
      <c r="BNN2" s="5" t="s">
        <v>409</v>
      </c>
      <c r="BNO2" s="5" t="s">
        <v>409</v>
      </c>
      <c r="BNP2" s="5" t="s">
        <v>409</v>
      </c>
      <c r="BNQ2" s="5" t="s">
        <v>409</v>
      </c>
      <c r="BNR2" s="5" t="s">
        <v>409</v>
      </c>
      <c r="BNS2" s="5" t="s">
        <v>409</v>
      </c>
      <c r="BNT2" s="5" t="s">
        <v>409</v>
      </c>
      <c r="BNU2" s="5" t="s">
        <v>409</v>
      </c>
      <c r="BNV2" s="5" t="s">
        <v>409</v>
      </c>
      <c r="BNW2" s="5" t="s">
        <v>409</v>
      </c>
      <c r="BNX2" s="5" t="s">
        <v>409</v>
      </c>
      <c r="BNY2" s="5" t="s">
        <v>409</v>
      </c>
      <c r="BNZ2" s="5" t="s">
        <v>409</v>
      </c>
      <c r="BOA2" s="5" t="s">
        <v>409</v>
      </c>
      <c r="BOB2" s="5" t="s">
        <v>409</v>
      </c>
      <c r="BOC2" s="5" t="s">
        <v>409</v>
      </c>
      <c r="BOD2" s="5" t="s">
        <v>409</v>
      </c>
      <c r="BOE2" s="5" t="s">
        <v>409</v>
      </c>
      <c r="BOF2" s="5" t="s">
        <v>409</v>
      </c>
      <c r="BOG2" s="5" t="s">
        <v>409</v>
      </c>
      <c r="BOH2" s="5" t="s">
        <v>409</v>
      </c>
      <c r="BOI2" s="5" t="s">
        <v>409</v>
      </c>
      <c r="BOJ2" s="5" t="s">
        <v>409</v>
      </c>
      <c r="BOK2" s="5" t="s">
        <v>409</v>
      </c>
      <c r="BOL2" s="5" t="s">
        <v>409</v>
      </c>
      <c r="BOM2" s="5" t="s">
        <v>409</v>
      </c>
      <c r="BON2" s="5" t="s">
        <v>409</v>
      </c>
      <c r="BOO2" s="5" t="s">
        <v>409</v>
      </c>
      <c r="BOP2" s="5" t="s">
        <v>409</v>
      </c>
      <c r="BOQ2" s="5" t="s">
        <v>409</v>
      </c>
      <c r="BOR2" s="5" t="s">
        <v>409</v>
      </c>
      <c r="BOS2" s="5" t="s">
        <v>409</v>
      </c>
      <c r="BOT2" s="5" t="s">
        <v>409</v>
      </c>
      <c r="BOU2" s="5" t="s">
        <v>409</v>
      </c>
      <c r="BOV2" s="5" t="s">
        <v>409</v>
      </c>
      <c r="BOW2" s="5" t="s">
        <v>409</v>
      </c>
      <c r="BOX2" s="5" t="s">
        <v>409</v>
      </c>
      <c r="BOY2" s="5" t="s">
        <v>409</v>
      </c>
      <c r="BOZ2" s="5" t="s">
        <v>409</v>
      </c>
      <c r="BPA2" s="5" t="s">
        <v>409</v>
      </c>
      <c r="BPB2" s="5" t="s">
        <v>409</v>
      </c>
      <c r="BPC2" s="5" t="s">
        <v>409</v>
      </c>
      <c r="BPD2" s="5" t="s">
        <v>409</v>
      </c>
      <c r="BPE2" s="5" t="s">
        <v>409</v>
      </c>
      <c r="BPF2" s="5" t="s">
        <v>409</v>
      </c>
      <c r="BPG2" s="5" t="s">
        <v>409</v>
      </c>
      <c r="BPH2" s="5" t="s">
        <v>409</v>
      </c>
      <c r="BPI2" s="5" t="s">
        <v>409</v>
      </c>
      <c r="BPJ2" s="5" t="s">
        <v>409</v>
      </c>
      <c r="BPK2" s="5" t="s">
        <v>409</v>
      </c>
      <c r="BPL2" s="5" t="s">
        <v>409</v>
      </c>
      <c r="BPM2" s="5" t="s">
        <v>409</v>
      </c>
      <c r="BPN2" s="5" t="s">
        <v>409</v>
      </c>
      <c r="BPO2" s="5" t="s">
        <v>409</v>
      </c>
      <c r="BPP2" s="5" t="s">
        <v>409</v>
      </c>
      <c r="BPQ2" s="5" t="s">
        <v>409</v>
      </c>
      <c r="BPR2" s="5" t="s">
        <v>409</v>
      </c>
      <c r="BPS2" s="5" t="s">
        <v>409</v>
      </c>
      <c r="BPT2" s="5" t="s">
        <v>409</v>
      </c>
      <c r="BPU2" s="5" t="s">
        <v>409</v>
      </c>
      <c r="BPV2" s="5" t="s">
        <v>409</v>
      </c>
      <c r="BPW2" s="5" t="s">
        <v>409</v>
      </c>
      <c r="BPX2" s="5" t="s">
        <v>409</v>
      </c>
      <c r="BPY2" s="5" t="s">
        <v>409</v>
      </c>
      <c r="BPZ2" s="5" t="s">
        <v>409</v>
      </c>
      <c r="BQA2" s="5" t="s">
        <v>409</v>
      </c>
      <c r="BQB2" s="5" t="s">
        <v>409</v>
      </c>
      <c r="BQC2" s="5" t="s">
        <v>409</v>
      </c>
      <c r="BQD2" s="5" t="s">
        <v>409</v>
      </c>
      <c r="BQE2" s="5" t="s">
        <v>409</v>
      </c>
      <c r="BQF2" s="5" t="s">
        <v>409</v>
      </c>
      <c r="BQG2" s="5" t="s">
        <v>409</v>
      </c>
      <c r="BQH2" s="5" t="s">
        <v>409</v>
      </c>
      <c r="BQI2" s="5" t="s">
        <v>409</v>
      </c>
      <c r="BQJ2" s="5" t="s">
        <v>409</v>
      </c>
      <c r="BQK2" s="5" t="s">
        <v>409</v>
      </c>
      <c r="BQL2" s="5" t="s">
        <v>409</v>
      </c>
      <c r="BQM2" s="5" t="s">
        <v>409</v>
      </c>
      <c r="BQN2" s="5" t="s">
        <v>409</v>
      </c>
      <c r="BQO2" s="5" t="s">
        <v>409</v>
      </c>
      <c r="BQP2" s="5" t="s">
        <v>409</v>
      </c>
      <c r="BQQ2" s="5" t="s">
        <v>409</v>
      </c>
      <c r="BQR2" s="5" t="s">
        <v>409</v>
      </c>
      <c r="BQS2" s="5" t="s">
        <v>409</v>
      </c>
      <c r="BQT2" s="5" t="s">
        <v>409</v>
      </c>
      <c r="BQU2" s="5" t="s">
        <v>409</v>
      </c>
      <c r="BQV2" s="5" t="s">
        <v>409</v>
      </c>
      <c r="BQW2" s="5" t="s">
        <v>409</v>
      </c>
      <c r="BQX2" s="5" t="s">
        <v>409</v>
      </c>
      <c r="BQY2" s="5" t="s">
        <v>409</v>
      </c>
      <c r="BQZ2" s="5" t="s">
        <v>409</v>
      </c>
      <c r="BRA2" s="5" t="s">
        <v>409</v>
      </c>
      <c r="BRB2" s="5" t="s">
        <v>409</v>
      </c>
      <c r="BRC2" s="5" t="s">
        <v>409</v>
      </c>
      <c r="BRD2" s="5" t="s">
        <v>409</v>
      </c>
      <c r="BRE2" s="5" t="s">
        <v>409</v>
      </c>
      <c r="BRF2" s="5" t="s">
        <v>409</v>
      </c>
      <c r="BRG2" s="5" t="s">
        <v>409</v>
      </c>
      <c r="BRH2" s="5" t="s">
        <v>409</v>
      </c>
      <c r="BRI2" s="5" t="s">
        <v>409</v>
      </c>
      <c r="BRJ2" s="5" t="s">
        <v>409</v>
      </c>
      <c r="BRK2" s="5" t="s">
        <v>409</v>
      </c>
      <c r="BRL2" s="5" t="s">
        <v>409</v>
      </c>
      <c r="BRM2" s="5" t="s">
        <v>409</v>
      </c>
      <c r="BRN2" s="5" t="s">
        <v>409</v>
      </c>
      <c r="BRO2" s="5" t="s">
        <v>409</v>
      </c>
      <c r="BRP2" s="5" t="s">
        <v>409</v>
      </c>
      <c r="BRQ2" s="5" t="s">
        <v>409</v>
      </c>
      <c r="BRR2" s="5" t="s">
        <v>409</v>
      </c>
      <c r="BRS2" s="5" t="s">
        <v>409</v>
      </c>
      <c r="BRT2" s="5" t="s">
        <v>409</v>
      </c>
      <c r="BRU2" s="5" t="s">
        <v>409</v>
      </c>
      <c r="BRV2" s="5" t="s">
        <v>409</v>
      </c>
      <c r="BRW2" s="5" t="s">
        <v>409</v>
      </c>
      <c r="BRX2" s="5" t="s">
        <v>409</v>
      </c>
      <c r="BRY2" s="5" t="s">
        <v>409</v>
      </c>
      <c r="BRZ2" s="5" t="s">
        <v>409</v>
      </c>
      <c r="BSA2" s="5" t="s">
        <v>409</v>
      </c>
      <c r="BSB2" s="5" t="s">
        <v>409</v>
      </c>
      <c r="BSC2" s="5" t="s">
        <v>409</v>
      </c>
      <c r="BSD2" s="5" t="s">
        <v>409</v>
      </c>
      <c r="BSE2" s="5" t="s">
        <v>409</v>
      </c>
      <c r="BSF2" s="5" t="s">
        <v>409</v>
      </c>
      <c r="BSG2" s="5" t="s">
        <v>409</v>
      </c>
      <c r="BSH2" s="5" t="s">
        <v>409</v>
      </c>
      <c r="BSI2" s="5" t="s">
        <v>409</v>
      </c>
      <c r="BSJ2" s="5" t="s">
        <v>409</v>
      </c>
      <c r="BSK2" s="5" t="s">
        <v>409</v>
      </c>
      <c r="BSL2" s="5" t="s">
        <v>409</v>
      </c>
      <c r="BSM2" s="5" t="s">
        <v>409</v>
      </c>
      <c r="BSN2" s="5" t="s">
        <v>409</v>
      </c>
      <c r="BSO2" s="5" t="s">
        <v>409</v>
      </c>
      <c r="BSP2" s="5" t="s">
        <v>409</v>
      </c>
      <c r="BSQ2" s="5" t="s">
        <v>409</v>
      </c>
      <c r="BSR2" s="5" t="s">
        <v>409</v>
      </c>
      <c r="BSS2" s="5" t="s">
        <v>409</v>
      </c>
      <c r="BST2" s="5" t="s">
        <v>409</v>
      </c>
      <c r="BSU2" s="5" t="s">
        <v>409</v>
      </c>
      <c r="BSV2" s="5" t="s">
        <v>409</v>
      </c>
      <c r="BSW2" s="5" t="s">
        <v>409</v>
      </c>
      <c r="BSX2" s="5" t="s">
        <v>409</v>
      </c>
      <c r="BSY2" s="5" t="s">
        <v>409</v>
      </c>
      <c r="BSZ2" s="5" t="s">
        <v>409</v>
      </c>
      <c r="BTA2" s="5" t="s">
        <v>409</v>
      </c>
      <c r="BTB2" s="5" t="s">
        <v>409</v>
      </c>
      <c r="BTC2" s="5" t="s">
        <v>409</v>
      </c>
      <c r="BTD2" s="5" t="s">
        <v>409</v>
      </c>
      <c r="BTE2" s="5" t="s">
        <v>409</v>
      </c>
      <c r="BTF2" s="5" t="s">
        <v>409</v>
      </c>
      <c r="BTG2" s="5" t="s">
        <v>409</v>
      </c>
      <c r="BTH2" s="5" t="s">
        <v>409</v>
      </c>
      <c r="BTI2" s="5" t="s">
        <v>409</v>
      </c>
      <c r="BTJ2" s="5" t="s">
        <v>409</v>
      </c>
      <c r="BTK2" s="5" t="s">
        <v>409</v>
      </c>
      <c r="BTL2" s="5" t="s">
        <v>409</v>
      </c>
      <c r="BTM2" s="5" t="s">
        <v>409</v>
      </c>
      <c r="BTN2" s="5" t="s">
        <v>409</v>
      </c>
      <c r="BTO2" s="5" t="s">
        <v>409</v>
      </c>
      <c r="BTP2" s="5" t="s">
        <v>409</v>
      </c>
      <c r="BTQ2" s="5" t="s">
        <v>409</v>
      </c>
      <c r="BTR2" s="5" t="s">
        <v>409</v>
      </c>
      <c r="BTS2" s="5" t="s">
        <v>409</v>
      </c>
      <c r="BTT2" s="5" t="s">
        <v>409</v>
      </c>
      <c r="BTU2" s="5" t="s">
        <v>409</v>
      </c>
      <c r="BTV2" s="5" t="s">
        <v>409</v>
      </c>
      <c r="BTW2" s="5" t="s">
        <v>409</v>
      </c>
      <c r="BTX2" s="5" t="s">
        <v>409</v>
      </c>
      <c r="BTY2" s="5" t="s">
        <v>409</v>
      </c>
      <c r="BTZ2" s="5" t="s">
        <v>409</v>
      </c>
      <c r="BUA2" s="5" t="s">
        <v>409</v>
      </c>
      <c r="BUB2" s="5" t="s">
        <v>409</v>
      </c>
      <c r="BUC2" s="5" t="s">
        <v>409</v>
      </c>
      <c r="BUD2" s="5" t="s">
        <v>409</v>
      </c>
      <c r="BUE2" s="5" t="s">
        <v>409</v>
      </c>
      <c r="BUF2" s="5" t="s">
        <v>409</v>
      </c>
      <c r="BUG2" s="5" t="s">
        <v>409</v>
      </c>
      <c r="BUH2" s="5" t="s">
        <v>409</v>
      </c>
      <c r="BUI2" s="5" t="s">
        <v>409</v>
      </c>
      <c r="BUJ2" s="5" t="s">
        <v>409</v>
      </c>
      <c r="BUK2" s="5" t="s">
        <v>409</v>
      </c>
      <c r="BUL2" s="5" t="s">
        <v>409</v>
      </c>
      <c r="BUM2" s="5" t="s">
        <v>409</v>
      </c>
      <c r="BUN2" s="5" t="s">
        <v>409</v>
      </c>
      <c r="BUO2" s="5" t="s">
        <v>409</v>
      </c>
      <c r="BUP2" s="5" t="s">
        <v>409</v>
      </c>
      <c r="BUQ2" s="5" t="s">
        <v>409</v>
      </c>
      <c r="BUR2" s="5" t="s">
        <v>409</v>
      </c>
      <c r="BUS2" s="5" t="s">
        <v>409</v>
      </c>
      <c r="BUT2" s="5" t="s">
        <v>409</v>
      </c>
      <c r="BUU2" s="5" t="s">
        <v>409</v>
      </c>
      <c r="BUV2" s="5" t="s">
        <v>409</v>
      </c>
      <c r="BUW2" s="5" t="s">
        <v>409</v>
      </c>
      <c r="BUX2" s="5" t="s">
        <v>409</v>
      </c>
      <c r="BUY2" s="5" t="s">
        <v>409</v>
      </c>
      <c r="BUZ2" s="5" t="s">
        <v>409</v>
      </c>
      <c r="BVA2" s="5" t="s">
        <v>409</v>
      </c>
      <c r="BVB2" s="5" t="s">
        <v>409</v>
      </c>
      <c r="BVC2" s="5" t="s">
        <v>409</v>
      </c>
      <c r="BVD2" s="5" t="s">
        <v>409</v>
      </c>
      <c r="BVE2" s="5" t="s">
        <v>409</v>
      </c>
      <c r="BVF2" s="5" t="s">
        <v>409</v>
      </c>
      <c r="BVG2" s="5" t="s">
        <v>409</v>
      </c>
      <c r="BVH2" s="5" t="s">
        <v>409</v>
      </c>
      <c r="BVI2" s="5" t="s">
        <v>409</v>
      </c>
      <c r="BVJ2" s="5" t="s">
        <v>409</v>
      </c>
      <c r="BVK2" s="5" t="s">
        <v>409</v>
      </c>
      <c r="BVL2" s="5" t="s">
        <v>409</v>
      </c>
      <c r="BVM2" s="5" t="s">
        <v>409</v>
      </c>
      <c r="BVN2" s="5" t="s">
        <v>409</v>
      </c>
      <c r="BVO2" s="5" t="s">
        <v>409</v>
      </c>
      <c r="BVP2" s="5" t="s">
        <v>409</v>
      </c>
      <c r="BVQ2" s="5" t="s">
        <v>409</v>
      </c>
      <c r="BVR2" s="5" t="s">
        <v>409</v>
      </c>
      <c r="BVS2" s="5" t="s">
        <v>409</v>
      </c>
      <c r="BVT2" s="5" t="s">
        <v>409</v>
      </c>
      <c r="BVU2" s="5" t="s">
        <v>409</v>
      </c>
      <c r="BVV2" s="5" t="s">
        <v>409</v>
      </c>
      <c r="BVW2" s="5" t="s">
        <v>409</v>
      </c>
      <c r="BVX2" s="5" t="s">
        <v>409</v>
      </c>
      <c r="BVY2" s="5" t="s">
        <v>409</v>
      </c>
      <c r="BVZ2" s="5" t="s">
        <v>409</v>
      </c>
      <c r="BWA2" s="5" t="s">
        <v>409</v>
      </c>
      <c r="BWB2" s="5" t="s">
        <v>409</v>
      </c>
      <c r="BWC2" s="5" t="s">
        <v>409</v>
      </c>
      <c r="BWD2" s="5" t="s">
        <v>409</v>
      </c>
      <c r="BWE2" s="5" t="s">
        <v>409</v>
      </c>
      <c r="BWF2" s="5" t="s">
        <v>409</v>
      </c>
      <c r="BWG2" s="5" t="s">
        <v>409</v>
      </c>
      <c r="BWH2" s="5" t="s">
        <v>409</v>
      </c>
      <c r="BWI2" s="5" t="s">
        <v>409</v>
      </c>
      <c r="BWJ2" s="5" t="s">
        <v>409</v>
      </c>
      <c r="BWK2" s="5" t="s">
        <v>409</v>
      </c>
      <c r="BWL2" s="5" t="s">
        <v>409</v>
      </c>
      <c r="BWM2" s="5" t="s">
        <v>409</v>
      </c>
      <c r="BWN2" s="5" t="s">
        <v>409</v>
      </c>
      <c r="BWO2" s="5" t="s">
        <v>409</v>
      </c>
      <c r="BWP2" s="5" t="s">
        <v>409</v>
      </c>
      <c r="BWQ2" s="5" t="s">
        <v>409</v>
      </c>
      <c r="BWR2" s="5" t="s">
        <v>409</v>
      </c>
      <c r="BWS2" s="5" t="s">
        <v>409</v>
      </c>
      <c r="BWT2" s="5" t="s">
        <v>409</v>
      </c>
      <c r="BWU2" s="5" t="s">
        <v>409</v>
      </c>
      <c r="BWV2" s="5" t="s">
        <v>409</v>
      </c>
      <c r="BWW2" s="5" t="s">
        <v>409</v>
      </c>
      <c r="BWX2" s="5" t="s">
        <v>409</v>
      </c>
      <c r="BWY2" s="5" t="s">
        <v>409</v>
      </c>
      <c r="BWZ2" s="5" t="s">
        <v>409</v>
      </c>
      <c r="BXA2" s="5" t="s">
        <v>409</v>
      </c>
      <c r="BXB2" s="5" t="s">
        <v>409</v>
      </c>
      <c r="BXC2" s="5" t="s">
        <v>409</v>
      </c>
      <c r="BXD2" s="5" t="s">
        <v>409</v>
      </c>
      <c r="BXE2" s="5" t="s">
        <v>409</v>
      </c>
      <c r="BXF2" s="5" t="s">
        <v>409</v>
      </c>
      <c r="BXG2" s="5" t="s">
        <v>409</v>
      </c>
      <c r="BXH2" s="5" t="s">
        <v>409</v>
      </c>
      <c r="BXI2" s="5" t="s">
        <v>409</v>
      </c>
      <c r="BXJ2" s="5" t="s">
        <v>409</v>
      </c>
      <c r="BXK2" s="5" t="s">
        <v>409</v>
      </c>
      <c r="BXL2" s="5" t="s">
        <v>409</v>
      </c>
      <c r="BXM2" s="5" t="s">
        <v>409</v>
      </c>
      <c r="BXN2" s="5" t="s">
        <v>409</v>
      </c>
      <c r="BXO2" s="5" t="s">
        <v>409</v>
      </c>
      <c r="BXP2" s="5" t="s">
        <v>409</v>
      </c>
      <c r="BXQ2" s="5" t="s">
        <v>409</v>
      </c>
      <c r="BXR2" s="5" t="s">
        <v>409</v>
      </c>
      <c r="BXS2" s="5" t="s">
        <v>409</v>
      </c>
      <c r="BXT2" s="5" t="s">
        <v>409</v>
      </c>
      <c r="BXU2" s="5" t="s">
        <v>409</v>
      </c>
      <c r="BXV2" s="5" t="s">
        <v>409</v>
      </c>
      <c r="BXW2" s="5" t="s">
        <v>409</v>
      </c>
      <c r="BXX2" s="5" t="s">
        <v>409</v>
      </c>
      <c r="BXY2" s="5" t="s">
        <v>409</v>
      </c>
      <c r="BXZ2" s="5" t="s">
        <v>409</v>
      </c>
      <c r="BYA2" s="5" t="s">
        <v>409</v>
      </c>
      <c r="BYB2" s="5" t="s">
        <v>409</v>
      </c>
      <c r="BYC2" s="5" t="s">
        <v>409</v>
      </c>
      <c r="BYD2" s="5" t="s">
        <v>409</v>
      </c>
      <c r="BYE2" s="5" t="s">
        <v>409</v>
      </c>
      <c r="BYF2" s="5" t="s">
        <v>409</v>
      </c>
      <c r="BYG2" s="5" t="s">
        <v>409</v>
      </c>
      <c r="BYH2" s="5" t="s">
        <v>409</v>
      </c>
      <c r="BYI2" s="5" t="s">
        <v>409</v>
      </c>
      <c r="BYJ2" s="5" t="s">
        <v>409</v>
      </c>
      <c r="BYK2" s="5" t="s">
        <v>409</v>
      </c>
      <c r="BYL2" s="5" t="s">
        <v>409</v>
      </c>
      <c r="BYM2" s="5" t="s">
        <v>409</v>
      </c>
      <c r="BYN2" s="5" t="s">
        <v>409</v>
      </c>
      <c r="BYO2" s="5" t="s">
        <v>409</v>
      </c>
      <c r="BYP2" s="5" t="s">
        <v>409</v>
      </c>
      <c r="BYQ2" s="5" t="s">
        <v>409</v>
      </c>
      <c r="BYR2" s="5" t="s">
        <v>409</v>
      </c>
      <c r="BYS2" s="5" t="s">
        <v>409</v>
      </c>
      <c r="BYT2" s="5" t="s">
        <v>409</v>
      </c>
      <c r="BYU2" s="5" t="s">
        <v>409</v>
      </c>
      <c r="BYV2" s="5" t="s">
        <v>409</v>
      </c>
      <c r="BYW2" s="5" t="s">
        <v>409</v>
      </c>
      <c r="BYX2" s="5" t="s">
        <v>409</v>
      </c>
      <c r="BYY2" s="5" t="s">
        <v>409</v>
      </c>
      <c r="BYZ2" s="5" t="s">
        <v>409</v>
      </c>
      <c r="BZA2" s="5" t="s">
        <v>409</v>
      </c>
      <c r="BZB2" s="5" t="s">
        <v>409</v>
      </c>
      <c r="BZC2" s="5" t="s">
        <v>409</v>
      </c>
      <c r="BZD2" s="5" t="s">
        <v>409</v>
      </c>
      <c r="BZE2" s="5" t="s">
        <v>409</v>
      </c>
      <c r="BZF2" s="5" t="s">
        <v>409</v>
      </c>
      <c r="BZG2" s="5" t="s">
        <v>409</v>
      </c>
      <c r="BZH2" s="5" t="s">
        <v>409</v>
      </c>
      <c r="BZI2" s="5" t="s">
        <v>409</v>
      </c>
      <c r="BZJ2" s="5" t="s">
        <v>409</v>
      </c>
      <c r="BZK2" s="5" t="s">
        <v>409</v>
      </c>
      <c r="BZL2" s="5" t="s">
        <v>409</v>
      </c>
      <c r="BZM2" s="5" t="s">
        <v>409</v>
      </c>
      <c r="BZN2" s="5" t="s">
        <v>409</v>
      </c>
      <c r="BZO2" s="5" t="s">
        <v>409</v>
      </c>
      <c r="BZP2" s="5" t="s">
        <v>409</v>
      </c>
      <c r="BZQ2" s="5" t="s">
        <v>409</v>
      </c>
      <c r="BZR2" s="5" t="s">
        <v>409</v>
      </c>
      <c r="BZS2" s="5" t="s">
        <v>409</v>
      </c>
      <c r="BZT2" s="5" t="s">
        <v>409</v>
      </c>
      <c r="BZU2" s="5" t="s">
        <v>409</v>
      </c>
      <c r="BZV2" s="5" t="s">
        <v>409</v>
      </c>
      <c r="BZW2" s="5" t="s">
        <v>409</v>
      </c>
      <c r="BZX2" s="5" t="s">
        <v>409</v>
      </c>
      <c r="BZY2" s="5" t="s">
        <v>409</v>
      </c>
      <c r="BZZ2" s="5" t="s">
        <v>409</v>
      </c>
      <c r="CAA2" s="5" t="s">
        <v>409</v>
      </c>
      <c r="CAB2" s="5" t="s">
        <v>409</v>
      </c>
      <c r="CAC2" s="5" t="s">
        <v>409</v>
      </c>
      <c r="CAD2" s="5" t="s">
        <v>409</v>
      </c>
      <c r="CAE2" s="5" t="s">
        <v>409</v>
      </c>
      <c r="CAF2" s="5" t="s">
        <v>409</v>
      </c>
      <c r="CAG2" s="5" t="s">
        <v>409</v>
      </c>
      <c r="CAH2" s="5" t="s">
        <v>409</v>
      </c>
      <c r="CAI2" s="5" t="s">
        <v>409</v>
      </c>
      <c r="CAJ2" s="5" t="s">
        <v>409</v>
      </c>
      <c r="CAK2" s="5" t="s">
        <v>409</v>
      </c>
      <c r="CAL2" s="5" t="s">
        <v>409</v>
      </c>
      <c r="CAM2" s="5" t="s">
        <v>409</v>
      </c>
      <c r="CAN2" s="5" t="s">
        <v>409</v>
      </c>
      <c r="CAO2" s="5" t="s">
        <v>409</v>
      </c>
      <c r="CAP2" s="5" t="s">
        <v>409</v>
      </c>
      <c r="CAQ2" s="5" t="s">
        <v>409</v>
      </c>
      <c r="CAR2" s="5" t="s">
        <v>409</v>
      </c>
      <c r="CAS2" s="5" t="s">
        <v>409</v>
      </c>
      <c r="CAT2" s="5" t="s">
        <v>409</v>
      </c>
      <c r="CAU2" s="5" t="s">
        <v>409</v>
      </c>
      <c r="CAV2" s="5" t="s">
        <v>409</v>
      </c>
      <c r="CAW2" s="5" t="s">
        <v>409</v>
      </c>
      <c r="CAX2" s="5" t="s">
        <v>409</v>
      </c>
      <c r="CAY2" s="5" t="s">
        <v>409</v>
      </c>
      <c r="CAZ2" s="5" t="s">
        <v>409</v>
      </c>
      <c r="CBA2" s="5" t="s">
        <v>409</v>
      </c>
      <c r="CBB2" s="5" t="s">
        <v>409</v>
      </c>
      <c r="CBC2" s="5" t="s">
        <v>409</v>
      </c>
      <c r="CBD2" s="5" t="s">
        <v>409</v>
      </c>
      <c r="CBE2" s="5" t="s">
        <v>409</v>
      </c>
      <c r="CBF2" s="5" t="s">
        <v>409</v>
      </c>
      <c r="CBG2" s="5" t="s">
        <v>409</v>
      </c>
      <c r="CBH2" s="5" t="s">
        <v>409</v>
      </c>
      <c r="CBI2" s="5" t="s">
        <v>409</v>
      </c>
      <c r="CBJ2" s="5" t="s">
        <v>409</v>
      </c>
      <c r="CBK2" s="5" t="s">
        <v>409</v>
      </c>
      <c r="CBL2" s="5" t="s">
        <v>409</v>
      </c>
      <c r="CBM2" s="5" t="s">
        <v>409</v>
      </c>
      <c r="CBN2" s="5" t="s">
        <v>409</v>
      </c>
      <c r="CBO2" s="5" t="s">
        <v>409</v>
      </c>
      <c r="CBP2" s="5" t="s">
        <v>409</v>
      </c>
      <c r="CBQ2" s="5" t="s">
        <v>409</v>
      </c>
      <c r="CBR2" s="5" t="s">
        <v>409</v>
      </c>
      <c r="CBS2" s="5" t="s">
        <v>409</v>
      </c>
      <c r="CBT2" s="5" t="s">
        <v>409</v>
      </c>
      <c r="CBU2" s="5" t="s">
        <v>409</v>
      </c>
      <c r="CBV2" s="5" t="s">
        <v>409</v>
      </c>
      <c r="CBW2" s="5" t="s">
        <v>409</v>
      </c>
      <c r="CBX2" s="5" t="s">
        <v>409</v>
      </c>
      <c r="CBY2" s="5" t="s">
        <v>409</v>
      </c>
      <c r="CBZ2" s="5" t="s">
        <v>409</v>
      </c>
      <c r="CCA2" s="5" t="s">
        <v>409</v>
      </c>
      <c r="CCB2" s="5" t="s">
        <v>409</v>
      </c>
      <c r="CCC2" s="5" t="s">
        <v>409</v>
      </c>
      <c r="CCD2" s="5" t="s">
        <v>409</v>
      </c>
      <c r="CCE2" s="5" t="s">
        <v>409</v>
      </c>
      <c r="CCF2" s="5" t="s">
        <v>409</v>
      </c>
      <c r="CCG2" s="5" t="s">
        <v>409</v>
      </c>
      <c r="CCH2" s="5" t="s">
        <v>409</v>
      </c>
      <c r="CCI2" s="5" t="s">
        <v>409</v>
      </c>
      <c r="CCJ2" s="5" t="s">
        <v>409</v>
      </c>
      <c r="CCK2" s="5" t="s">
        <v>409</v>
      </c>
      <c r="CCL2" s="5" t="s">
        <v>409</v>
      </c>
      <c r="CCM2" s="5" t="s">
        <v>409</v>
      </c>
      <c r="CCN2" s="5" t="s">
        <v>409</v>
      </c>
      <c r="CCO2" s="5" t="s">
        <v>409</v>
      </c>
      <c r="CCP2" s="5" t="s">
        <v>409</v>
      </c>
      <c r="CCQ2" s="5" t="s">
        <v>409</v>
      </c>
      <c r="CCR2" s="5" t="s">
        <v>409</v>
      </c>
      <c r="CCS2" s="5" t="s">
        <v>409</v>
      </c>
      <c r="CCT2" s="5" t="s">
        <v>409</v>
      </c>
      <c r="CCU2" s="5" t="s">
        <v>409</v>
      </c>
      <c r="CCV2" s="5" t="s">
        <v>409</v>
      </c>
      <c r="CCW2" s="5" t="s">
        <v>409</v>
      </c>
      <c r="CCX2" s="5" t="s">
        <v>409</v>
      </c>
      <c r="CCY2" s="5" t="s">
        <v>409</v>
      </c>
      <c r="CCZ2" s="5" t="s">
        <v>409</v>
      </c>
      <c r="CDA2" s="5" t="s">
        <v>409</v>
      </c>
      <c r="CDB2" s="5" t="s">
        <v>409</v>
      </c>
      <c r="CDC2" s="5" t="s">
        <v>409</v>
      </c>
      <c r="CDD2" s="5" t="s">
        <v>409</v>
      </c>
      <c r="CDE2" s="5" t="s">
        <v>409</v>
      </c>
      <c r="CDF2" s="5" t="s">
        <v>409</v>
      </c>
      <c r="CDG2" s="5" t="s">
        <v>409</v>
      </c>
      <c r="CDH2" s="5" t="s">
        <v>409</v>
      </c>
      <c r="CDI2" s="5" t="s">
        <v>409</v>
      </c>
      <c r="CDJ2" s="5" t="s">
        <v>409</v>
      </c>
      <c r="CDK2" s="5" t="s">
        <v>409</v>
      </c>
      <c r="CDL2" s="5" t="s">
        <v>409</v>
      </c>
      <c r="CDM2" s="5" t="s">
        <v>409</v>
      </c>
      <c r="CDN2" s="5" t="s">
        <v>409</v>
      </c>
      <c r="CDO2" s="5" t="s">
        <v>409</v>
      </c>
      <c r="CDP2" s="5" t="s">
        <v>409</v>
      </c>
      <c r="CDQ2" s="5" t="s">
        <v>409</v>
      </c>
      <c r="CDR2" s="5" t="s">
        <v>409</v>
      </c>
      <c r="CDS2" s="5" t="s">
        <v>409</v>
      </c>
      <c r="CDT2" s="5" t="s">
        <v>409</v>
      </c>
      <c r="CDU2" s="5" t="s">
        <v>409</v>
      </c>
      <c r="CDV2" s="5" t="s">
        <v>409</v>
      </c>
      <c r="CDW2" s="5" t="s">
        <v>409</v>
      </c>
      <c r="CDX2" s="5" t="s">
        <v>409</v>
      </c>
      <c r="CDY2" s="5" t="s">
        <v>409</v>
      </c>
      <c r="CDZ2" s="5" t="s">
        <v>409</v>
      </c>
      <c r="CEA2" s="5" t="s">
        <v>409</v>
      </c>
      <c r="CEB2" s="5" t="s">
        <v>409</v>
      </c>
      <c r="CEC2" s="5" t="s">
        <v>409</v>
      </c>
      <c r="CED2" s="5" t="s">
        <v>409</v>
      </c>
      <c r="CEE2" s="5" t="s">
        <v>409</v>
      </c>
      <c r="CEF2" s="5" t="s">
        <v>409</v>
      </c>
      <c r="CEG2" s="5" t="s">
        <v>409</v>
      </c>
      <c r="CEH2" s="5" t="s">
        <v>409</v>
      </c>
      <c r="CEI2" s="5" t="s">
        <v>409</v>
      </c>
      <c r="CEJ2" s="5" t="s">
        <v>409</v>
      </c>
      <c r="CEK2" s="5" t="s">
        <v>409</v>
      </c>
      <c r="CEL2" s="5" t="s">
        <v>409</v>
      </c>
      <c r="CEM2" s="5" t="s">
        <v>409</v>
      </c>
      <c r="CEN2" s="5" t="s">
        <v>409</v>
      </c>
      <c r="CEO2" s="5" t="s">
        <v>409</v>
      </c>
      <c r="CEP2" s="5" t="s">
        <v>409</v>
      </c>
      <c r="CEQ2" s="5" t="s">
        <v>409</v>
      </c>
      <c r="CER2" s="5" t="s">
        <v>409</v>
      </c>
      <c r="CES2" s="5" t="s">
        <v>409</v>
      </c>
      <c r="CET2" s="5" t="s">
        <v>409</v>
      </c>
      <c r="CEU2" s="5" t="s">
        <v>409</v>
      </c>
      <c r="CEV2" s="5" t="s">
        <v>409</v>
      </c>
      <c r="CEW2" s="5" t="s">
        <v>409</v>
      </c>
      <c r="CEX2" s="5" t="s">
        <v>409</v>
      </c>
      <c r="CEY2" s="5" t="s">
        <v>409</v>
      </c>
      <c r="CEZ2" s="5" t="s">
        <v>409</v>
      </c>
      <c r="CFA2" s="5" t="s">
        <v>409</v>
      </c>
      <c r="CFB2" s="5" t="s">
        <v>409</v>
      </c>
      <c r="CFC2" s="5" t="s">
        <v>409</v>
      </c>
      <c r="CFD2" s="5" t="s">
        <v>409</v>
      </c>
      <c r="CFE2" s="5" t="s">
        <v>409</v>
      </c>
      <c r="CFF2" s="5" t="s">
        <v>409</v>
      </c>
      <c r="CFG2" s="5" t="s">
        <v>409</v>
      </c>
      <c r="CFH2" s="5" t="s">
        <v>409</v>
      </c>
      <c r="CFI2" s="5" t="s">
        <v>409</v>
      </c>
      <c r="CFJ2" s="5" t="s">
        <v>409</v>
      </c>
      <c r="CFK2" s="5" t="s">
        <v>409</v>
      </c>
      <c r="CFL2" s="5" t="s">
        <v>409</v>
      </c>
      <c r="CFM2" s="5" t="s">
        <v>409</v>
      </c>
      <c r="CFN2" s="5" t="s">
        <v>409</v>
      </c>
      <c r="CFO2" s="5" t="s">
        <v>409</v>
      </c>
      <c r="CFP2" s="5" t="s">
        <v>409</v>
      </c>
      <c r="CFQ2" s="5" t="s">
        <v>409</v>
      </c>
      <c r="CFR2" s="5" t="s">
        <v>409</v>
      </c>
      <c r="CFS2" s="5" t="s">
        <v>409</v>
      </c>
      <c r="CFT2" s="5" t="s">
        <v>409</v>
      </c>
      <c r="CFU2" s="5" t="s">
        <v>409</v>
      </c>
      <c r="CFV2" s="5" t="s">
        <v>409</v>
      </c>
      <c r="CFW2" s="5" t="s">
        <v>409</v>
      </c>
      <c r="CFX2" s="5" t="s">
        <v>409</v>
      </c>
      <c r="CFY2" s="5" t="s">
        <v>409</v>
      </c>
      <c r="CFZ2" s="5" t="s">
        <v>409</v>
      </c>
      <c r="CGA2" s="5" t="s">
        <v>409</v>
      </c>
      <c r="CGB2" s="5" t="s">
        <v>409</v>
      </c>
      <c r="CGC2" s="5" t="s">
        <v>409</v>
      </c>
      <c r="CGD2" s="5" t="s">
        <v>409</v>
      </c>
      <c r="CGE2" s="5" t="s">
        <v>409</v>
      </c>
      <c r="CGF2" s="5" t="s">
        <v>409</v>
      </c>
      <c r="CGG2" s="5" t="s">
        <v>409</v>
      </c>
      <c r="CGH2" s="5" t="s">
        <v>409</v>
      </c>
      <c r="CGI2" s="5" t="s">
        <v>409</v>
      </c>
      <c r="CGJ2" s="5" t="s">
        <v>409</v>
      </c>
      <c r="CGK2" s="5" t="s">
        <v>409</v>
      </c>
      <c r="CGL2" s="5" t="s">
        <v>409</v>
      </c>
      <c r="CGM2" s="5" t="s">
        <v>409</v>
      </c>
      <c r="CGN2" s="5" t="s">
        <v>409</v>
      </c>
      <c r="CGO2" s="5" t="s">
        <v>409</v>
      </c>
      <c r="CGP2" s="5" t="s">
        <v>409</v>
      </c>
      <c r="CGQ2" s="5" t="s">
        <v>409</v>
      </c>
      <c r="CGR2" s="5" t="s">
        <v>409</v>
      </c>
      <c r="CGS2" s="5" t="s">
        <v>409</v>
      </c>
      <c r="CGT2" s="5" t="s">
        <v>409</v>
      </c>
      <c r="CGU2" s="5" t="s">
        <v>409</v>
      </c>
      <c r="CGV2" s="5" t="s">
        <v>409</v>
      </c>
      <c r="CGW2" s="5" t="s">
        <v>409</v>
      </c>
      <c r="CGX2" s="5" t="s">
        <v>409</v>
      </c>
      <c r="CGY2" s="5" t="s">
        <v>409</v>
      </c>
      <c r="CGZ2" s="5" t="s">
        <v>409</v>
      </c>
      <c r="CHA2" s="5" t="s">
        <v>409</v>
      </c>
      <c r="CHB2" s="5" t="s">
        <v>409</v>
      </c>
      <c r="CHC2" s="5" t="s">
        <v>409</v>
      </c>
      <c r="CHD2" s="5" t="s">
        <v>409</v>
      </c>
      <c r="CHE2" s="5" t="s">
        <v>409</v>
      </c>
      <c r="CHF2" s="5" t="s">
        <v>409</v>
      </c>
      <c r="CHG2" s="5" t="s">
        <v>409</v>
      </c>
      <c r="CHH2" s="5" t="s">
        <v>409</v>
      </c>
      <c r="CHI2" s="5" t="s">
        <v>409</v>
      </c>
      <c r="CHJ2" s="5" t="s">
        <v>409</v>
      </c>
      <c r="CHK2" s="5" t="s">
        <v>409</v>
      </c>
      <c r="CHL2" s="5" t="s">
        <v>409</v>
      </c>
      <c r="CHM2" s="5" t="s">
        <v>409</v>
      </c>
      <c r="CHN2" s="5" t="s">
        <v>409</v>
      </c>
      <c r="CHO2" s="5" t="s">
        <v>409</v>
      </c>
      <c r="CHP2" s="5" t="s">
        <v>409</v>
      </c>
      <c r="CHQ2" s="5" t="s">
        <v>409</v>
      </c>
      <c r="CHR2" s="5" t="s">
        <v>409</v>
      </c>
      <c r="CHS2" s="5" t="s">
        <v>409</v>
      </c>
      <c r="CHT2" s="5" t="s">
        <v>409</v>
      </c>
      <c r="CHU2" s="5" t="s">
        <v>409</v>
      </c>
      <c r="CHV2" s="5" t="s">
        <v>409</v>
      </c>
      <c r="CHW2" s="5" t="s">
        <v>409</v>
      </c>
      <c r="CHX2" s="5" t="s">
        <v>409</v>
      </c>
      <c r="CHY2" s="5" t="s">
        <v>409</v>
      </c>
      <c r="CHZ2" s="5" t="s">
        <v>409</v>
      </c>
      <c r="CIA2" s="5" t="s">
        <v>409</v>
      </c>
      <c r="CIB2" s="5" t="s">
        <v>409</v>
      </c>
      <c r="CIC2" s="5" t="s">
        <v>409</v>
      </c>
      <c r="CID2" s="5" t="s">
        <v>409</v>
      </c>
      <c r="CIE2" s="5" t="s">
        <v>409</v>
      </c>
      <c r="CIF2" s="5" t="s">
        <v>409</v>
      </c>
      <c r="CIG2" s="5" t="s">
        <v>409</v>
      </c>
      <c r="CIH2" s="5" t="s">
        <v>409</v>
      </c>
      <c r="CII2" s="5" t="s">
        <v>409</v>
      </c>
      <c r="CIJ2" s="5" t="s">
        <v>409</v>
      </c>
      <c r="CIK2" s="5" t="s">
        <v>409</v>
      </c>
      <c r="CIL2" s="5" t="s">
        <v>409</v>
      </c>
      <c r="CIM2" s="5" t="s">
        <v>409</v>
      </c>
      <c r="CIN2" s="5" t="s">
        <v>409</v>
      </c>
      <c r="CIO2" s="5" t="s">
        <v>409</v>
      </c>
      <c r="CIP2" s="5" t="s">
        <v>409</v>
      </c>
      <c r="CIQ2" s="5" t="s">
        <v>409</v>
      </c>
      <c r="CIR2" s="5" t="s">
        <v>409</v>
      </c>
      <c r="CIS2" s="5" t="s">
        <v>409</v>
      </c>
      <c r="CIT2" s="5" t="s">
        <v>409</v>
      </c>
      <c r="CIU2" s="5" t="s">
        <v>409</v>
      </c>
      <c r="CIV2" s="5" t="s">
        <v>409</v>
      </c>
      <c r="CIW2" s="5" t="s">
        <v>409</v>
      </c>
      <c r="CIX2" s="5" t="s">
        <v>409</v>
      </c>
      <c r="CIY2" s="5" t="s">
        <v>409</v>
      </c>
      <c r="CIZ2" s="5" t="s">
        <v>409</v>
      </c>
      <c r="CJA2" s="5" t="s">
        <v>409</v>
      </c>
      <c r="CJB2" s="5" t="s">
        <v>409</v>
      </c>
      <c r="CJC2" s="5" t="s">
        <v>409</v>
      </c>
      <c r="CJD2" s="5" t="s">
        <v>409</v>
      </c>
      <c r="CJE2" s="5" t="s">
        <v>409</v>
      </c>
      <c r="CJF2" s="5" t="s">
        <v>409</v>
      </c>
      <c r="CJG2" s="5" t="s">
        <v>409</v>
      </c>
      <c r="CJH2" s="5" t="s">
        <v>409</v>
      </c>
      <c r="CJI2" s="5" t="s">
        <v>409</v>
      </c>
      <c r="CJJ2" s="5" t="s">
        <v>409</v>
      </c>
      <c r="CJK2" s="5" t="s">
        <v>409</v>
      </c>
      <c r="CJL2" s="5" t="s">
        <v>409</v>
      </c>
      <c r="CJM2" s="5" t="s">
        <v>409</v>
      </c>
      <c r="CJN2" s="5" t="s">
        <v>409</v>
      </c>
      <c r="CJO2" s="5" t="s">
        <v>409</v>
      </c>
      <c r="CJP2" s="5" t="s">
        <v>409</v>
      </c>
      <c r="CJQ2" s="5" t="s">
        <v>409</v>
      </c>
      <c r="CJR2" s="5" t="s">
        <v>409</v>
      </c>
      <c r="CJS2" s="5" t="s">
        <v>409</v>
      </c>
      <c r="CJT2" s="5" t="s">
        <v>409</v>
      </c>
      <c r="CJU2" s="5" t="s">
        <v>409</v>
      </c>
      <c r="CJV2" s="5" t="s">
        <v>409</v>
      </c>
      <c r="CJW2" s="5" t="s">
        <v>409</v>
      </c>
      <c r="CJX2" s="5" t="s">
        <v>409</v>
      </c>
      <c r="CJY2" s="5" t="s">
        <v>409</v>
      </c>
      <c r="CJZ2" s="5" t="s">
        <v>409</v>
      </c>
      <c r="CKA2" s="5" t="s">
        <v>409</v>
      </c>
      <c r="CKB2" s="5" t="s">
        <v>409</v>
      </c>
      <c r="CKC2" s="5" t="s">
        <v>409</v>
      </c>
      <c r="CKD2" s="5" t="s">
        <v>409</v>
      </c>
      <c r="CKE2" s="5" t="s">
        <v>409</v>
      </c>
      <c r="CKF2" s="5" t="s">
        <v>409</v>
      </c>
      <c r="CKG2" s="5" t="s">
        <v>409</v>
      </c>
      <c r="CKH2" s="5" t="s">
        <v>409</v>
      </c>
      <c r="CKI2" s="5" t="s">
        <v>409</v>
      </c>
      <c r="CKJ2" s="5" t="s">
        <v>409</v>
      </c>
      <c r="CKK2" s="5" t="s">
        <v>409</v>
      </c>
      <c r="CKL2" s="5" t="s">
        <v>409</v>
      </c>
      <c r="CKM2" s="5" t="s">
        <v>409</v>
      </c>
      <c r="CKN2" s="5" t="s">
        <v>409</v>
      </c>
      <c r="CKO2" s="5" t="s">
        <v>409</v>
      </c>
      <c r="CKP2" s="5" t="s">
        <v>409</v>
      </c>
      <c r="CKQ2" s="5" t="s">
        <v>409</v>
      </c>
      <c r="CKR2" s="5" t="s">
        <v>409</v>
      </c>
      <c r="CKS2" s="5" t="s">
        <v>409</v>
      </c>
      <c r="CKT2" s="5" t="s">
        <v>409</v>
      </c>
      <c r="CKU2" s="5" t="s">
        <v>409</v>
      </c>
      <c r="CKV2" s="5" t="s">
        <v>409</v>
      </c>
      <c r="CKW2" s="5" t="s">
        <v>409</v>
      </c>
      <c r="CKX2" s="5" t="s">
        <v>409</v>
      </c>
      <c r="CKY2" s="5" t="s">
        <v>409</v>
      </c>
      <c r="CKZ2" s="5" t="s">
        <v>409</v>
      </c>
      <c r="CLA2" s="5" t="s">
        <v>409</v>
      </c>
      <c r="CLB2" s="5" t="s">
        <v>409</v>
      </c>
      <c r="CLC2" s="5" t="s">
        <v>409</v>
      </c>
      <c r="CLD2" s="5" t="s">
        <v>409</v>
      </c>
      <c r="CLE2" s="5" t="s">
        <v>409</v>
      </c>
      <c r="CLF2" s="5" t="s">
        <v>409</v>
      </c>
      <c r="CLG2" s="5" t="s">
        <v>409</v>
      </c>
      <c r="CLH2" s="5" t="s">
        <v>409</v>
      </c>
      <c r="CLI2" s="5" t="s">
        <v>409</v>
      </c>
      <c r="CLJ2" s="5" t="s">
        <v>409</v>
      </c>
      <c r="CLK2" s="5" t="s">
        <v>409</v>
      </c>
      <c r="CLL2" s="5" t="s">
        <v>409</v>
      </c>
      <c r="CLM2" s="5" t="s">
        <v>409</v>
      </c>
      <c r="CLN2" s="5" t="s">
        <v>409</v>
      </c>
      <c r="CLO2" s="5" t="s">
        <v>409</v>
      </c>
      <c r="CLP2" s="5" t="s">
        <v>409</v>
      </c>
      <c r="CLQ2" s="5" t="s">
        <v>409</v>
      </c>
      <c r="CLR2" s="5" t="s">
        <v>409</v>
      </c>
      <c r="CLS2" s="5" t="s">
        <v>409</v>
      </c>
      <c r="CLT2" s="5" t="s">
        <v>409</v>
      </c>
      <c r="CLU2" s="5" t="s">
        <v>409</v>
      </c>
      <c r="CLV2" s="5" t="s">
        <v>409</v>
      </c>
      <c r="CLW2" s="5" t="s">
        <v>409</v>
      </c>
      <c r="CLX2" s="5" t="s">
        <v>409</v>
      </c>
      <c r="CLY2" s="5" t="s">
        <v>409</v>
      </c>
      <c r="CLZ2" s="5" t="s">
        <v>409</v>
      </c>
      <c r="CMA2" s="5" t="s">
        <v>409</v>
      </c>
      <c r="CMB2" s="5" t="s">
        <v>409</v>
      </c>
      <c r="CMC2" s="5" t="s">
        <v>409</v>
      </c>
      <c r="CMD2" s="5" t="s">
        <v>409</v>
      </c>
      <c r="CME2" s="5" t="s">
        <v>409</v>
      </c>
      <c r="CMF2" s="5" t="s">
        <v>409</v>
      </c>
      <c r="CMG2" s="5" t="s">
        <v>409</v>
      </c>
      <c r="CMH2" s="5" t="s">
        <v>409</v>
      </c>
      <c r="CMI2" s="5" t="s">
        <v>409</v>
      </c>
      <c r="CMJ2" s="5" t="s">
        <v>409</v>
      </c>
      <c r="CMK2" s="5" t="s">
        <v>409</v>
      </c>
      <c r="CML2" s="5" t="s">
        <v>409</v>
      </c>
      <c r="CMM2" s="5" t="s">
        <v>409</v>
      </c>
      <c r="CMN2" s="5" t="s">
        <v>409</v>
      </c>
      <c r="CMO2" s="5" t="s">
        <v>409</v>
      </c>
      <c r="CMP2" s="5" t="s">
        <v>409</v>
      </c>
      <c r="CMQ2" s="5" t="s">
        <v>409</v>
      </c>
      <c r="CMR2" s="5" t="s">
        <v>409</v>
      </c>
      <c r="CMS2" s="5" t="s">
        <v>409</v>
      </c>
      <c r="CMT2" s="5" t="s">
        <v>409</v>
      </c>
      <c r="CMU2" s="5" t="s">
        <v>409</v>
      </c>
      <c r="CMV2" s="5" t="s">
        <v>409</v>
      </c>
      <c r="CMW2" s="5" t="s">
        <v>409</v>
      </c>
      <c r="CMX2" s="5" t="s">
        <v>409</v>
      </c>
      <c r="CMY2" s="5" t="s">
        <v>409</v>
      </c>
      <c r="CMZ2" s="5" t="s">
        <v>409</v>
      </c>
      <c r="CNA2" s="5" t="s">
        <v>409</v>
      </c>
      <c r="CNB2" s="5" t="s">
        <v>409</v>
      </c>
      <c r="CNC2" s="5" t="s">
        <v>409</v>
      </c>
      <c r="CND2" s="5" t="s">
        <v>409</v>
      </c>
      <c r="CNE2" s="5" t="s">
        <v>409</v>
      </c>
      <c r="CNF2" s="5" t="s">
        <v>409</v>
      </c>
      <c r="CNG2" s="5" t="s">
        <v>409</v>
      </c>
      <c r="CNH2" s="5" t="s">
        <v>409</v>
      </c>
      <c r="CNI2" s="5" t="s">
        <v>409</v>
      </c>
      <c r="CNJ2" s="5" t="s">
        <v>409</v>
      </c>
      <c r="CNK2" s="5" t="s">
        <v>409</v>
      </c>
      <c r="CNL2" s="5" t="s">
        <v>409</v>
      </c>
      <c r="CNM2" s="5" t="s">
        <v>409</v>
      </c>
      <c r="CNN2" s="5" t="s">
        <v>409</v>
      </c>
      <c r="CNO2" s="5" t="s">
        <v>409</v>
      </c>
      <c r="CNP2" s="5" t="s">
        <v>409</v>
      </c>
      <c r="CNQ2" s="5" t="s">
        <v>409</v>
      </c>
      <c r="CNR2" s="5" t="s">
        <v>409</v>
      </c>
      <c r="CNS2" s="5" t="s">
        <v>409</v>
      </c>
      <c r="CNT2" s="5" t="s">
        <v>409</v>
      </c>
      <c r="CNU2" s="5" t="s">
        <v>409</v>
      </c>
      <c r="CNV2" s="5" t="s">
        <v>409</v>
      </c>
      <c r="CNW2" s="5" t="s">
        <v>409</v>
      </c>
      <c r="CNX2" s="5" t="s">
        <v>409</v>
      </c>
      <c r="CNY2" s="5" t="s">
        <v>409</v>
      </c>
      <c r="CNZ2" s="5" t="s">
        <v>409</v>
      </c>
      <c r="COA2" s="5" t="s">
        <v>409</v>
      </c>
      <c r="COB2" s="5" t="s">
        <v>409</v>
      </c>
      <c r="COC2" s="5" t="s">
        <v>409</v>
      </c>
      <c r="COD2" s="5" t="s">
        <v>409</v>
      </c>
      <c r="COE2" s="5" t="s">
        <v>409</v>
      </c>
      <c r="COF2" s="5" t="s">
        <v>409</v>
      </c>
      <c r="COG2" s="5" t="s">
        <v>409</v>
      </c>
      <c r="COH2" s="5" t="s">
        <v>409</v>
      </c>
      <c r="COI2" s="5" t="s">
        <v>409</v>
      </c>
      <c r="COJ2" s="5" t="s">
        <v>409</v>
      </c>
      <c r="COK2" s="5" t="s">
        <v>409</v>
      </c>
      <c r="COL2" s="5" t="s">
        <v>409</v>
      </c>
      <c r="COM2" s="5" t="s">
        <v>409</v>
      </c>
      <c r="CON2" s="5" t="s">
        <v>409</v>
      </c>
      <c r="COO2" s="5" t="s">
        <v>409</v>
      </c>
      <c r="COP2" s="5" t="s">
        <v>409</v>
      </c>
      <c r="COQ2" s="5" t="s">
        <v>409</v>
      </c>
      <c r="COR2" s="5" t="s">
        <v>409</v>
      </c>
      <c r="COS2" s="5" t="s">
        <v>409</v>
      </c>
      <c r="COT2" s="5" t="s">
        <v>409</v>
      </c>
      <c r="COU2" s="5" t="s">
        <v>409</v>
      </c>
      <c r="COV2" s="5" t="s">
        <v>409</v>
      </c>
      <c r="COW2" s="5" t="s">
        <v>409</v>
      </c>
      <c r="COX2" s="5" t="s">
        <v>409</v>
      </c>
      <c r="COY2" s="5" t="s">
        <v>409</v>
      </c>
      <c r="COZ2" s="5" t="s">
        <v>409</v>
      </c>
      <c r="CPA2" s="5" t="s">
        <v>409</v>
      </c>
      <c r="CPB2" s="5" t="s">
        <v>409</v>
      </c>
      <c r="CPC2" s="5" t="s">
        <v>409</v>
      </c>
      <c r="CPD2" s="5" t="s">
        <v>409</v>
      </c>
      <c r="CPE2" s="5" t="s">
        <v>409</v>
      </c>
      <c r="CPF2" s="5" t="s">
        <v>409</v>
      </c>
      <c r="CPG2" s="5" t="s">
        <v>409</v>
      </c>
      <c r="CPH2" s="5" t="s">
        <v>409</v>
      </c>
      <c r="CPI2" s="5" t="s">
        <v>409</v>
      </c>
      <c r="CPJ2" s="5" t="s">
        <v>409</v>
      </c>
      <c r="CPK2" s="5" t="s">
        <v>409</v>
      </c>
      <c r="CPL2" s="5" t="s">
        <v>409</v>
      </c>
      <c r="CPM2" s="5" t="s">
        <v>409</v>
      </c>
      <c r="CPN2" s="5" t="s">
        <v>409</v>
      </c>
      <c r="CPO2" s="5" t="s">
        <v>409</v>
      </c>
      <c r="CPP2" s="5" t="s">
        <v>409</v>
      </c>
      <c r="CPQ2" s="5" t="s">
        <v>409</v>
      </c>
      <c r="CPR2" s="5" t="s">
        <v>409</v>
      </c>
      <c r="CPS2" s="5" t="s">
        <v>409</v>
      </c>
      <c r="CPT2" s="5" t="s">
        <v>409</v>
      </c>
      <c r="CPU2" s="5" t="s">
        <v>409</v>
      </c>
      <c r="CPV2" s="5" t="s">
        <v>409</v>
      </c>
      <c r="CPW2" s="5" t="s">
        <v>409</v>
      </c>
      <c r="CPX2" s="5" t="s">
        <v>409</v>
      </c>
      <c r="CPY2" s="5" t="s">
        <v>409</v>
      </c>
      <c r="CPZ2" s="5" t="s">
        <v>409</v>
      </c>
      <c r="CQA2" s="5" t="s">
        <v>409</v>
      </c>
      <c r="CQB2" s="5" t="s">
        <v>409</v>
      </c>
      <c r="CQC2" s="5" t="s">
        <v>409</v>
      </c>
      <c r="CQD2" s="5" t="s">
        <v>409</v>
      </c>
      <c r="CQE2" s="5" t="s">
        <v>409</v>
      </c>
      <c r="CQF2" s="5" t="s">
        <v>409</v>
      </c>
      <c r="CQG2" s="5" t="s">
        <v>409</v>
      </c>
      <c r="CQH2" s="5" t="s">
        <v>409</v>
      </c>
      <c r="CQI2" s="5" t="s">
        <v>409</v>
      </c>
      <c r="CQJ2" s="5" t="s">
        <v>409</v>
      </c>
      <c r="CQK2" s="5" t="s">
        <v>409</v>
      </c>
      <c r="CQL2" s="5" t="s">
        <v>409</v>
      </c>
      <c r="CQM2" s="5" t="s">
        <v>409</v>
      </c>
      <c r="CQN2" s="5" t="s">
        <v>409</v>
      </c>
      <c r="CQO2" s="5" t="s">
        <v>409</v>
      </c>
      <c r="CQP2" s="5" t="s">
        <v>409</v>
      </c>
      <c r="CQQ2" s="5" t="s">
        <v>409</v>
      </c>
      <c r="CQR2" s="5" t="s">
        <v>409</v>
      </c>
      <c r="CQS2" s="5" t="s">
        <v>409</v>
      </c>
      <c r="CQT2" s="5" t="s">
        <v>409</v>
      </c>
      <c r="CQU2" s="5" t="s">
        <v>409</v>
      </c>
      <c r="CQV2" s="5" t="s">
        <v>409</v>
      </c>
      <c r="CQW2" s="5" t="s">
        <v>409</v>
      </c>
      <c r="CQX2" s="5" t="s">
        <v>409</v>
      </c>
      <c r="CQY2" s="5" t="s">
        <v>409</v>
      </c>
      <c r="CQZ2" s="5" t="s">
        <v>409</v>
      </c>
      <c r="CRA2" s="5" t="s">
        <v>409</v>
      </c>
      <c r="CRB2" s="5" t="s">
        <v>409</v>
      </c>
      <c r="CRC2" s="5" t="s">
        <v>409</v>
      </c>
      <c r="CRD2" s="5" t="s">
        <v>409</v>
      </c>
      <c r="CRE2" s="5" t="s">
        <v>409</v>
      </c>
      <c r="CRF2" s="5" t="s">
        <v>409</v>
      </c>
      <c r="CRG2" s="5" t="s">
        <v>409</v>
      </c>
      <c r="CRH2" s="5" t="s">
        <v>409</v>
      </c>
      <c r="CRI2" s="5" t="s">
        <v>409</v>
      </c>
      <c r="CRJ2" s="5" t="s">
        <v>409</v>
      </c>
      <c r="CRK2" s="5" t="s">
        <v>409</v>
      </c>
      <c r="CRL2" s="5" t="s">
        <v>409</v>
      </c>
      <c r="CRM2" s="5" t="s">
        <v>409</v>
      </c>
      <c r="CRN2" s="5" t="s">
        <v>409</v>
      </c>
      <c r="CRO2" s="5" t="s">
        <v>409</v>
      </c>
      <c r="CRP2" s="5" t="s">
        <v>409</v>
      </c>
      <c r="CRQ2" s="5" t="s">
        <v>409</v>
      </c>
      <c r="CRR2" s="5" t="s">
        <v>409</v>
      </c>
      <c r="CRS2" s="5" t="s">
        <v>409</v>
      </c>
      <c r="CRT2" s="5" t="s">
        <v>409</v>
      </c>
      <c r="CRU2" s="5" t="s">
        <v>409</v>
      </c>
      <c r="CRV2" s="5" t="s">
        <v>409</v>
      </c>
      <c r="CRW2" s="5" t="s">
        <v>409</v>
      </c>
      <c r="CRX2" s="5" t="s">
        <v>409</v>
      </c>
      <c r="CRY2" s="5" t="s">
        <v>409</v>
      </c>
      <c r="CRZ2" s="5" t="s">
        <v>409</v>
      </c>
      <c r="CSA2" s="5" t="s">
        <v>409</v>
      </c>
      <c r="CSB2" s="5" t="s">
        <v>409</v>
      </c>
      <c r="CSC2" s="5" t="s">
        <v>409</v>
      </c>
      <c r="CSD2" s="5" t="s">
        <v>409</v>
      </c>
      <c r="CSE2" s="5" t="s">
        <v>409</v>
      </c>
      <c r="CSF2" s="5" t="s">
        <v>409</v>
      </c>
      <c r="CSG2" s="5" t="s">
        <v>409</v>
      </c>
      <c r="CSH2" s="5" t="s">
        <v>409</v>
      </c>
      <c r="CSI2" s="5" t="s">
        <v>409</v>
      </c>
      <c r="CSJ2" s="5" t="s">
        <v>409</v>
      </c>
      <c r="CSK2" s="5" t="s">
        <v>409</v>
      </c>
      <c r="CSL2" s="5" t="s">
        <v>409</v>
      </c>
      <c r="CSM2" s="5" t="s">
        <v>409</v>
      </c>
      <c r="CSN2" s="5" t="s">
        <v>409</v>
      </c>
      <c r="CSO2" s="5" t="s">
        <v>409</v>
      </c>
      <c r="CSP2" s="5" t="s">
        <v>409</v>
      </c>
      <c r="CSQ2" s="5" t="s">
        <v>409</v>
      </c>
      <c r="CSR2" s="5" t="s">
        <v>409</v>
      </c>
      <c r="CSS2" s="5" t="s">
        <v>409</v>
      </c>
      <c r="CST2" s="5" t="s">
        <v>409</v>
      </c>
      <c r="CSU2" s="5" t="s">
        <v>409</v>
      </c>
      <c r="CSV2" s="5" t="s">
        <v>409</v>
      </c>
      <c r="CSW2" s="5" t="s">
        <v>409</v>
      </c>
      <c r="CSX2" s="5" t="s">
        <v>409</v>
      </c>
      <c r="CSY2" s="5" t="s">
        <v>409</v>
      </c>
      <c r="CSZ2" s="5" t="s">
        <v>409</v>
      </c>
      <c r="CTA2" s="5" t="s">
        <v>409</v>
      </c>
      <c r="CTB2" s="5" t="s">
        <v>409</v>
      </c>
      <c r="CTC2" s="5" t="s">
        <v>409</v>
      </c>
      <c r="CTD2" s="5" t="s">
        <v>409</v>
      </c>
      <c r="CTE2" s="5" t="s">
        <v>409</v>
      </c>
      <c r="CTF2" s="5" t="s">
        <v>409</v>
      </c>
      <c r="CTG2" s="5" t="s">
        <v>409</v>
      </c>
      <c r="CTH2" s="5" t="s">
        <v>409</v>
      </c>
      <c r="CTI2" s="5" t="s">
        <v>409</v>
      </c>
      <c r="CTJ2" s="5" t="s">
        <v>409</v>
      </c>
      <c r="CTK2" s="5" t="s">
        <v>409</v>
      </c>
      <c r="CTL2" s="5" t="s">
        <v>409</v>
      </c>
      <c r="CTM2" s="5" t="s">
        <v>409</v>
      </c>
      <c r="CTN2" s="5" t="s">
        <v>409</v>
      </c>
      <c r="CTO2" s="5" t="s">
        <v>409</v>
      </c>
      <c r="CTP2" s="5" t="s">
        <v>409</v>
      </c>
      <c r="CTQ2" s="5" t="s">
        <v>409</v>
      </c>
      <c r="CTR2" s="5" t="s">
        <v>409</v>
      </c>
      <c r="CTS2" s="5" t="s">
        <v>409</v>
      </c>
      <c r="CTT2" s="5" t="s">
        <v>409</v>
      </c>
      <c r="CTU2" s="5" t="s">
        <v>409</v>
      </c>
      <c r="CTV2" s="5" t="s">
        <v>409</v>
      </c>
      <c r="CTW2" s="5" t="s">
        <v>409</v>
      </c>
      <c r="CTX2" s="5" t="s">
        <v>409</v>
      </c>
      <c r="CTY2" s="5" t="s">
        <v>409</v>
      </c>
      <c r="CTZ2" s="5" t="s">
        <v>409</v>
      </c>
      <c r="CUA2" s="5" t="s">
        <v>409</v>
      </c>
      <c r="CUB2" s="5" t="s">
        <v>409</v>
      </c>
      <c r="CUC2" s="5" t="s">
        <v>409</v>
      </c>
      <c r="CUD2" s="5" t="s">
        <v>409</v>
      </c>
      <c r="CUE2" s="5" t="s">
        <v>409</v>
      </c>
      <c r="CUF2" s="5" t="s">
        <v>409</v>
      </c>
      <c r="CUG2" s="5" t="s">
        <v>409</v>
      </c>
      <c r="CUH2" s="5" t="s">
        <v>409</v>
      </c>
      <c r="CUI2" s="5" t="s">
        <v>409</v>
      </c>
      <c r="CUJ2" s="5" t="s">
        <v>409</v>
      </c>
      <c r="CUK2" s="5" t="s">
        <v>409</v>
      </c>
      <c r="CUL2" s="5" t="s">
        <v>409</v>
      </c>
      <c r="CUM2" s="5" t="s">
        <v>409</v>
      </c>
      <c r="CUN2" s="5" t="s">
        <v>409</v>
      </c>
      <c r="CUO2" s="5" t="s">
        <v>409</v>
      </c>
      <c r="CUP2" s="5" t="s">
        <v>409</v>
      </c>
      <c r="CUQ2" s="5" t="s">
        <v>409</v>
      </c>
      <c r="CUR2" s="5" t="s">
        <v>409</v>
      </c>
      <c r="CUS2" s="5" t="s">
        <v>409</v>
      </c>
      <c r="CUT2" s="5" t="s">
        <v>409</v>
      </c>
      <c r="CUU2" s="5" t="s">
        <v>409</v>
      </c>
      <c r="CUV2" s="5" t="s">
        <v>409</v>
      </c>
      <c r="CUW2" s="5" t="s">
        <v>409</v>
      </c>
      <c r="CUX2" s="5" t="s">
        <v>409</v>
      </c>
      <c r="CUY2" s="5" t="s">
        <v>409</v>
      </c>
      <c r="CUZ2" s="5" t="s">
        <v>409</v>
      </c>
      <c r="CVA2" s="5" t="s">
        <v>409</v>
      </c>
      <c r="CVB2" s="5" t="s">
        <v>409</v>
      </c>
      <c r="CVC2" s="5" t="s">
        <v>409</v>
      </c>
      <c r="CVD2" s="5" t="s">
        <v>409</v>
      </c>
      <c r="CVE2" s="5" t="s">
        <v>409</v>
      </c>
      <c r="CVF2" s="5" t="s">
        <v>409</v>
      </c>
      <c r="CVG2" s="5" t="s">
        <v>409</v>
      </c>
      <c r="CVH2" s="5" t="s">
        <v>409</v>
      </c>
      <c r="CVI2" s="5" t="s">
        <v>409</v>
      </c>
      <c r="CVJ2" s="5" t="s">
        <v>409</v>
      </c>
      <c r="CVK2" s="5" t="s">
        <v>409</v>
      </c>
      <c r="CVL2" s="5" t="s">
        <v>409</v>
      </c>
      <c r="CVM2" s="5" t="s">
        <v>409</v>
      </c>
      <c r="CVN2" s="5" t="s">
        <v>409</v>
      </c>
      <c r="CVO2" s="5" t="s">
        <v>409</v>
      </c>
      <c r="CVP2" s="5" t="s">
        <v>409</v>
      </c>
      <c r="CVQ2" s="5" t="s">
        <v>409</v>
      </c>
      <c r="CVR2" s="5" t="s">
        <v>409</v>
      </c>
      <c r="CVS2" s="5" t="s">
        <v>409</v>
      </c>
      <c r="CVT2" s="5" t="s">
        <v>409</v>
      </c>
      <c r="CVU2" s="5" t="s">
        <v>409</v>
      </c>
      <c r="CVV2" s="5" t="s">
        <v>409</v>
      </c>
      <c r="CVW2" s="5" t="s">
        <v>409</v>
      </c>
      <c r="CVX2" s="5" t="s">
        <v>409</v>
      </c>
      <c r="CVY2" s="5" t="s">
        <v>409</v>
      </c>
      <c r="CVZ2" s="5" t="s">
        <v>409</v>
      </c>
      <c r="CWA2" s="5" t="s">
        <v>409</v>
      </c>
      <c r="CWB2" s="5" t="s">
        <v>409</v>
      </c>
      <c r="CWC2" s="5" t="s">
        <v>409</v>
      </c>
      <c r="CWD2" s="5" t="s">
        <v>409</v>
      </c>
      <c r="CWE2" s="5" t="s">
        <v>409</v>
      </c>
      <c r="CWF2" s="5" t="s">
        <v>409</v>
      </c>
      <c r="CWG2" s="5" t="s">
        <v>409</v>
      </c>
      <c r="CWH2" s="5" t="s">
        <v>409</v>
      </c>
      <c r="CWI2" s="5" t="s">
        <v>409</v>
      </c>
      <c r="CWJ2" s="5" t="s">
        <v>409</v>
      </c>
      <c r="CWK2" s="5" t="s">
        <v>409</v>
      </c>
      <c r="CWL2" s="5" t="s">
        <v>409</v>
      </c>
      <c r="CWM2" s="5" t="s">
        <v>409</v>
      </c>
      <c r="CWN2" s="5" t="s">
        <v>409</v>
      </c>
      <c r="CWO2" s="5" t="s">
        <v>409</v>
      </c>
      <c r="CWP2" s="5" t="s">
        <v>409</v>
      </c>
      <c r="CWQ2" s="5" t="s">
        <v>409</v>
      </c>
      <c r="CWR2" s="5" t="s">
        <v>409</v>
      </c>
      <c r="CWS2" s="5" t="s">
        <v>409</v>
      </c>
      <c r="CWT2" s="5" t="s">
        <v>409</v>
      </c>
      <c r="CWU2" s="5" t="s">
        <v>409</v>
      </c>
      <c r="CWV2" s="5" t="s">
        <v>409</v>
      </c>
      <c r="CWW2" s="5" t="s">
        <v>409</v>
      </c>
      <c r="CWX2" s="5" t="s">
        <v>409</v>
      </c>
      <c r="CWY2" s="5" t="s">
        <v>409</v>
      </c>
      <c r="CWZ2" s="5" t="s">
        <v>409</v>
      </c>
      <c r="CXA2" s="5" t="s">
        <v>409</v>
      </c>
      <c r="CXB2" s="5" t="s">
        <v>409</v>
      </c>
      <c r="CXC2" s="5" t="s">
        <v>409</v>
      </c>
      <c r="CXD2" s="5" t="s">
        <v>409</v>
      </c>
      <c r="CXE2" s="5" t="s">
        <v>409</v>
      </c>
      <c r="CXF2" s="5" t="s">
        <v>409</v>
      </c>
      <c r="CXG2" s="5" t="s">
        <v>409</v>
      </c>
      <c r="CXH2" s="5" t="s">
        <v>409</v>
      </c>
      <c r="CXI2" s="5" t="s">
        <v>409</v>
      </c>
      <c r="CXJ2" s="5" t="s">
        <v>409</v>
      </c>
      <c r="CXK2" s="5" t="s">
        <v>409</v>
      </c>
      <c r="CXL2" s="5" t="s">
        <v>409</v>
      </c>
      <c r="CXM2" s="5" t="s">
        <v>409</v>
      </c>
      <c r="CXN2" s="5" t="s">
        <v>409</v>
      </c>
      <c r="CXO2" s="5" t="s">
        <v>409</v>
      </c>
      <c r="CXP2" s="5" t="s">
        <v>409</v>
      </c>
      <c r="CXQ2" s="5" t="s">
        <v>409</v>
      </c>
      <c r="CXR2" s="5" t="s">
        <v>409</v>
      </c>
      <c r="CXS2" s="5" t="s">
        <v>409</v>
      </c>
      <c r="CXT2" s="5" t="s">
        <v>409</v>
      </c>
      <c r="CXU2" s="5" t="s">
        <v>409</v>
      </c>
      <c r="CXV2" s="5" t="s">
        <v>409</v>
      </c>
      <c r="CXW2" s="5" t="s">
        <v>409</v>
      </c>
      <c r="CXX2" s="5" t="s">
        <v>409</v>
      </c>
      <c r="CXY2" s="5" t="s">
        <v>409</v>
      </c>
      <c r="CXZ2" s="5" t="s">
        <v>409</v>
      </c>
      <c r="CYA2" s="5" t="s">
        <v>409</v>
      </c>
      <c r="CYB2" s="5" t="s">
        <v>409</v>
      </c>
      <c r="CYC2" s="5" t="s">
        <v>409</v>
      </c>
      <c r="CYD2" s="5" t="s">
        <v>409</v>
      </c>
      <c r="CYE2" s="5" t="s">
        <v>409</v>
      </c>
      <c r="CYF2" s="5" t="s">
        <v>409</v>
      </c>
      <c r="CYG2" s="5" t="s">
        <v>409</v>
      </c>
      <c r="CYH2" s="5" t="s">
        <v>409</v>
      </c>
      <c r="CYI2" s="5" t="s">
        <v>409</v>
      </c>
      <c r="CYJ2" s="5" t="s">
        <v>409</v>
      </c>
      <c r="CYK2" s="5" t="s">
        <v>409</v>
      </c>
      <c r="CYL2" s="5" t="s">
        <v>409</v>
      </c>
      <c r="CYM2" s="5" t="s">
        <v>409</v>
      </c>
      <c r="CYN2" s="5" t="s">
        <v>409</v>
      </c>
      <c r="CYO2" s="5" t="s">
        <v>409</v>
      </c>
      <c r="CYP2" s="5" t="s">
        <v>409</v>
      </c>
      <c r="CYQ2" s="5" t="s">
        <v>409</v>
      </c>
      <c r="CYR2" s="5" t="s">
        <v>409</v>
      </c>
      <c r="CYS2" s="5" t="s">
        <v>409</v>
      </c>
      <c r="CYT2" s="5" t="s">
        <v>409</v>
      </c>
      <c r="CYU2" s="5" t="s">
        <v>409</v>
      </c>
      <c r="CYV2" s="5" t="s">
        <v>409</v>
      </c>
      <c r="CYW2" s="5" t="s">
        <v>409</v>
      </c>
      <c r="CYX2" s="5" t="s">
        <v>409</v>
      </c>
      <c r="CYY2" s="5" t="s">
        <v>409</v>
      </c>
      <c r="CYZ2" s="5" t="s">
        <v>409</v>
      </c>
      <c r="CZA2" s="5" t="s">
        <v>409</v>
      </c>
      <c r="CZB2" s="5" t="s">
        <v>409</v>
      </c>
      <c r="CZC2" s="5" t="s">
        <v>409</v>
      </c>
      <c r="CZD2" s="5" t="s">
        <v>409</v>
      </c>
      <c r="CZE2" s="5" t="s">
        <v>409</v>
      </c>
      <c r="CZF2" s="5" t="s">
        <v>409</v>
      </c>
      <c r="CZG2" s="5" t="s">
        <v>409</v>
      </c>
      <c r="CZH2" s="5" t="s">
        <v>409</v>
      </c>
      <c r="CZI2" s="5" t="s">
        <v>409</v>
      </c>
      <c r="CZJ2" s="5" t="s">
        <v>409</v>
      </c>
      <c r="CZK2" s="5" t="s">
        <v>409</v>
      </c>
      <c r="CZL2" s="5" t="s">
        <v>409</v>
      </c>
      <c r="CZM2" s="5" t="s">
        <v>409</v>
      </c>
      <c r="CZN2" s="5" t="s">
        <v>409</v>
      </c>
      <c r="CZO2" s="5" t="s">
        <v>409</v>
      </c>
      <c r="CZP2" s="5" t="s">
        <v>409</v>
      </c>
      <c r="CZQ2" s="5" t="s">
        <v>409</v>
      </c>
      <c r="CZR2" s="5" t="s">
        <v>409</v>
      </c>
      <c r="CZS2" s="5" t="s">
        <v>409</v>
      </c>
      <c r="CZT2" s="5" t="s">
        <v>409</v>
      </c>
      <c r="CZU2" s="5" t="s">
        <v>409</v>
      </c>
      <c r="CZV2" s="5" t="s">
        <v>409</v>
      </c>
      <c r="CZW2" s="5" t="s">
        <v>409</v>
      </c>
      <c r="CZX2" s="5" t="s">
        <v>409</v>
      </c>
      <c r="CZY2" s="5" t="s">
        <v>409</v>
      </c>
      <c r="CZZ2" s="5" t="s">
        <v>409</v>
      </c>
      <c r="DAA2" s="5" t="s">
        <v>409</v>
      </c>
      <c r="DAB2" s="5" t="s">
        <v>409</v>
      </c>
      <c r="DAC2" s="5" t="s">
        <v>409</v>
      </c>
      <c r="DAD2" s="5" t="s">
        <v>409</v>
      </c>
      <c r="DAE2" s="5" t="s">
        <v>409</v>
      </c>
      <c r="DAF2" s="5" t="s">
        <v>409</v>
      </c>
      <c r="DAG2" s="5" t="s">
        <v>409</v>
      </c>
      <c r="DAH2" s="5" t="s">
        <v>409</v>
      </c>
      <c r="DAI2" s="5" t="s">
        <v>409</v>
      </c>
      <c r="DAJ2" s="5" t="s">
        <v>409</v>
      </c>
      <c r="DAK2" s="5" t="s">
        <v>409</v>
      </c>
      <c r="DAL2" s="5" t="s">
        <v>409</v>
      </c>
      <c r="DAM2" s="5" t="s">
        <v>409</v>
      </c>
      <c r="DAN2" s="5" t="s">
        <v>409</v>
      </c>
      <c r="DAO2" s="5" t="s">
        <v>409</v>
      </c>
      <c r="DAP2" s="5" t="s">
        <v>409</v>
      </c>
      <c r="DAQ2" s="5" t="s">
        <v>409</v>
      </c>
      <c r="DAR2" s="5" t="s">
        <v>409</v>
      </c>
      <c r="DAS2" s="5" t="s">
        <v>409</v>
      </c>
      <c r="DAT2" s="5" t="s">
        <v>409</v>
      </c>
      <c r="DAU2" s="5" t="s">
        <v>409</v>
      </c>
      <c r="DAV2" s="5" t="s">
        <v>409</v>
      </c>
      <c r="DAW2" s="5" t="s">
        <v>409</v>
      </c>
      <c r="DAX2" s="5" t="s">
        <v>409</v>
      </c>
      <c r="DAY2" s="5" t="s">
        <v>409</v>
      </c>
      <c r="DAZ2" s="5" t="s">
        <v>409</v>
      </c>
      <c r="DBA2" s="5" t="s">
        <v>409</v>
      </c>
      <c r="DBB2" s="5" t="s">
        <v>409</v>
      </c>
      <c r="DBC2" s="5" t="s">
        <v>409</v>
      </c>
      <c r="DBD2" s="5" t="s">
        <v>409</v>
      </c>
      <c r="DBE2" s="5" t="s">
        <v>409</v>
      </c>
      <c r="DBF2" s="5" t="s">
        <v>409</v>
      </c>
      <c r="DBG2" s="5" t="s">
        <v>409</v>
      </c>
      <c r="DBH2" s="5" t="s">
        <v>409</v>
      </c>
      <c r="DBI2" s="5" t="s">
        <v>409</v>
      </c>
      <c r="DBJ2" s="5" t="s">
        <v>409</v>
      </c>
      <c r="DBK2" s="5" t="s">
        <v>409</v>
      </c>
      <c r="DBL2" s="5" t="s">
        <v>409</v>
      </c>
      <c r="DBM2" s="5" t="s">
        <v>409</v>
      </c>
      <c r="DBN2" s="5" t="s">
        <v>409</v>
      </c>
      <c r="DBO2" s="5" t="s">
        <v>409</v>
      </c>
      <c r="DBP2" s="5" t="s">
        <v>409</v>
      </c>
      <c r="DBQ2" s="5" t="s">
        <v>409</v>
      </c>
      <c r="DBR2" s="5" t="s">
        <v>409</v>
      </c>
      <c r="DBS2" s="5" t="s">
        <v>409</v>
      </c>
      <c r="DBT2" s="5" t="s">
        <v>409</v>
      </c>
      <c r="DBU2" s="5" t="s">
        <v>409</v>
      </c>
      <c r="DBV2" s="5" t="s">
        <v>409</v>
      </c>
      <c r="DBW2" s="5" t="s">
        <v>409</v>
      </c>
      <c r="DBX2" s="5" t="s">
        <v>409</v>
      </c>
      <c r="DBY2" s="5" t="s">
        <v>409</v>
      </c>
      <c r="DBZ2" s="5" t="s">
        <v>409</v>
      </c>
      <c r="DCA2" s="5" t="s">
        <v>409</v>
      </c>
      <c r="DCB2" s="5" t="s">
        <v>409</v>
      </c>
      <c r="DCC2" s="5" t="s">
        <v>409</v>
      </c>
      <c r="DCD2" s="5" t="s">
        <v>409</v>
      </c>
      <c r="DCE2" s="5" t="s">
        <v>409</v>
      </c>
      <c r="DCF2" s="5" t="s">
        <v>409</v>
      </c>
      <c r="DCG2" s="5" t="s">
        <v>409</v>
      </c>
      <c r="DCH2" s="5" t="s">
        <v>409</v>
      </c>
      <c r="DCI2" s="5" t="s">
        <v>409</v>
      </c>
      <c r="DCJ2" s="5" t="s">
        <v>409</v>
      </c>
      <c r="DCK2" s="5" t="s">
        <v>409</v>
      </c>
      <c r="DCL2" s="5" t="s">
        <v>409</v>
      </c>
      <c r="DCM2" s="5" t="s">
        <v>409</v>
      </c>
      <c r="DCN2" s="5" t="s">
        <v>409</v>
      </c>
      <c r="DCO2" s="5" t="s">
        <v>409</v>
      </c>
      <c r="DCP2" s="5" t="s">
        <v>409</v>
      </c>
      <c r="DCQ2" s="5" t="s">
        <v>409</v>
      </c>
      <c r="DCR2" s="5" t="s">
        <v>409</v>
      </c>
      <c r="DCS2" s="5" t="s">
        <v>409</v>
      </c>
      <c r="DCT2" s="5" t="s">
        <v>409</v>
      </c>
      <c r="DCU2" s="5" t="s">
        <v>409</v>
      </c>
      <c r="DCV2" s="5" t="s">
        <v>409</v>
      </c>
      <c r="DCW2" s="5" t="s">
        <v>409</v>
      </c>
      <c r="DCX2" s="5" t="s">
        <v>409</v>
      </c>
      <c r="DCY2" s="5" t="s">
        <v>409</v>
      </c>
      <c r="DCZ2" s="5" t="s">
        <v>409</v>
      </c>
      <c r="DDA2" s="5" t="s">
        <v>409</v>
      </c>
      <c r="DDB2" s="5" t="s">
        <v>409</v>
      </c>
      <c r="DDC2" s="5" t="s">
        <v>409</v>
      </c>
      <c r="DDD2" s="5" t="s">
        <v>409</v>
      </c>
      <c r="DDE2" s="5" t="s">
        <v>409</v>
      </c>
      <c r="DDF2" s="5" t="s">
        <v>409</v>
      </c>
      <c r="DDG2" s="5" t="s">
        <v>409</v>
      </c>
      <c r="DDH2" s="5" t="s">
        <v>409</v>
      </c>
      <c r="DDI2" s="5" t="s">
        <v>409</v>
      </c>
      <c r="DDJ2" s="5" t="s">
        <v>409</v>
      </c>
      <c r="DDK2" s="5" t="s">
        <v>409</v>
      </c>
      <c r="DDL2" s="5" t="s">
        <v>409</v>
      </c>
      <c r="DDM2" s="5" t="s">
        <v>409</v>
      </c>
      <c r="DDN2" s="5" t="s">
        <v>409</v>
      </c>
      <c r="DDO2" s="5" t="s">
        <v>409</v>
      </c>
      <c r="DDP2" s="5" t="s">
        <v>409</v>
      </c>
      <c r="DDQ2" s="5" t="s">
        <v>409</v>
      </c>
      <c r="DDR2" s="5" t="s">
        <v>409</v>
      </c>
      <c r="DDS2" s="5" t="s">
        <v>409</v>
      </c>
      <c r="DDT2" s="5" t="s">
        <v>409</v>
      </c>
      <c r="DDU2" s="5" t="s">
        <v>409</v>
      </c>
      <c r="DDV2" s="5" t="s">
        <v>409</v>
      </c>
      <c r="DDW2" s="5" t="s">
        <v>409</v>
      </c>
      <c r="DDX2" s="5" t="s">
        <v>409</v>
      </c>
      <c r="DDY2" s="5" t="s">
        <v>409</v>
      </c>
      <c r="DDZ2" s="5" t="s">
        <v>409</v>
      </c>
      <c r="DEA2" s="5" t="s">
        <v>409</v>
      </c>
      <c r="DEB2" s="5" t="s">
        <v>409</v>
      </c>
      <c r="DEC2" s="5" t="s">
        <v>409</v>
      </c>
      <c r="DED2" s="5" t="s">
        <v>409</v>
      </c>
      <c r="DEE2" s="5" t="s">
        <v>409</v>
      </c>
      <c r="DEF2" s="5" t="s">
        <v>409</v>
      </c>
      <c r="DEG2" s="5" t="s">
        <v>409</v>
      </c>
      <c r="DEH2" s="5" t="s">
        <v>409</v>
      </c>
      <c r="DEI2" s="5" t="s">
        <v>409</v>
      </c>
      <c r="DEJ2" s="5" t="s">
        <v>409</v>
      </c>
      <c r="DEK2" s="5" t="s">
        <v>409</v>
      </c>
      <c r="DEL2" s="5" t="s">
        <v>409</v>
      </c>
      <c r="DEM2" s="5" t="s">
        <v>409</v>
      </c>
      <c r="DEN2" s="5" t="s">
        <v>409</v>
      </c>
      <c r="DEO2" s="5" t="s">
        <v>409</v>
      </c>
      <c r="DEP2" s="5" t="s">
        <v>409</v>
      </c>
      <c r="DEQ2" s="5" t="s">
        <v>409</v>
      </c>
      <c r="DER2" s="5" t="s">
        <v>409</v>
      </c>
      <c r="DES2" s="5" t="s">
        <v>409</v>
      </c>
      <c r="DET2" s="5" t="s">
        <v>409</v>
      </c>
      <c r="DEU2" s="5" t="s">
        <v>409</v>
      </c>
      <c r="DEV2" s="5" t="s">
        <v>409</v>
      </c>
      <c r="DEW2" s="5" t="s">
        <v>409</v>
      </c>
      <c r="DEX2" s="5" t="s">
        <v>409</v>
      </c>
      <c r="DEY2" s="5" t="s">
        <v>409</v>
      </c>
      <c r="DEZ2" s="5" t="s">
        <v>409</v>
      </c>
      <c r="DFA2" s="5" t="s">
        <v>409</v>
      </c>
      <c r="DFB2" s="5" t="s">
        <v>409</v>
      </c>
      <c r="DFC2" s="5" t="s">
        <v>409</v>
      </c>
      <c r="DFD2" s="5" t="s">
        <v>409</v>
      </c>
      <c r="DFE2" s="5" t="s">
        <v>409</v>
      </c>
      <c r="DFF2" s="5" t="s">
        <v>409</v>
      </c>
      <c r="DFG2" s="5" t="s">
        <v>409</v>
      </c>
      <c r="DFH2" s="5" t="s">
        <v>409</v>
      </c>
      <c r="DFI2" s="5" t="s">
        <v>409</v>
      </c>
      <c r="DFJ2" s="5" t="s">
        <v>409</v>
      </c>
      <c r="DFK2" s="5" t="s">
        <v>409</v>
      </c>
      <c r="DFL2" s="5" t="s">
        <v>409</v>
      </c>
      <c r="DFM2" s="5" t="s">
        <v>409</v>
      </c>
      <c r="DFN2" s="5" t="s">
        <v>409</v>
      </c>
      <c r="DFO2" s="5" t="s">
        <v>409</v>
      </c>
      <c r="DFP2" s="5" t="s">
        <v>409</v>
      </c>
      <c r="DFQ2" s="5" t="s">
        <v>409</v>
      </c>
      <c r="DFR2" s="5" t="s">
        <v>409</v>
      </c>
      <c r="DFS2" s="5" t="s">
        <v>409</v>
      </c>
      <c r="DFT2" s="5" t="s">
        <v>409</v>
      </c>
      <c r="DFU2" s="5" t="s">
        <v>409</v>
      </c>
      <c r="DFV2" s="5" t="s">
        <v>409</v>
      </c>
      <c r="DFW2" s="5" t="s">
        <v>409</v>
      </c>
      <c r="DFX2" s="5" t="s">
        <v>409</v>
      </c>
      <c r="DFY2" s="5" t="s">
        <v>409</v>
      </c>
      <c r="DFZ2" s="5" t="s">
        <v>409</v>
      </c>
      <c r="DGA2" s="5" t="s">
        <v>409</v>
      </c>
      <c r="DGB2" s="5" t="s">
        <v>409</v>
      </c>
      <c r="DGC2" s="5" t="s">
        <v>409</v>
      </c>
      <c r="DGD2" s="5" t="s">
        <v>409</v>
      </c>
      <c r="DGE2" s="5" t="s">
        <v>409</v>
      </c>
      <c r="DGF2" s="5" t="s">
        <v>409</v>
      </c>
      <c r="DGG2" s="5" t="s">
        <v>409</v>
      </c>
      <c r="DGH2" s="5" t="s">
        <v>409</v>
      </c>
      <c r="DGI2" s="5" t="s">
        <v>409</v>
      </c>
      <c r="DGJ2" s="5" t="s">
        <v>409</v>
      </c>
      <c r="DGK2" s="5" t="s">
        <v>409</v>
      </c>
      <c r="DGL2" s="5" t="s">
        <v>409</v>
      </c>
      <c r="DGM2" s="5" t="s">
        <v>409</v>
      </c>
      <c r="DGN2" s="5" t="s">
        <v>409</v>
      </c>
      <c r="DGO2" s="5" t="s">
        <v>409</v>
      </c>
      <c r="DGP2" s="5" t="s">
        <v>409</v>
      </c>
      <c r="DGQ2" s="5" t="s">
        <v>409</v>
      </c>
      <c r="DGR2" s="5" t="s">
        <v>409</v>
      </c>
      <c r="DGS2" s="5" t="s">
        <v>409</v>
      </c>
      <c r="DGT2" s="5" t="s">
        <v>409</v>
      </c>
      <c r="DGU2" s="5" t="s">
        <v>409</v>
      </c>
      <c r="DGV2" s="5" t="s">
        <v>409</v>
      </c>
      <c r="DGW2" s="5" t="s">
        <v>409</v>
      </c>
      <c r="DGX2" s="5" t="s">
        <v>409</v>
      </c>
      <c r="DGY2" s="5" t="s">
        <v>409</v>
      </c>
      <c r="DGZ2" s="5" t="s">
        <v>409</v>
      </c>
      <c r="DHA2" s="5" t="s">
        <v>409</v>
      </c>
      <c r="DHB2" s="5" t="s">
        <v>409</v>
      </c>
      <c r="DHC2" s="5" t="s">
        <v>409</v>
      </c>
      <c r="DHD2" s="5" t="s">
        <v>409</v>
      </c>
      <c r="DHE2" s="5" t="s">
        <v>409</v>
      </c>
      <c r="DHF2" s="5" t="s">
        <v>409</v>
      </c>
      <c r="DHG2" s="5" t="s">
        <v>409</v>
      </c>
      <c r="DHH2" s="5" t="s">
        <v>409</v>
      </c>
      <c r="DHI2" s="5" t="s">
        <v>409</v>
      </c>
      <c r="DHJ2" s="5" t="s">
        <v>409</v>
      </c>
      <c r="DHK2" s="5" t="s">
        <v>409</v>
      </c>
      <c r="DHL2" s="5" t="s">
        <v>409</v>
      </c>
      <c r="DHM2" s="5" t="s">
        <v>409</v>
      </c>
      <c r="DHN2" s="5" t="s">
        <v>409</v>
      </c>
      <c r="DHO2" s="5" t="s">
        <v>409</v>
      </c>
      <c r="DHP2" s="5" t="s">
        <v>409</v>
      </c>
      <c r="DHQ2" s="5" t="s">
        <v>409</v>
      </c>
      <c r="DHR2" s="5" t="s">
        <v>409</v>
      </c>
      <c r="DHS2" s="5" t="s">
        <v>409</v>
      </c>
      <c r="DHT2" s="5" t="s">
        <v>409</v>
      </c>
      <c r="DHU2" s="5" t="s">
        <v>409</v>
      </c>
      <c r="DHV2" s="5" t="s">
        <v>409</v>
      </c>
      <c r="DHW2" s="5" t="s">
        <v>409</v>
      </c>
      <c r="DHX2" s="5" t="s">
        <v>409</v>
      </c>
      <c r="DHY2" s="5" t="s">
        <v>409</v>
      </c>
      <c r="DHZ2" s="5" t="s">
        <v>409</v>
      </c>
      <c r="DIA2" s="5" t="s">
        <v>409</v>
      </c>
      <c r="DIB2" s="5" t="s">
        <v>409</v>
      </c>
      <c r="DIC2" s="5" t="s">
        <v>409</v>
      </c>
      <c r="DID2" s="5" t="s">
        <v>409</v>
      </c>
      <c r="DIE2" s="5" t="s">
        <v>409</v>
      </c>
      <c r="DIF2" s="5" t="s">
        <v>409</v>
      </c>
      <c r="DIG2" s="5" t="s">
        <v>409</v>
      </c>
      <c r="DIH2" s="5" t="s">
        <v>409</v>
      </c>
      <c r="DII2" s="5" t="s">
        <v>409</v>
      </c>
      <c r="DIJ2" s="5" t="s">
        <v>409</v>
      </c>
      <c r="DIK2" s="5" t="s">
        <v>409</v>
      </c>
      <c r="DIL2" s="5" t="s">
        <v>409</v>
      </c>
      <c r="DIM2" s="5" t="s">
        <v>409</v>
      </c>
      <c r="DIN2" s="5" t="s">
        <v>409</v>
      </c>
      <c r="DIO2" s="5" t="s">
        <v>409</v>
      </c>
      <c r="DIP2" s="5" t="s">
        <v>409</v>
      </c>
      <c r="DIQ2" s="5" t="s">
        <v>409</v>
      </c>
      <c r="DIR2" s="5" t="s">
        <v>409</v>
      </c>
      <c r="DIS2" s="5" t="s">
        <v>409</v>
      </c>
      <c r="DIT2" s="5" t="s">
        <v>409</v>
      </c>
      <c r="DIU2" s="5" t="s">
        <v>409</v>
      </c>
      <c r="DIV2" s="5" t="s">
        <v>409</v>
      </c>
      <c r="DIW2" s="5" t="s">
        <v>409</v>
      </c>
      <c r="DIX2" s="5" t="s">
        <v>409</v>
      </c>
      <c r="DIY2" s="5" t="s">
        <v>409</v>
      </c>
      <c r="DIZ2" s="5" t="s">
        <v>409</v>
      </c>
      <c r="DJA2" s="5" t="s">
        <v>409</v>
      </c>
      <c r="DJB2" s="5" t="s">
        <v>409</v>
      </c>
      <c r="DJC2" s="5" t="s">
        <v>409</v>
      </c>
      <c r="DJD2" s="5" t="s">
        <v>409</v>
      </c>
      <c r="DJE2" s="5" t="s">
        <v>409</v>
      </c>
      <c r="DJF2" s="5" t="s">
        <v>409</v>
      </c>
      <c r="DJG2" s="5" t="s">
        <v>409</v>
      </c>
      <c r="DJH2" s="5" t="s">
        <v>409</v>
      </c>
      <c r="DJI2" s="5" t="s">
        <v>409</v>
      </c>
      <c r="DJJ2" s="5" t="s">
        <v>409</v>
      </c>
      <c r="DJK2" s="5" t="s">
        <v>409</v>
      </c>
      <c r="DJL2" s="5" t="s">
        <v>409</v>
      </c>
      <c r="DJM2" s="5" t="s">
        <v>409</v>
      </c>
      <c r="DJN2" s="5" t="s">
        <v>409</v>
      </c>
      <c r="DJO2" s="5" t="s">
        <v>409</v>
      </c>
      <c r="DJP2" s="5" t="s">
        <v>409</v>
      </c>
      <c r="DJQ2" s="5" t="s">
        <v>409</v>
      </c>
      <c r="DJR2" s="5" t="s">
        <v>409</v>
      </c>
      <c r="DJS2" s="5" t="s">
        <v>409</v>
      </c>
      <c r="DJT2" s="5" t="s">
        <v>409</v>
      </c>
      <c r="DJU2" s="5" t="s">
        <v>409</v>
      </c>
      <c r="DJV2" s="5" t="s">
        <v>409</v>
      </c>
      <c r="DJW2" s="5" t="s">
        <v>409</v>
      </c>
      <c r="DJX2" s="5" t="s">
        <v>409</v>
      </c>
      <c r="DJY2" s="5" t="s">
        <v>409</v>
      </c>
      <c r="DJZ2" s="5" t="s">
        <v>409</v>
      </c>
      <c r="DKA2" s="5" t="s">
        <v>409</v>
      </c>
      <c r="DKB2" s="5" t="s">
        <v>409</v>
      </c>
      <c r="DKC2" s="5" t="s">
        <v>409</v>
      </c>
      <c r="DKD2" s="5" t="s">
        <v>409</v>
      </c>
      <c r="DKE2" s="5" t="s">
        <v>409</v>
      </c>
      <c r="DKF2" s="5" t="s">
        <v>409</v>
      </c>
      <c r="DKG2" s="5" t="s">
        <v>409</v>
      </c>
      <c r="DKH2" s="5" t="s">
        <v>409</v>
      </c>
      <c r="DKI2" s="5" t="s">
        <v>409</v>
      </c>
      <c r="DKJ2" s="5" t="s">
        <v>409</v>
      </c>
      <c r="DKK2" s="5" t="s">
        <v>409</v>
      </c>
      <c r="DKL2" s="5" t="s">
        <v>409</v>
      </c>
      <c r="DKM2" s="5" t="s">
        <v>409</v>
      </c>
      <c r="DKN2" s="5" t="s">
        <v>409</v>
      </c>
      <c r="DKO2" s="5" t="s">
        <v>409</v>
      </c>
      <c r="DKP2" s="5" t="s">
        <v>409</v>
      </c>
      <c r="DKQ2" s="5" t="s">
        <v>409</v>
      </c>
      <c r="DKR2" s="5" t="s">
        <v>409</v>
      </c>
      <c r="DKS2" s="5" t="s">
        <v>409</v>
      </c>
      <c r="DKT2" s="5" t="s">
        <v>409</v>
      </c>
      <c r="DKU2" s="5" t="s">
        <v>409</v>
      </c>
      <c r="DKV2" s="5" t="s">
        <v>409</v>
      </c>
      <c r="DKW2" s="5" t="s">
        <v>409</v>
      </c>
      <c r="DKX2" s="5" t="s">
        <v>409</v>
      </c>
      <c r="DKY2" s="5" t="s">
        <v>409</v>
      </c>
      <c r="DKZ2" s="5" t="s">
        <v>409</v>
      </c>
      <c r="DLA2" s="5" t="s">
        <v>409</v>
      </c>
      <c r="DLB2" s="5" t="s">
        <v>409</v>
      </c>
      <c r="DLC2" s="5" t="s">
        <v>409</v>
      </c>
      <c r="DLD2" s="5" t="s">
        <v>409</v>
      </c>
      <c r="DLE2" s="5" t="s">
        <v>409</v>
      </c>
      <c r="DLF2" s="5" t="s">
        <v>409</v>
      </c>
      <c r="DLG2" s="5" t="s">
        <v>409</v>
      </c>
      <c r="DLH2" s="5" t="s">
        <v>409</v>
      </c>
      <c r="DLI2" s="5" t="s">
        <v>409</v>
      </c>
      <c r="DLJ2" s="5" t="s">
        <v>409</v>
      </c>
      <c r="DLK2" s="5" t="s">
        <v>409</v>
      </c>
      <c r="DLL2" s="5" t="s">
        <v>409</v>
      </c>
      <c r="DLM2" s="5" t="s">
        <v>409</v>
      </c>
      <c r="DLN2" s="5" t="s">
        <v>409</v>
      </c>
      <c r="DLO2" s="5" t="s">
        <v>409</v>
      </c>
      <c r="DLP2" s="5" t="s">
        <v>409</v>
      </c>
      <c r="DLQ2" s="5" t="s">
        <v>409</v>
      </c>
      <c r="DLR2" s="5" t="s">
        <v>409</v>
      </c>
      <c r="DLS2" s="5" t="s">
        <v>409</v>
      </c>
      <c r="DLT2" s="5" t="s">
        <v>409</v>
      </c>
      <c r="DLU2" s="5" t="s">
        <v>409</v>
      </c>
      <c r="DLV2" s="5" t="s">
        <v>409</v>
      </c>
      <c r="DLW2" s="5" t="s">
        <v>409</v>
      </c>
      <c r="DLX2" s="5" t="s">
        <v>409</v>
      </c>
      <c r="DLY2" s="5" t="s">
        <v>409</v>
      </c>
      <c r="DLZ2" s="5" t="s">
        <v>409</v>
      </c>
      <c r="DMA2" s="5" t="s">
        <v>409</v>
      </c>
      <c r="DMB2" s="5" t="s">
        <v>409</v>
      </c>
      <c r="DMC2" s="5" t="s">
        <v>409</v>
      </c>
      <c r="DMD2" s="5" t="s">
        <v>409</v>
      </c>
      <c r="DME2" s="5" t="s">
        <v>409</v>
      </c>
      <c r="DMF2" s="5" t="s">
        <v>409</v>
      </c>
      <c r="DMG2" s="5" t="s">
        <v>409</v>
      </c>
      <c r="DMH2" s="5" t="s">
        <v>409</v>
      </c>
      <c r="DMI2" s="5" t="s">
        <v>409</v>
      </c>
      <c r="DMJ2" s="5" t="s">
        <v>409</v>
      </c>
      <c r="DMK2" s="5" t="s">
        <v>409</v>
      </c>
      <c r="DML2" s="5" t="s">
        <v>409</v>
      </c>
      <c r="DMM2" s="5" t="s">
        <v>409</v>
      </c>
      <c r="DMN2" s="5" t="s">
        <v>409</v>
      </c>
      <c r="DMO2" s="5" t="s">
        <v>409</v>
      </c>
      <c r="DMP2" s="5" t="s">
        <v>409</v>
      </c>
      <c r="DMQ2" s="5" t="s">
        <v>409</v>
      </c>
      <c r="DMR2" s="5" t="s">
        <v>409</v>
      </c>
      <c r="DMS2" s="5" t="s">
        <v>409</v>
      </c>
      <c r="DMT2" s="5" t="s">
        <v>409</v>
      </c>
      <c r="DMU2" s="5" t="s">
        <v>409</v>
      </c>
      <c r="DMV2" s="5" t="s">
        <v>409</v>
      </c>
      <c r="DMW2" s="5" t="s">
        <v>409</v>
      </c>
      <c r="DMX2" s="5" t="s">
        <v>409</v>
      </c>
      <c r="DMY2" s="5" t="s">
        <v>409</v>
      </c>
      <c r="DMZ2" s="5" t="s">
        <v>409</v>
      </c>
      <c r="DNA2" s="5" t="s">
        <v>409</v>
      </c>
      <c r="DNB2" s="5" t="s">
        <v>409</v>
      </c>
      <c r="DNC2" s="5" t="s">
        <v>409</v>
      </c>
      <c r="DND2" s="5" t="s">
        <v>409</v>
      </c>
      <c r="DNE2" s="5" t="s">
        <v>409</v>
      </c>
      <c r="DNF2" s="5" t="s">
        <v>409</v>
      </c>
      <c r="DNG2" s="5" t="s">
        <v>409</v>
      </c>
      <c r="DNH2" s="5" t="s">
        <v>409</v>
      </c>
      <c r="DNI2" s="5" t="s">
        <v>409</v>
      </c>
      <c r="DNJ2" s="5" t="s">
        <v>409</v>
      </c>
      <c r="DNK2" s="5" t="s">
        <v>409</v>
      </c>
      <c r="DNL2" s="5" t="s">
        <v>409</v>
      </c>
      <c r="DNM2" s="5" t="s">
        <v>409</v>
      </c>
      <c r="DNN2" s="5" t="s">
        <v>409</v>
      </c>
      <c r="DNO2" s="5" t="s">
        <v>409</v>
      </c>
      <c r="DNP2" s="5" t="s">
        <v>409</v>
      </c>
      <c r="DNQ2" s="5" t="s">
        <v>409</v>
      </c>
      <c r="DNR2" s="5" t="s">
        <v>409</v>
      </c>
      <c r="DNS2" s="5" t="s">
        <v>409</v>
      </c>
      <c r="DNT2" s="5" t="s">
        <v>409</v>
      </c>
      <c r="DNU2" s="5" t="s">
        <v>409</v>
      </c>
      <c r="DNV2" s="5" t="s">
        <v>409</v>
      </c>
      <c r="DNW2" s="5" t="s">
        <v>409</v>
      </c>
      <c r="DNX2" s="5" t="s">
        <v>409</v>
      </c>
      <c r="DNY2" s="5" t="s">
        <v>409</v>
      </c>
      <c r="DNZ2" s="5" t="s">
        <v>409</v>
      </c>
      <c r="DOA2" s="5" t="s">
        <v>409</v>
      </c>
      <c r="DOB2" s="5" t="s">
        <v>409</v>
      </c>
      <c r="DOC2" s="5" t="s">
        <v>409</v>
      </c>
      <c r="DOD2" s="5" t="s">
        <v>409</v>
      </c>
      <c r="DOE2" s="5" t="s">
        <v>409</v>
      </c>
      <c r="DOF2" s="5" t="s">
        <v>409</v>
      </c>
      <c r="DOG2" s="5" t="s">
        <v>409</v>
      </c>
      <c r="DOH2" s="5" t="s">
        <v>409</v>
      </c>
      <c r="DOI2" s="5" t="s">
        <v>409</v>
      </c>
      <c r="DOJ2" s="5" t="s">
        <v>409</v>
      </c>
      <c r="DOK2" s="5" t="s">
        <v>409</v>
      </c>
      <c r="DOL2" s="5" t="s">
        <v>409</v>
      </c>
      <c r="DOM2" s="5" t="s">
        <v>409</v>
      </c>
      <c r="DON2" s="5" t="s">
        <v>409</v>
      </c>
      <c r="DOO2" s="5" t="s">
        <v>409</v>
      </c>
      <c r="DOP2" s="5" t="s">
        <v>409</v>
      </c>
      <c r="DOQ2" s="5" t="s">
        <v>409</v>
      </c>
      <c r="DOR2" s="5" t="s">
        <v>409</v>
      </c>
      <c r="DOS2" s="5" t="s">
        <v>409</v>
      </c>
      <c r="DOT2" s="5" t="s">
        <v>409</v>
      </c>
      <c r="DOU2" s="5" t="s">
        <v>409</v>
      </c>
      <c r="DOV2" s="5" t="s">
        <v>409</v>
      </c>
      <c r="DOW2" s="5" t="s">
        <v>409</v>
      </c>
      <c r="DOX2" s="5" t="s">
        <v>409</v>
      </c>
      <c r="DOY2" s="5" t="s">
        <v>409</v>
      </c>
      <c r="DOZ2" s="5" t="s">
        <v>409</v>
      </c>
      <c r="DPA2" s="5" t="s">
        <v>409</v>
      </c>
      <c r="DPB2" s="5" t="s">
        <v>409</v>
      </c>
      <c r="DPC2" s="5" t="s">
        <v>409</v>
      </c>
      <c r="DPD2" s="5" t="s">
        <v>409</v>
      </c>
      <c r="DPE2" s="5" t="s">
        <v>409</v>
      </c>
      <c r="DPF2" s="5" t="s">
        <v>409</v>
      </c>
      <c r="DPG2" s="5" t="s">
        <v>409</v>
      </c>
      <c r="DPH2" s="5" t="s">
        <v>409</v>
      </c>
      <c r="DPI2" s="5" t="s">
        <v>409</v>
      </c>
      <c r="DPJ2" s="5" t="s">
        <v>409</v>
      </c>
      <c r="DPK2" s="5" t="s">
        <v>409</v>
      </c>
      <c r="DPL2" s="5" t="s">
        <v>409</v>
      </c>
      <c r="DPM2" s="5" t="s">
        <v>409</v>
      </c>
      <c r="DPN2" s="5" t="s">
        <v>409</v>
      </c>
      <c r="DPO2" s="5" t="s">
        <v>409</v>
      </c>
      <c r="DPP2" s="5" t="s">
        <v>409</v>
      </c>
      <c r="DPQ2" s="5" t="s">
        <v>409</v>
      </c>
      <c r="DPR2" s="5" t="s">
        <v>409</v>
      </c>
      <c r="DPS2" s="5" t="s">
        <v>409</v>
      </c>
      <c r="DPT2" s="5" t="s">
        <v>409</v>
      </c>
      <c r="DPU2" s="5" t="s">
        <v>409</v>
      </c>
      <c r="DPV2" s="5" t="s">
        <v>409</v>
      </c>
      <c r="DPW2" s="5" t="s">
        <v>409</v>
      </c>
      <c r="DPX2" s="5" t="s">
        <v>409</v>
      </c>
      <c r="DPY2" s="5" t="s">
        <v>409</v>
      </c>
      <c r="DPZ2" s="5" t="s">
        <v>409</v>
      </c>
      <c r="DQA2" s="5" t="s">
        <v>409</v>
      </c>
      <c r="DQB2" s="5" t="s">
        <v>409</v>
      </c>
      <c r="DQC2" s="5" t="s">
        <v>409</v>
      </c>
      <c r="DQD2" s="5" t="s">
        <v>409</v>
      </c>
      <c r="DQE2" s="5" t="s">
        <v>409</v>
      </c>
      <c r="DQF2" s="5" t="s">
        <v>409</v>
      </c>
      <c r="DQG2" s="5" t="s">
        <v>409</v>
      </c>
      <c r="DQH2" s="5" t="s">
        <v>409</v>
      </c>
      <c r="DQI2" s="5" t="s">
        <v>409</v>
      </c>
      <c r="DQJ2" s="5" t="s">
        <v>409</v>
      </c>
      <c r="DQK2" s="5" t="s">
        <v>409</v>
      </c>
      <c r="DQL2" s="5" t="s">
        <v>409</v>
      </c>
      <c r="DQM2" s="5" t="s">
        <v>409</v>
      </c>
      <c r="DQN2" s="5" t="s">
        <v>409</v>
      </c>
      <c r="DQO2" s="5" t="s">
        <v>409</v>
      </c>
      <c r="DQP2" s="5" t="s">
        <v>409</v>
      </c>
      <c r="DQQ2" s="5" t="s">
        <v>409</v>
      </c>
      <c r="DQR2" s="5" t="s">
        <v>409</v>
      </c>
      <c r="DQS2" s="5" t="s">
        <v>409</v>
      </c>
      <c r="DQT2" s="5" t="s">
        <v>409</v>
      </c>
      <c r="DQU2" s="5" t="s">
        <v>409</v>
      </c>
      <c r="DQV2" s="5" t="s">
        <v>409</v>
      </c>
      <c r="DQW2" s="5" t="s">
        <v>409</v>
      </c>
      <c r="DQX2" s="5" t="s">
        <v>409</v>
      </c>
      <c r="DQY2" s="5" t="s">
        <v>409</v>
      </c>
      <c r="DQZ2" s="5" t="s">
        <v>409</v>
      </c>
      <c r="DRA2" s="5" t="s">
        <v>409</v>
      </c>
      <c r="DRB2" s="5" t="s">
        <v>409</v>
      </c>
      <c r="DRC2" s="5" t="s">
        <v>409</v>
      </c>
      <c r="DRD2" s="5" t="s">
        <v>409</v>
      </c>
      <c r="DRE2" s="5" t="s">
        <v>409</v>
      </c>
      <c r="DRF2" s="5" t="s">
        <v>409</v>
      </c>
      <c r="DRG2" s="5" t="s">
        <v>409</v>
      </c>
      <c r="DRH2" s="5" t="s">
        <v>409</v>
      </c>
      <c r="DRI2" s="5" t="s">
        <v>409</v>
      </c>
      <c r="DRJ2" s="5" t="s">
        <v>409</v>
      </c>
      <c r="DRK2" s="5" t="s">
        <v>409</v>
      </c>
      <c r="DRL2" s="5" t="s">
        <v>409</v>
      </c>
      <c r="DRM2" s="5" t="s">
        <v>409</v>
      </c>
      <c r="DRN2" s="5" t="s">
        <v>409</v>
      </c>
      <c r="DRO2" s="5" t="s">
        <v>409</v>
      </c>
      <c r="DRP2" s="5" t="s">
        <v>409</v>
      </c>
      <c r="DRQ2" s="5" t="s">
        <v>409</v>
      </c>
      <c r="DRR2" s="5" t="s">
        <v>409</v>
      </c>
      <c r="DRS2" s="5" t="s">
        <v>409</v>
      </c>
      <c r="DRT2" s="5" t="s">
        <v>409</v>
      </c>
      <c r="DRU2" s="5" t="s">
        <v>409</v>
      </c>
      <c r="DRV2" s="5" t="s">
        <v>409</v>
      </c>
      <c r="DRW2" s="5" t="s">
        <v>409</v>
      </c>
      <c r="DRX2" s="5" t="s">
        <v>409</v>
      </c>
      <c r="DRY2" s="5" t="s">
        <v>409</v>
      </c>
      <c r="DRZ2" s="5" t="s">
        <v>409</v>
      </c>
      <c r="DSA2" s="5" t="s">
        <v>409</v>
      </c>
      <c r="DSB2" s="5" t="s">
        <v>409</v>
      </c>
      <c r="DSC2" s="5" t="s">
        <v>409</v>
      </c>
      <c r="DSD2" s="5" t="s">
        <v>409</v>
      </c>
      <c r="DSE2" s="5" t="s">
        <v>409</v>
      </c>
      <c r="DSF2" s="5" t="s">
        <v>409</v>
      </c>
      <c r="DSG2" s="5" t="s">
        <v>409</v>
      </c>
      <c r="DSH2" s="5" t="s">
        <v>409</v>
      </c>
      <c r="DSI2" s="5" t="s">
        <v>409</v>
      </c>
      <c r="DSJ2" s="5" t="s">
        <v>409</v>
      </c>
      <c r="DSK2" s="5" t="s">
        <v>409</v>
      </c>
      <c r="DSL2" s="5" t="s">
        <v>409</v>
      </c>
      <c r="DSM2" s="5" t="s">
        <v>409</v>
      </c>
      <c r="DSN2" s="5" t="s">
        <v>409</v>
      </c>
      <c r="DSO2" s="5" t="s">
        <v>409</v>
      </c>
      <c r="DSP2" s="5" t="s">
        <v>409</v>
      </c>
      <c r="DSQ2" s="5" t="s">
        <v>409</v>
      </c>
      <c r="DSR2" s="5" t="s">
        <v>409</v>
      </c>
      <c r="DSS2" s="5" t="s">
        <v>409</v>
      </c>
      <c r="DST2" s="5" t="s">
        <v>409</v>
      </c>
      <c r="DSU2" s="5" t="s">
        <v>409</v>
      </c>
      <c r="DSV2" s="5" t="s">
        <v>409</v>
      </c>
      <c r="DSW2" s="5" t="s">
        <v>409</v>
      </c>
      <c r="DSX2" s="5" t="s">
        <v>409</v>
      </c>
      <c r="DSY2" s="5" t="s">
        <v>409</v>
      </c>
      <c r="DSZ2" s="5" t="s">
        <v>409</v>
      </c>
      <c r="DTA2" s="5" t="s">
        <v>409</v>
      </c>
      <c r="DTB2" s="5" t="s">
        <v>409</v>
      </c>
      <c r="DTC2" s="5" t="s">
        <v>409</v>
      </c>
      <c r="DTD2" s="5" t="s">
        <v>409</v>
      </c>
      <c r="DTE2" s="5" t="s">
        <v>409</v>
      </c>
      <c r="DTF2" s="5" t="s">
        <v>409</v>
      </c>
      <c r="DTG2" s="5" t="s">
        <v>409</v>
      </c>
      <c r="DTH2" s="5" t="s">
        <v>409</v>
      </c>
      <c r="DTI2" s="5" t="s">
        <v>409</v>
      </c>
      <c r="DTJ2" s="5" t="s">
        <v>409</v>
      </c>
      <c r="DTK2" s="5" t="s">
        <v>409</v>
      </c>
      <c r="DTL2" s="5" t="s">
        <v>409</v>
      </c>
      <c r="DTM2" s="5" t="s">
        <v>409</v>
      </c>
      <c r="DTN2" s="5" t="s">
        <v>409</v>
      </c>
      <c r="DTO2" s="5" t="s">
        <v>409</v>
      </c>
      <c r="DTP2" s="5" t="s">
        <v>409</v>
      </c>
      <c r="DTQ2" s="5" t="s">
        <v>409</v>
      </c>
      <c r="DTR2" s="5" t="s">
        <v>409</v>
      </c>
      <c r="DTS2" s="5" t="s">
        <v>409</v>
      </c>
      <c r="DTT2" s="5" t="s">
        <v>409</v>
      </c>
      <c r="DTU2" s="5" t="s">
        <v>409</v>
      </c>
      <c r="DTV2" s="5" t="s">
        <v>409</v>
      </c>
      <c r="DTW2" s="5" t="s">
        <v>409</v>
      </c>
      <c r="DTX2" s="5" t="s">
        <v>409</v>
      </c>
      <c r="DTY2" s="5" t="s">
        <v>409</v>
      </c>
      <c r="DTZ2" s="5" t="s">
        <v>409</v>
      </c>
      <c r="DUA2" s="5" t="s">
        <v>409</v>
      </c>
      <c r="DUB2" s="5" t="s">
        <v>409</v>
      </c>
      <c r="DUC2" s="5" t="s">
        <v>409</v>
      </c>
      <c r="DUD2" s="5" t="s">
        <v>409</v>
      </c>
      <c r="DUE2" s="5" t="s">
        <v>409</v>
      </c>
      <c r="DUF2" s="5" t="s">
        <v>409</v>
      </c>
      <c r="DUG2" s="5" t="s">
        <v>409</v>
      </c>
      <c r="DUH2" s="5" t="s">
        <v>409</v>
      </c>
      <c r="DUI2" s="5" t="s">
        <v>409</v>
      </c>
      <c r="DUJ2" s="5" t="s">
        <v>409</v>
      </c>
      <c r="DUK2" s="5" t="s">
        <v>409</v>
      </c>
      <c r="DUL2" s="5" t="s">
        <v>409</v>
      </c>
      <c r="DUM2" s="5" t="s">
        <v>409</v>
      </c>
      <c r="DUN2" s="5" t="s">
        <v>409</v>
      </c>
      <c r="DUO2" s="5" t="s">
        <v>409</v>
      </c>
      <c r="DUP2" s="5" t="s">
        <v>409</v>
      </c>
      <c r="DUQ2" s="5" t="s">
        <v>409</v>
      </c>
      <c r="DUR2" s="5" t="s">
        <v>409</v>
      </c>
      <c r="DUS2" s="5" t="s">
        <v>409</v>
      </c>
      <c r="DUT2" s="5" t="s">
        <v>409</v>
      </c>
      <c r="DUU2" s="5" t="s">
        <v>409</v>
      </c>
      <c r="DUV2" s="5" t="s">
        <v>409</v>
      </c>
      <c r="DUW2" s="5" t="s">
        <v>409</v>
      </c>
      <c r="DUX2" s="5" t="s">
        <v>409</v>
      </c>
      <c r="DUY2" s="5" t="s">
        <v>409</v>
      </c>
      <c r="DUZ2" s="5" t="s">
        <v>409</v>
      </c>
      <c r="DVA2" s="5" t="s">
        <v>409</v>
      </c>
      <c r="DVB2" s="5" t="s">
        <v>409</v>
      </c>
      <c r="DVC2" s="5" t="s">
        <v>409</v>
      </c>
      <c r="DVD2" s="5" t="s">
        <v>409</v>
      </c>
      <c r="DVE2" s="5" t="s">
        <v>409</v>
      </c>
      <c r="DVF2" s="5" t="s">
        <v>409</v>
      </c>
      <c r="DVG2" s="5" t="s">
        <v>409</v>
      </c>
      <c r="DVH2" s="5" t="s">
        <v>409</v>
      </c>
      <c r="DVI2" s="5" t="s">
        <v>409</v>
      </c>
      <c r="DVJ2" s="5" t="s">
        <v>409</v>
      </c>
      <c r="DVK2" s="5" t="s">
        <v>409</v>
      </c>
      <c r="DVL2" s="5" t="s">
        <v>409</v>
      </c>
      <c r="DVM2" s="5" t="s">
        <v>409</v>
      </c>
      <c r="DVN2" s="5" t="s">
        <v>409</v>
      </c>
      <c r="DVO2" s="5" t="s">
        <v>409</v>
      </c>
      <c r="DVP2" s="5" t="s">
        <v>409</v>
      </c>
      <c r="DVQ2" s="5" t="s">
        <v>409</v>
      </c>
      <c r="DVR2" s="5" t="s">
        <v>409</v>
      </c>
      <c r="DVS2" s="5" t="s">
        <v>409</v>
      </c>
      <c r="DVT2" s="5" t="s">
        <v>409</v>
      </c>
      <c r="DVU2" s="5" t="s">
        <v>409</v>
      </c>
      <c r="DVV2" s="5" t="s">
        <v>409</v>
      </c>
      <c r="DVW2" s="5" t="s">
        <v>409</v>
      </c>
      <c r="DVX2" s="5" t="s">
        <v>409</v>
      </c>
      <c r="DVY2" s="5" t="s">
        <v>409</v>
      </c>
      <c r="DVZ2" s="5" t="s">
        <v>409</v>
      </c>
      <c r="DWA2" s="5" t="s">
        <v>409</v>
      </c>
      <c r="DWB2" s="5" t="s">
        <v>409</v>
      </c>
      <c r="DWC2" s="5" t="s">
        <v>409</v>
      </c>
      <c r="DWD2" s="5" t="s">
        <v>409</v>
      </c>
      <c r="DWE2" s="5" t="s">
        <v>409</v>
      </c>
      <c r="DWF2" s="5" t="s">
        <v>409</v>
      </c>
      <c r="DWG2" s="5" t="s">
        <v>409</v>
      </c>
      <c r="DWH2" s="5" t="s">
        <v>409</v>
      </c>
      <c r="DWI2" s="5" t="s">
        <v>409</v>
      </c>
      <c r="DWJ2" s="5" t="s">
        <v>409</v>
      </c>
      <c r="DWK2" s="5" t="s">
        <v>409</v>
      </c>
      <c r="DWL2" s="5" t="s">
        <v>409</v>
      </c>
      <c r="DWM2" s="5" t="s">
        <v>409</v>
      </c>
      <c r="DWN2" s="5" t="s">
        <v>409</v>
      </c>
      <c r="DWO2" s="5" t="s">
        <v>409</v>
      </c>
      <c r="DWP2" s="5" t="s">
        <v>409</v>
      </c>
      <c r="DWQ2" s="5" t="s">
        <v>409</v>
      </c>
      <c r="DWR2" s="5" t="s">
        <v>409</v>
      </c>
      <c r="DWS2" s="5" t="s">
        <v>409</v>
      </c>
      <c r="DWT2" s="5" t="s">
        <v>409</v>
      </c>
      <c r="DWU2" s="5" t="s">
        <v>409</v>
      </c>
      <c r="DWV2" s="5" t="s">
        <v>409</v>
      </c>
      <c r="DWW2" s="5" t="s">
        <v>409</v>
      </c>
      <c r="DWX2" s="5" t="s">
        <v>409</v>
      </c>
      <c r="DWY2" s="5" t="s">
        <v>409</v>
      </c>
      <c r="DWZ2" s="5" t="s">
        <v>409</v>
      </c>
      <c r="DXA2" s="5" t="s">
        <v>409</v>
      </c>
      <c r="DXB2" s="5" t="s">
        <v>409</v>
      </c>
      <c r="DXC2" s="5" t="s">
        <v>409</v>
      </c>
      <c r="DXD2" s="5" t="s">
        <v>409</v>
      </c>
      <c r="DXE2" s="5" t="s">
        <v>409</v>
      </c>
      <c r="DXF2" s="5" t="s">
        <v>409</v>
      </c>
      <c r="DXG2" s="5" t="s">
        <v>409</v>
      </c>
      <c r="DXH2" s="5" t="s">
        <v>409</v>
      </c>
      <c r="DXI2" s="5" t="s">
        <v>409</v>
      </c>
      <c r="DXJ2" s="5" t="s">
        <v>409</v>
      </c>
      <c r="DXK2" s="5" t="s">
        <v>409</v>
      </c>
      <c r="DXL2" s="5" t="s">
        <v>409</v>
      </c>
      <c r="DXM2" s="5" t="s">
        <v>409</v>
      </c>
      <c r="DXN2" s="5" t="s">
        <v>409</v>
      </c>
      <c r="DXO2" s="5" t="s">
        <v>409</v>
      </c>
      <c r="DXP2" s="5" t="s">
        <v>409</v>
      </c>
      <c r="DXQ2" s="5" t="s">
        <v>409</v>
      </c>
      <c r="DXR2" s="5" t="s">
        <v>409</v>
      </c>
      <c r="DXS2" s="5" t="s">
        <v>409</v>
      </c>
      <c r="DXT2" s="5" t="s">
        <v>409</v>
      </c>
      <c r="DXU2" s="5" t="s">
        <v>409</v>
      </c>
      <c r="DXV2" s="5" t="s">
        <v>409</v>
      </c>
      <c r="DXW2" s="5" t="s">
        <v>409</v>
      </c>
      <c r="DXX2" s="5" t="s">
        <v>409</v>
      </c>
      <c r="DXY2" s="5" t="s">
        <v>409</v>
      </c>
      <c r="DXZ2" s="5" t="s">
        <v>409</v>
      </c>
      <c r="DYA2" s="5" t="s">
        <v>409</v>
      </c>
      <c r="DYB2" s="5" t="s">
        <v>409</v>
      </c>
      <c r="DYC2" s="5" t="s">
        <v>409</v>
      </c>
      <c r="DYD2" s="5" t="s">
        <v>409</v>
      </c>
      <c r="DYE2" s="5" t="s">
        <v>409</v>
      </c>
      <c r="DYF2" s="5" t="s">
        <v>409</v>
      </c>
      <c r="DYG2" s="5" t="s">
        <v>409</v>
      </c>
      <c r="DYH2" s="5" t="s">
        <v>409</v>
      </c>
      <c r="DYI2" s="5" t="s">
        <v>409</v>
      </c>
      <c r="DYJ2" s="5" t="s">
        <v>409</v>
      </c>
      <c r="DYK2" s="5" t="s">
        <v>409</v>
      </c>
      <c r="DYL2" s="5" t="s">
        <v>409</v>
      </c>
      <c r="DYM2" s="5" t="s">
        <v>409</v>
      </c>
      <c r="DYN2" s="5" t="s">
        <v>409</v>
      </c>
      <c r="DYO2" s="5" t="s">
        <v>409</v>
      </c>
      <c r="DYP2" s="5" t="s">
        <v>409</v>
      </c>
      <c r="DYQ2" s="5" t="s">
        <v>409</v>
      </c>
      <c r="DYR2" s="5" t="s">
        <v>409</v>
      </c>
      <c r="DYS2" s="5" t="s">
        <v>409</v>
      </c>
      <c r="DYT2" s="5" t="s">
        <v>409</v>
      </c>
      <c r="DYU2" s="5" t="s">
        <v>409</v>
      </c>
      <c r="DYV2" s="5" t="s">
        <v>409</v>
      </c>
      <c r="DYW2" s="5" t="s">
        <v>409</v>
      </c>
      <c r="DYX2" s="5" t="s">
        <v>409</v>
      </c>
      <c r="DYY2" s="5" t="s">
        <v>409</v>
      </c>
      <c r="DYZ2" s="5" t="s">
        <v>409</v>
      </c>
      <c r="DZA2" s="5" t="s">
        <v>409</v>
      </c>
      <c r="DZB2" s="5" t="s">
        <v>409</v>
      </c>
      <c r="DZC2" s="5" t="s">
        <v>409</v>
      </c>
      <c r="DZD2" s="5" t="s">
        <v>409</v>
      </c>
      <c r="DZE2" s="5" t="s">
        <v>409</v>
      </c>
      <c r="DZF2" s="5" t="s">
        <v>409</v>
      </c>
      <c r="DZG2" s="5" t="s">
        <v>409</v>
      </c>
      <c r="DZH2" s="5" t="s">
        <v>409</v>
      </c>
      <c r="DZI2" s="5" t="s">
        <v>409</v>
      </c>
      <c r="DZJ2" s="5" t="s">
        <v>409</v>
      </c>
      <c r="DZK2" s="5" t="s">
        <v>409</v>
      </c>
      <c r="DZL2" s="5" t="s">
        <v>409</v>
      </c>
      <c r="DZM2" s="5" t="s">
        <v>409</v>
      </c>
      <c r="DZN2" s="5" t="s">
        <v>409</v>
      </c>
      <c r="DZO2" s="5" t="s">
        <v>409</v>
      </c>
      <c r="DZP2" s="5" t="s">
        <v>409</v>
      </c>
      <c r="DZQ2" s="5" t="s">
        <v>409</v>
      </c>
      <c r="DZR2" s="5" t="s">
        <v>409</v>
      </c>
      <c r="DZS2" s="5" t="s">
        <v>409</v>
      </c>
      <c r="DZT2" s="5" t="s">
        <v>409</v>
      </c>
      <c r="DZU2" s="5" t="s">
        <v>409</v>
      </c>
      <c r="DZV2" s="5" t="s">
        <v>409</v>
      </c>
      <c r="DZW2" s="5" t="s">
        <v>409</v>
      </c>
      <c r="DZX2" s="5" t="s">
        <v>409</v>
      </c>
      <c r="DZY2" s="5" t="s">
        <v>409</v>
      </c>
      <c r="DZZ2" s="5" t="s">
        <v>409</v>
      </c>
      <c r="EAA2" s="5" t="s">
        <v>409</v>
      </c>
      <c r="EAB2" s="5" t="s">
        <v>409</v>
      </c>
      <c r="EAC2" s="5" t="s">
        <v>409</v>
      </c>
      <c r="EAD2" s="5" t="s">
        <v>409</v>
      </c>
      <c r="EAE2" s="5" t="s">
        <v>409</v>
      </c>
      <c r="EAF2" s="5" t="s">
        <v>409</v>
      </c>
      <c r="EAG2" s="5" t="s">
        <v>409</v>
      </c>
      <c r="EAH2" s="5" t="s">
        <v>409</v>
      </c>
      <c r="EAI2" s="5" t="s">
        <v>409</v>
      </c>
      <c r="EAJ2" s="5" t="s">
        <v>409</v>
      </c>
      <c r="EAK2" s="5" t="s">
        <v>409</v>
      </c>
      <c r="EAL2" s="5" t="s">
        <v>409</v>
      </c>
      <c r="EAM2" s="5" t="s">
        <v>409</v>
      </c>
      <c r="EAN2" s="5" t="s">
        <v>409</v>
      </c>
      <c r="EAO2" s="5" t="s">
        <v>409</v>
      </c>
      <c r="EAP2" s="5" t="s">
        <v>409</v>
      </c>
      <c r="EAQ2" s="5" t="s">
        <v>409</v>
      </c>
      <c r="EAR2" s="5" t="s">
        <v>409</v>
      </c>
      <c r="EAS2" s="5" t="s">
        <v>409</v>
      </c>
      <c r="EAT2" s="5" t="s">
        <v>409</v>
      </c>
      <c r="EAU2" s="5" t="s">
        <v>409</v>
      </c>
      <c r="EAV2" s="5" t="s">
        <v>409</v>
      </c>
      <c r="EAW2" s="5" t="s">
        <v>409</v>
      </c>
      <c r="EAX2" s="5" t="s">
        <v>409</v>
      </c>
      <c r="EAY2" s="5" t="s">
        <v>409</v>
      </c>
      <c r="EAZ2" s="5" t="s">
        <v>409</v>
      </c>
      <c r="EBA2" s="5" t="s">
        <v>409</v>
      </c>
      <c r="EBB2" s="5" t="s">
        <v>409</v>
      </c>
      <c r="EBC2" s="5" t="s">
        <v>409</v>
      </c>
      <c r="EBD2" s="5" t="s">
        <v>409</v>
      </c>
      <c r="EBE2" s="5" t="s">
        <v>409</v>
      </c>
      <c r="EBF2" s="5" t="s">
        <v>409</v>
      </c>
      <c r="EBG2" s="5" t="s">
        <v>409</v>
      </c>
      <c r="EBH2" s="5" t="s">
        <v>409</v>
      </c>
      <c r="EBI2" s="5" t="s">
        <v>409</v>
      </c>
      <c r="EBJ2" s="5" t="s">
        <v>409</v>
      </c>
      <c r="EBK2" s="5" t="s">
        <v>409</v>
      </c>
      <c r="EBL2" s="5" t="s">
        <v>409</v>
      </c>
      <c r="EBM2" s="5" t="s">
        <v>409</v>
      </c>
      <c r="EBN2" s="5" t="s">
        <v>409</v>
      </c>
      <c r="EBO2" s="5" t="s">
        <v>409</v>
      </c>
      <c r="EBP2" s="5" t="s">
        <v>409</v>
      </c>
      <c r="EBQ2" s="5" t="s">
        <v>409</v>
      </c>
      <c r="EBR2" s="5" t="s">
        <v>409</v>
      </c>
      <c r="EBS2" s="5" t="s">
        <v>409</v>
      </c>
      <c r="EBT2" s="5" t="s">
        <v>409</v>
      </c>
      <c r="EBU2" s="5" t="s">
        <v>409</v>
      </c>
      <c r="EBV2" s="5" t="s">
        <v>409</v>
      </c>
      <c r="EBW2" s="5" t="s">
        <v>409</v>
      </c>
      <c r="EBX2" s="5" t="s">
        <v>409</v>
      </c>
      <c r="EBY2" s="5" t="s">
        <v>409</v>
      </c>
      <c r="EBZ2" s="5" t="s">
        <v>409</v>
      </c>
      <c r="ECA2" s="5" t="s">
        <v>409</v>
      </c>
      <c r="ECB2" s="5" t="s">
        <v>409</v>
      </c>
      <c r="ECC2" s="5" t="s">
        <v>409</v>
      </c>
      <c r="ECD2" s="5" t="s">
        <v>409</v>
      </c>
      <c r="ECE2" s="5" t="s">
        <v>409</v>
      </c>
      <c r="ECF2" s="5" t="s">
        <v>409</v>
      </c>
      <c r="ECG2" s="5" t="s">
        <v>409</v>
      </c>
      <c r="ECH2" s="5" t="s">
        <v>409</v>
      </c>
      <c r="ECI2" s="5" t="s">
        <v>409</v>
      </c>
      <c r="ECJ2" s="5" t="s">
        <v>409</v>
      </c>
      <c r="ECK2" s="5" t="s">
        <v>409</v>
      </c>
      <c r="ECL2" s="5" t="s">
        <v>409</v>
      </c>
      <c r="ECM2" s="5" t="s">
        <v>409</v>
      </c>
      <c r="ECN2" s="5" t="s">
        <v>409</v>
      </c>
      <c r="ECO2" s="5" t="s">
        <v>409</v>
      </c>
      <c r="ECP2" s="5" t="s">
        <v>409</v>
      </c>
      <c r="ECQ2" s="5" t="s">
        <v>409</v>
      </c>
      <c r="ECR2" s="5" t="s">
        <v>409</v>
      </c>
      <c r="ECS2" s="5" t="s">
        <v>409</v>
      </c>
      <c r="ECT2" s="5" t="s">
        <v>409</v>
      </c>
      <c r="ECU2" s="5" t="s">
        <v>409</v>
      </c>
      <c r="ECV2" s="5" t="s">
        <v>409</v>
      </c>
      <c r="ECW2" s="5" t="s">
        <v>409</v>
      </c>
      <c r="ECX2" s="5" t="s">
        <v>409</v>
      </c>
      <c r="ECY2" s="5" t="s">
        <v>409</v>
      </c>
      <c r="ECZ2" s="5" t="s">
        <v>409</v>
      </c>
      <c r="EDA2" s="5" t="s">
        <v>409</v>
      </c>
      <c r="EDB2" s="5" t="s">
        <v>409</v>
      </c>
      <c r="EDC2" s="5" t="s">
        <v>409</v>
      </c>
      <c r="EDD2" s="5" t="s">
        <v>409</v>
      </c>
      <c r="EDE2" s="5" t="s">
        <v>409</v>
      </c>
      <c r="EDF2" s="5" t="s">
        <v>409</v>
      </c>
      <c r="EDG2" s="5" t="s">
        <v>409</v>
      </c>
      <c r="EDH2" s="5" t="s">
        <v>409</v>
      </c>
      <c r="EDI2" s="5" t="s">
        <v>409</v>
      </c>
      <c r="EDJ2" s="5" t="s">
        <v>409</v>
      </c>
      <c r="EDK2" s="5" t="s">
        <v>409</v>
      </c>
      <c r="EDL2" s="5" t="s">
        <v>409</v>
      </c>
      <c r="EDM2" s="5" t="s">
        <v>409</v>
      </c>
      <c r="EDN2" s="5" t="s">
        <v>409</v>
      </c>
      <c r="EDO2" s="5" t="s">
        <v>409</v>
      </c>
      <c r="EDP2" s="5" t="s">
        <v>409</v>
      </c>
      <c r="EDQ2" s="5" t="s">
        <v>409</v>
      </c>
      <c r="EDR2" s="5" t="s">
        <v>409</v>
      </c>
      <c r="EDS2" s="5" t="s">
        <v>409</v>
      </c>
      <c r="EDT2" s="5" t="s">
        <v>409</v>
      </c>
      <c r="EDU2" s="5" t="s">
        <v>409</v>
      </c>
      <c r="EDV2" s="5" t="s">
        <v>409</v>
      </c>
      <c r="EDW2" s="5" t="s">
        <v>409</v>
      </c>
      <c r="EDX2" s="5" t="s">
        <v>409</v>
      </c>
      <c r="EDY2" s="5" t="s">
        <v>409</v>
      </c>
      <c r="EDZ2" s="5" t="s">
        <v>409</v>
      </c>
      <c r="EEA2" s="5" t="s">
        <v>409</v>
      </c>
      <c r="EEB2" s="5" t="s">
        <v>409</v>
      </c>
      <c r="EEC2" s="5" t="s">
        <v>409</v>
      </c>
      <c r="EED2" s="5" t="s">
        <v>409</v>
      </c>
      <c r="EEE2" s="5" t="s">
        <v>409</v>
      </c>
      <c r="EEF2" s="5" t="s">
        <v>409</v>
      </c>
      <c r="EEG2" s="5" t="s">
        <v>409</v>
      </c>
      <c r="EEH2" s="5" t="s">
        <v>409</v>
      </c>
      <c r="EEI2" s="5" t="s">
        <v>409</v>
      </c>
      <c r="EEJ2" s="5" t="s">
        <v>409</v>
      </c>
      <c r="EEK2" s="5" t="s">
        <v>409</v>
      </c>
      <c r="EEL2" s="5" t="s">
        <v>409</v>
      </c>
      <c r="EEM2" s="5" t="s">
        <v>409</v>
      </c>
      <c r="EEN2" s="5" t="s">
        <v>409</v>
      </c>
      <c r="EEO2" s="5" t="s">
        <v>409</v>
      </c>
      <c r="EEP2" s="5" t="s">
        <v>409</v>
      </c>
      <c r="EEQ2" s="5" t="s">
        <v>409</v>
      </c>
      <c r="EER2" s="5" t="s">
        <v>409</v>
      </c>
      <c r="EES2" s="5" t="s">
        <v>409</v>
      </c>
      <c r="EET2" s="5" t="s">
        <v>409</v>
      </c>
      <c r="EEU2" s="5" t="s">
        <v>409</v>
      </c>
      <c r="EEV2" s="5" t="s">
        <v>409</v>
      </c>
      <c r="EEW2" s="5" t="s">
        <v>409</v>
      </c>
      <c r="EEX2" s="5" t="s">
        <v>409</v>
      </c>
      <c r="EEY2" s="5" t="s">
        <v>409</v>
      </c>
      <c r="EEZ2" s="5" t="s">
        <v>409</v>
      </c>
      <c r="EFA2" s="5" t="s">
        <v>409</v>
      </c>
      <c r="EFB2" s="5" t="s">
        <v>409</v>
      </c>
      <c r="EFC2" s="5" t="s">
        <v>409</v>
      </c>
      <c r="EFD2" s="5" t="s">
        <v>409</v>
      </c>
      <c r="EFE2" s="5" t="s">
        <v>409</v>
      </c>
      <c r="EFF2" s="5" t="s">
        <v>409</v>
      </c>
      <c r="EFG2" s="5" t="s">
        <v>409</v>
      </c>
      <c r="EFH2" s="5" t="s">
        <v>409</v>
      </c>
      <c r="EFI2" s="5" t="s">
        <v>409</v>
      </c>
      <c r="EFJ2" s="5" t="s">
        <v>409</v>
      </c>
      <c r="EFK2" s="5" t="s">
        <v>409</v>
      </c>
      <c r="EFL2" s="5" t="s">
        <v>409</v>
      </c>
      <c r="EFM2" s="5" t="s">
        <v>409</v>
      </c>
      <c r="EFN2" s="5" t="s">
        <v>409</v>
      </c>
      <c r="EFO2" s="5" t="s">
        <v>409</v>
      </c>
      <c r="EFP2" s="5" t="s">
        <v>409</v>
      </c>
      <c r="EFQ2" s="5" t="s">
        <v>409</v>
      </c>
      <c r="EFR2" s="5" t="s">
        <v>409</v>
      </c>
      <c r="EFS2" s="5" t="s">
        <v>409</v>
      </c>
      <c r="EFT2" s="5" t="s">
        <v>409</v>
      </c>
      <c r="EFU2" s="5" t="s">
        <v>409</v>
      </c>
      <c r="EFV2" s="5" t="s">
        <v>409</v>
      </c>
      <c r="EFW2" s="5" t="s">
        <v>409</v>
      </c>
      <c r="EFX2" s="5" t="s">
        <v>409</v>
      </c>
      <c r="EFY2" s="5" t="s">
        <v>409</v>
      </c>
      <c r="EFZ2" s="5" t="s">
        <v>409</v>
      </c>
      <c r="EGA2" s="5" t="s">
        <v>409</v>
      </c>
      <c r="EGB2" s="5" t="s">
        <v>409</v>
      </c>
      <c r="EGC2" s="5" t="s">
        <v>409</v>
      </c>
      <c r="EGD2" s="5" t="s">
        <v>409</v>
      </c>
      <c r="EGE2" s="5" t="s">
        <v>409</v>
      </c>
      <c r="EGF2" s="5" t="s">
        <v>409</v>
      </c>
      <c r="EGG2" s="5" t="s">
        <v>409</v>
      </c>
      <c r="EGH2" s="5" t="s">
        <v>409</v>
      </c>
      <c r="EGI2" s="5" t="s">
        <v>409</v>
      </c>
      <c r="EGJ2" s="5" t="s">
        <v>409</v>
      </c>
      <c r="EGK2" s="5" t="s">
        <v>409</v>
      </c>
      <c r="EGL2" s="5" t="s">
        <v>409</v>
      </c>
      <c r="EGM2" s="5" t="s">
        <v>409</v>
      </c>
      <c r="EGN2" s="5" t="s">
        <v>409</v>
      </c>
      <c r="EGO2" s="5" t="s">
        <v>409</v>
      </c>
      <c r="EGP2" s="5" t="s">
        <v>409</v>
      </c>
      <c r="EGQ2" s="5" t="s">
        <v>409</v>
      </c>
      <c r="EGR2" s="5" t="s">
        <v>409</v>
      </c>
      <c r="EGS2" s="5" t="s">
        <v>409</v>
      </c>
      <c r="EGT2" s="5" t="s">
        <v>409</v>
      </c>
      <c r="EGU2" s="5" t="s">
        <v>409</v>
      </c>
      <c r="EGV2" s="5" t="s">
        <v>409</v>
      </c>
      <c r="EGW2" s="5" t="s">
        <v>409</v>
      </c>
      <c r="EGX2" s="5" t="s">
        <v>409</v>
      </c>
      <c r="EGY2" s="5" t="s">
        <v>409</v>
      </c>
      <c r="EGZ2" s="5" t="s">
        <v>409</v>
      </c>
      <c r="EHA2" s="5" t="s">
        <v>409</v>
      </c>
      <c r="EHB2" s="5" t="s">
        <v>409</v>
      </c>
      <c r="EHC2" s="5" t="s">
        <v>409</v>
      </c>
      <c r="EHD2" s="5" t="s">
        <v>409</v>
      </c>
      <c r="EHE2" s="5" t="s">
        <v>409</v>
      </c>
      <c r="EHF2" s="5" t="s">
        <v>409</v>
      </c>
      <c r="EHG2" s="5" t="s">
        <v>409</v>
      </c>
      <c r="EHH2" s="5" t="s">
        <v>409</v>
      </c>
      <c r="EHI2" s="5" t="s">
        <v>409</v>
      </c>
      <c r="EHJ2" s="5" t="s">
        <v>409</v>
      </c>
      <c r="EHK2" s="5" t="s">
        <v>409</v>
      </c>
      <c r="EHL2" s="5" t="s">
        <v>409</v>
      </c>
      <c r="EHM2" s="5" t="s">
        <v>409</v>
      </c>
      <c r="EHN2" s="5" t="s">
        <v>409</v>
      </c>
      <c r="EHO2" s="5" t="s">
        <v>409</v>
      </c>
      <c r="EHP2" s="5" t="s">
        <v>409</v>
      </c>
      <c r="EHQ2" s="5" t="s">
        <v>409</v>
      </c>
      <c r="EHR2" s="5" t="s">
        <v>409</v>
      </c>
      <c r="EHS2" s="5" t="s">
        <v>409</v>
      </c>
      <c r="EHT2" s="5" t="s">
        <v>409</v>
      </c>
      <c r="EHU2" s="5" t="s">
        <v>409</v>
      </c>
      <c r="EHV2" s="5" t="s">
        <v>409</v>
      </c>
      <c r="EHW2" s="5" t="s">
        <v>409</v>
      </c>
      <c r="EHX2" s="5" t="s">
        <v>409</v>
      </c>
      <c r="EHY2" s="5" t="s">
        <v>409</v>
      </c>
      <c r="EHZ2" s="5" t="s">
        <v>409</v>
      </c>
      <c r="EIA2" s="5" t="s">
        <v>409</v>
      </c>
      <c r="EIB2" s="5" t="s">
        <v>409</v>
      </c>
      <c r="EIC2" s="5" t="s">
        <v>409</v>
      </c>
      <c r="EID2" s="5" t="s">
        <v>409</v>
      </c>
      <c r="EIE2" s="5" t="s">
        <v>409</v>
      </c>
      <c r="EIF2" s="5" t="s">
        <v>409</v>
      </c>
      <c r="EIG2" s="5" t="s">
        <v>409</v>
      </c>
      <c r="EIH2" s="5" t="s">
        <v>409</v>
      </c>
      <c r="EII2" s="5" t="s">
        <v>409</v>
      </c>
      <c r="EIJ2" s="5" t="s">
        <v>409</v>
      </c>
      <c r="EIK2" s="5" t="s">
        <v>409</v>
      </c>
      <c r="EIL2" s="5" t="s">
        <v>409</v>
      </c>
      <c r="EIM2" s="5" t="s">
        <v>409</v>
      </c>
      <c r="EIN2" s="5" t="s">
        <v>409</v>
      </c>
      <c r="EIO2" s="5" t="s">
        <v>409</v>
      </c>
      <c r="EIP2" s="5" t="s">
        <v>409</v>
      </c>
      <c r="EIQ2" s="5" t="s">
        <v>409</v>
      </c>
      <c r="EIR2" s="5" t="s">
        <v>409</v>
      </c>
      <c r="EIS2" s="5" t="s">
        <v>409</v>
      </c>
      <c r="EIT2" s="5" t="s">
        <v>409</v>
      </c>
      <c r="EIU2" s="5" t="s">
        <v>409</v>
      </c>
      <c r="EIV2" s="5" t="s">
        <v>409</v>
      </c>
      <c r="EIW2" s="5" t="s">
        <v>409</v>
      </c>
      <c r="EIX2" s="5" t="s">
        <v>409</v>
      </c>
      <c r="EIY2" s="5" t="s">
        <v>409</v>
      </c>
      <c r="EIZ2" s="5" t="s">
        <v>409</v>
      </c>
      <c r="EJA2" s="5" t="s">
        <v>409</v>
      </c>
      <c r="EJB2" s="5" t="s">
        <v>409</v>
      </c>
      <c r="EJC2" s="5" t="s">
        <v>409</v>
      </c>
      <c r="EJD2" s="5" t="s">
        <v>409</v>
      </c>
      <c r="EJE2" s="5" t="s">
        <v>409</v>
      </c>
      <c r="EJF2" s="5" t="s">
        <v>409</v>
      </c>
      <c r="EJG2" s="5" t="s">
        <v>409</v>
      </c>
      <c r="EJH2" s="5" t="s">
        <v>409</v>
      </c>
      <c r="EJI2" s="5" t="s">
        <v>409</v>
      </c>
      <c r="EJJ2" s="5" t="s">
        <v>409</v>
      </c>
      <c r="EJK2" s="5" t="s">
        <v>409</v>
      </c>
      <c r="EJL2" s="5" t="s">
        <v>409</v>
      </c>
      <c r="EJM2" s="5" t="s">
        <v>409</v>
      </c>
      <c r="EJN2" s="5" t="s">
        <v>409</v>
      </c>
      <c r="EJO2" s="5" t="s">
        <v>409</v>
      </c>
      <c r="EJP2" s="5" t="s">
        <v>409</v>
      </c>
      <c r="EJQ2" s="5" t="s">
        <v>409</v>
      </c>
      <c r="EJR2" s="5" t="s">
        <v>409</v>
      </c>
      <c r="EJS2" s="5" t="s">
        <v>409</v>
      </c>
      <c r="EJT2" s="5" t="s">
        <v>409</v>
      </c>
      <c r="EJU2" s="5" t="s">
        <v>409</v>
      </c>
      <c r="EJV2" s="5" t="s">
        <v>409</v>
      </c>
      <c r="EJW2" s="5" t="s">
        <v>409</v>
      </c>
      <c r="EJX2" s="5" t="s">
        <v>409</v>
      </c>
      <c r="EJY2" s="5" t="s">
        <v>409</v>
      </c>
      <c r="EJZ2" s="5" t="s">
        <v>409</v>
      </c>
      <c r="EKA2" s="5" t="s">
        <v>409</v>
      </c>
      <c r="EKB2" s="5" t="s">
        <v>409</v>
      </c>
      <c r="EKC2" s="5" t="s">
        <v>409</v>
      </c>
      <c r="EKD2" s="5" t="s">
        <v>409</v>
      </c>
      <c r="EKE2" s="5" t="s">
        <v>409</v>
      </c>
      <c r="EKF2" s="5" t="s">
        <v>409</v>
      </c>
      <c r="EKG2" s="5" t="s">
        <v>409</v>
      </c>
      <c r="EKH2" s="5" t="s">
        <v>409</v>
      </c>
      <c r="EKI2" s="5" t="s">
        <v>409</v>
      </c>
      <c r="EKJ2" s="5" t="s">
        <v>409</v>
      </c>
      <c r="EKK2" s="5" t="s">
        <v>409</v>
      </c>
      <c r="EKL2" s="5" t="s">
        <v>409</v>
      </c>
      <c r="EKM2" s="5" t="s">
        <v>409</v>
      </c>
      <c r="EKN2" s="5" t="s">
        <v>409</v>
      </c>
      <c r="EKO2" s="5" t="s">
        <v>409</v>
      </c>
      <c r="EKP2" s="5" t="s">
        <v>409</v>
      </c>
      <c r="EKQ2" s="5" t="s">
        <v>409</v>
      </c>
      <c r="EKR2" s="5" t="s">
        <v>409</v>
      </c>
      <c r="EKS2" s="5" t="s">
        <v>409</v>
      </c>
      <c r="EKT2" s="5" t="s">
        <v>409</v>
      </c>
      <c r="EKU2" s="5" t="s">
        <v>409</v>
      </c>
      <c r="EKV2" s="5" t="s">
        <v>409</v>
      </c>
      <c r="EKW2" s="5" t="s">
        <v>409</v>
      </c>
      <c r="EKX2" s="5" t="s">
        <v>409</v>
      </c>
      <c r="EKY2" s="5" t="s">
        <v>409</v>
      </c>
      <c r="EKZ2" s="5" t="s">
        <v>409</v>
      </c>
      <c r="ELA2" s="5" t="s">
        <v>409</v>
      </c>
      <c r="ELB2" s="5" t="s">
        <v>409</v>
      </c>
      <c r="ELC2" s="5" t="s">
        <v>409</v>
      </c>
      <c r="ELD2" s="5" t="s">
        <v>409</v>
      </c>
      <c r="ELE2" s="5" t="s">
        <v>409</v>
      </c>
      <c r="ELF2" s="5" t="s">
        <v>409</v>
      </c>
      <c r="ELG2" s="5" t="s">
        <v>409</v>
      </c>
      <c r="ELH2" s="5" t="s">
        <v>409</v>
      </c>
      <c r="ELI2" s="5" t="s">
        <v>409</v>
      </c>
      <c r="ELJ2" s="5" t="s">
        <v>409</v>
      </c>
      <c r="ELK2" s="5" t="s">
        <v>409</v>
      </c>
      <c r="ELL2" s="5" t="s">
        <v>409</v>
      </c>
      <c r="ELM2" s="5" t="s">
        <v>409</v>
      </c>
      <c r="ELN2" s="5" t="s">
        <v>409</v>
      </c>
      <c r="ELO2" s="5" t="s">
        <v>409</v>
      </c>
      <c r="ELP2" s="5" t="s">
        <v>409</v>
      </c>
      <c r="ELQ2" s="5" t="s">
        <v>409</v>
      </c>
      <c r="ELR2" s="5" t="s">
        <v>409</v>
      </c>
      <c r="ELS2" s="5" t="s">
        <v>409</v>
      </c>
      <c r="ELT2" s="5" t="s">
        <v>409</v>
      </c>
      <c r="ELU2" s="5" t="s">
        <v>409</v>
      </c>
      <c r="ELV2" s="5" t="s">
        <v>409</v>
      </c>
      <c r="ELW2" s="5" t="s">
        <v>409</v>
      </c>
      <c r="ELX2" s="5" t="s">
        <v>409</v>
      </c>
      <c r="ELY2" s="5" t="s">
        <v>409</v>
      </c>
      <c r="ELZ2" s="5" t="s">
        <v>409</v>
      </c>
      <c r="EMA2" s="5" t="s">
        <v>409</v>
      </c>
      <c r="EMB2" s="5" t="s">
        <v>409</v>
      </c>
      <c r="EMC2" s="5" t="s">
        <v>409</v>
      </c>
      <c r="EMD2" s="5" t="s">
        <v>409</v>
      </c>
      <c r="EME2" s="5" t="s">
        <v>409</v>
      </c>
      <c r="EMF2" s="5" t="s">
        <v>409</v>
      </c>
      <c r="EMG2" s="5" t="s">
        <v>409</v>
      </c>
      <c r="EMH2" s="5" t="s">
        <v>409</v>
      </c>
      <c r="EMI2" s="5" t="s">
        <v>409</v>
      </c>
      <c r="EMJ2" s="5" t="s">
        <v>409</v>
      </c>
      <c r="EMK2" s="5" t="s">
        <v>409</v>
      </c>
      <c r="EML2" s="5" t="s">
        <v>409</v>
      </c>
      <c r="EMM2" s="5" t="s">
        <v>409</v>
      </c>
      <c r="EMN2" s="5" t="s">
        <v>409</v>
      </c>
      <c r="EMO2" s="5" t="s">
        <v>409</v>
      </c>
      <c r="EMP2" s="5" t="s">
        <v>409</v>
      </c>
      <c r="EMQ2" s="5" t="s">
        <v>409</v>
      </c>
      <c r="EMR2" s="5" t="s">
        <v>409</v>
      </c>
      <c r="EMS2" s="5" t="s">
        <v>409</v>
      </c>
      <c r="EMT2" s="5" t="s">
        <v>409</v>
      </c>
      <c r="EMU2" s="5" t="s">
        <v>409</v>
      </c>
      <c r="EMV2" s="5" t="s">
        <v>409</v>
      </c>
      <c r="EMW2" s="5" t="s">
        <v>409</v>
      </c>
      <c r="EMX2" s="5" t="s">
        <v>409</v>
      </c>
      <c r="EMY2" s="5" t="s">
        <v>409</v>
      </c>
      <c r="EMZ2" s="5" t="s">
        <v>409</v>
      </c>
      <c r="ENA2" s="5" t="s">
        <v>409</v>
      </c>
      <c r="ENB2" s="5" t="s">
        <v>409</v>
      </c>
      <c r="ENC2" s="5" t="s">
        <v>409</v>
      </c>
      <c r="END2" s="5" t="s">
        <v>409</v>
      </c>
      <c r="ENE2" s="5" t="s">
        <v>409</v>
      </c>
      <c r="ENF2" s="5" t="s">
        <v>409</v>
      </c>
      <c r="ENG2" s="5" t="s">
        <v>409</v>
      </c>
      <c r="ENH2" s="5" t="s">
        <v>409</v>
      </c>
      <c r="ENI2" s="5" t="s">
        <v>409</v>
      </c>
      <c r="ENJ2" s="5" t="s">
        <v>409</v>
      </c>
      <c r="ENK2" s="5" t="s">
        <v>409</v>
      </c>
      <c r="ENL2" s="5" t="s">
        <v>409</v>
      </c>
      <c r="ENM2" s="5" t="s">
        <v>409</v>
      </c>
      <c r="ENN2" s="5" t="s">
        <v>409</v>
      </c>
      <c r="ENO2" s="5" t="s">
        <v>409</v>
      </c>
      <c r="ENP2" s="5" t="s">
        <v>409</v>
      </c>
      <c r="ENQ2" s="5" t="s">
        <v>409</v>
      </c>
      <c r="ENR2" s="5" t="s">
        <v>409</v>
      </c>
      <c r="ENS2" s="5" t="s">
        <v>409</v>
      </c>
      <c r="ENT2" s="5" t="s">
        <v>409</v>
      </c>
      <c r="ENU2" s="5" t="s">
        <v>409</v>
      </c>
      <c r="ENV2" s="5" t="s">
        <v>409</v>
      </c>
      <c r="ENW2" s="5" t="s">
        <v>409</v>
      </c>
      <c r="ENX2" s="5" t="s">
        <v>409</v>
      </c>
      <c r="ENY2" s="5" t="s">
        <v>409</v>
      </c>
      <c r="ENZ2" s="5" t="s">
        <v>409</v>
      </c>
      <c r="EOA2" s="5" t="s">
        <v>409</v>
      </c>
      <c r="EOB2" s="5" t="s">
        <v>409</v>
      </c>
      <c r="EOC2" s="5" t="s">
        <v>409</v>
      </c>
      <c r="EOD2" s="5" t="s">
        <v>409</v>
      </c>
      <c r="EOE2" s="5" t="s">
        <v>409</v>
      </c>
      <c r="EOF2" s="5" t="s">
        <v>409</v>
      </c>
      <c r="EOG2" s="5" t="s">
        <v>409</v>
      </c>
      <c r="EOH2" s="5" t="s">
        <v>409</v>
      </c>
      <c r="EOI2" s="5" t="s">
        <v>409</v>
      </c>
      <c r="EOJ2" s="5" t="s">
        <v>409</v>
      </c>
      <c r="EOK2" s="5" t="s">
        <v>409</v>
      </c>
      <c r="EOL2" s="5" t="s">
        <v>409</v>
      </c>
      <c r="EOM2" s="5" t="s">
        <v>409</v>
      </c>
      <c r="EON2" s="5" t="s">
        <v>409</v>
      </c>
      <c r="EOO2" s="5" t="s">
        <v>409</v>
      </c>
      <c r="EOP2" s="5" t="s">
        <v>409</v>
      </c>
      <c r="EOQ2" s="5" t="s">
        <v>409</v>
      </c>
      <c r="EOR2" s="5" t="s">
        <v>409</v>
      </c>
      <c r="EOS2" s="5" t="s">
        <v>409</v>
      </c>
      <c r="EOT2" s="5" t="s">
        <v>409</v>
      </c>
      <c r="EOU2" s="5" t="s">
        <v>409</v>
      </c>
      <c r="EOV2" s="5" t="s">
        <v>409</v>
      </c>
      <c r="EOW2" s="5" t="s">
        <v>409</v>
      </c>
      <c r="EOX2" s="5" t="s">
        <v>409</v>
      </c>
      <c r="EOY2" s="5" t="s">
        <v>409</v>
      </c>
      <c r="EOZ2" s="5" t="s">
        <v>409</v>
      </c>
      <c r="EPA2" s="5" t="s">
        <v>409</v>
      </c>
      <c r="EPB2" s="5" t="s">
        <v>409</v>
      </c>
      <c r="EPC2" s="5" t="s">
        <v>409</v>
      </c>
      <c r="EPD2" s="5" t="s">
        <v>409</v>
      </c>
      <c r="EPE2" s="5" t="s">
        <v>409</v>
      </c>
      <c r="EPF2" s="5" t="s">
        <v>409</v>
      </c>
      <c r="EPG2" s="5" t="s">
        <v>409</v>
      </c>
      <c r="EPH2" s="5" t="s">
        <v>409</v>
      </c>
      <c r="EPI2" s="5" t="s">
        <v>409</v>
      </c>
      <c r="EPJ2" s="5" t="s">
        <v>409</v>
      </c>
      <c r="EPK2" s="5" t="s">
        <v>409</v>
      </c>
      <c r="EPL2" s="5" t="s">
        <v>409</v>
      </c>
      <c r="EPM2" s="5" t="s">
        <v>409</v>
      </c>
      <c r="EPN2" s="5" t="s">
        <v>409</v>
      </c>
      <c r="EPO2" s="5" t="s">
        <v>409</v>
      </c>
      <c r="EPP2" s="5" t="s">
        <v>409</v>
      </c>
      <c r="EPQ2" s="5" t="s">
        <v>409</v>
      </c>
      <c r="EPR2" s="5" t="s">
        <v>409</v>
      </c>
      <c r="EPS2" s="5" t="s">
        <v>409</v>
      </c>
      <c r="EPT2" s="5" t="s">
        <v>409</v>
      </c>
      <c r="EPU2" s="5" t="s">
        <v>409</v>
      </c>
      <c r="EPV2" s="5" t="s">
        <v>409</v>
      </c>
      <c r="EPW2" s="5" t="s">
        <v>409</v>
      </c>
      <c r="EPX2" s="5" t="s">
        <v>409</v>
      </c>
      <c r="EPY2" s="5" t="s">
        <v>409</v>
      </c>
      <c r="EPZ2" s="5" t="s">
        <v>409</v>
      </c>
      <c r="EQA2" s="5" t="s">
        <v>409</v>
      </c>
      <c r="EQB2" s="5" t="s">
        <v>409</v>
      </c>
      <c r="EQC2" s="5" t="s">
        <v>409</v>
      </c>
      <c r="EQD2" s="5" t="s">
        <v>409</v>
      </c>
      <c r="EQE2" s="5" t="s">
        <v>409</v>
      </c>
      <c r="EQF2" s="5" t="s">
        <v>409</v>
      </c>
      <c r="EQG2" s="5" t="s">
        <v>409</v>
      </c>
      <c r="EQH2" s="5" t="s">
        <v>409</v>
      </c>
      <c r="EQI2" s="5" t="s">
        <v>409</v>
      </c>
      <c r="EQJ2" s="5" t="s">
        <v>409</v>
      </c>
      <c r="EQK2" s="5" t="s">
        <v>409</v>
      </c>
      <c r="EQL2" s="5" t="s">
        <v>409</v>
      </c>
      <c r="EQM2" s="5" t="s">
        <v>409</v>
      </c>
      <c r="EQN2" s="5" t="s">
        <v>409</v>
      </c>
      <c r="EQO2" s="5" t="s">
        <v>409</v>
      </c>
      <c r="EQP2" s="5" t="s">
        <v>409</v>
      </c>
      <c r="EQQ2" s="5" t="s">
        <v>409</v>
      </c>
      <c r="EQR2" s="5" t="s">
        <v>409</v>
      </c>
      <c r="EQS2" s="5" t="s">
        <v>409</v>
      </c>
      <c r="EQT2" s="5" t="s">
        <v>409</v>
      </c>
      <c r="EQU2" s="5" t="s">
        <v>409</v>
      </c>
      <c r="EQV2" s="5" t="s">
        <v>409</v>
      </c>
      <c r="EQW2" s="5" t="s">
        <v>409</v>
      </c>
      <c r="EQX2" s="5" t="s">
        <v>409</v>
      </c>
      <c r="EQY2" s="5" t="s">
        <v>409</v>
      </c>
      <c r="EQZ2" s="5" t="s">
        <v>409</v>
      </c>
      <c r="ERA2" s="5" t="s">
        <v>409</v>
      </c>
      <c r="ERB2" s="5" t="s">
        <v>409</v>
      </c>
      <c r="ERC2" s="5" t="s">
        <v>409</v>
      </c>
      <c r="ERD2" s="5" t="s">
        <v>409</v>
      </c>
      <c r="ERE2" s="5" t="s">
        <v>409</v>
      </c>
      <c r="ERF2" s="5" t="s">
        <v>409</v>
      </c>
      <c r="ERG2" s="5" t="s">
        <v>409</v>
      </c>
      <c r="ERH2" s="5" t="s">
        <v>409</v>
      </c>
      <c r="ERI2" s="5" t="s">
        <v>409</v>
      </c>
      <c r="ERJ2" s="5" t="s">
        <v>409</v>
      </c>
      <c r="ERK2" s="5" t="s">
        <v>409</v>
      </c>
      <c r="ERL2" s="5" t="s">
        <v>409</v>
      </c>
      <c r="ERM2" s="5" t="s">
        <v>409</v>
      </c>
      <c r="ERN2" s="5" t="s">
        <v>409</v>
      </c>
      <c r="ERO2" s="5" t="s">
        <v>409</v>
      </c>
      <c r="ERP2" s="5" t="s">
        <v>409</v>
      </c>
      <c r="ERQ2" s="5" t="s">
        <v>409</v>
      </c>
      <c r="ERR2" s="5" t="s">
        <v>409</v>
      </c>
      <c r="ERS2" s="5" t="s">
        <v>409</v>
      </c>
      <c r="ERT2" s="5" t="s">
        <v>409</v>
      </c>
      <c r="ERU2" s="5" t="s">
        <v>409</v>
      </c>
      <c r="ERV2" s="5" t="s">
        <v>409</v>
      </c>
      <c r="ERW2" s="5" t="s">
        <v>409</v>
      </c>
      <c r="ERX2" s="5" t="s">
        <v>409</v>
      </c>
      <c r="ERY2" s="5" t="s">
        <v>409</v>
      </c>
      <c r="ERZ2" s="5" t="s">
        <v>409</v>
      </c>
      <c r="ESA2" s="5" t="s">
        <v>409</v>
      </c>
      <c r="ESB2" s="5" t="s">
        <v>409</v>
      </c>
      <c r="ESC2" s="5" t="s">
        <v>409</v>
      </c>
      <c r="ESD2" s="5" t="s">
        <v>409</v>
      </c>
      <c r="ESE2" s="5" t="s">
        <v>409</v>
      </c>
      <c r="ESF2" s="5" t="s">
        <v>409</v>
      </c>
      <c r="ESG2" s="5" t="s">
        <v>409</v>
      </c>
      <c r="ESH2" s="5" t="s">
        <v>409</v>
      </c>
      <c r="ESI2" s="5" t="s">
        <v>409</v>
      </c>
      <c r="ESJ2" s="5" t="s">
        <v>409</v>
      </c>
      <c r="ESK2" s="5" t="s">
        <v>409</v>
      </c>
      <c r="ESL2" s="5" t="s">
        <v>409</v>
      </c>
      <c r="ESM2" s="5" t="s">
        <v>409</v>
      </c>
      <c r="ESN2" s="5" t="s">
        <v>409</v>
      </c>
      <c r="ESO2" s="5" t="s">
        <v>409</v>
      </c>
      <c r="ESP2" s="5" t="s">
        <v>409</v>
      </c>
      <c r="ESQ2" s="5" t="s">
        <v>409</v>
      </c>
      <c r="ESR2" s="5" t="s">
        <v>409</v>
      </c>
      <c r="ESS2" s="5" t="s">
        <v>409</v>
      </c>
      <c r="EST2" s="5" t="s">
        <v>409</v>
      </c>
      <c r="ESU2" s="5" t="s">
        <v>409</v>
      </c>
      <c r="ESV2" s="5" t="s">
        <v>409</v>
      </c>
      <c r="ESW2" s="5" t="s">
        <v>409</v>
      </c>
      <c r="ESX2" s="5" t="s">
        <v>409</v>
      </c>
      <c r="ESY2" s="5" t="s">
        <v>409</v>
      </c>
      <c r="ESZ2" s="5" t="s">
        <v>409</v>
      </c>
      <c r="ETA2" s="5" t="s">
        <v>409</v>
      </c>
      <c r="ETB2" s="5" t="s">
        <v>409</v>
      </c>
      <c r="ETC2" s="5" t="s">
        <v>409</v>
      </c>
      <c r="ETD2" s="5" t="s">
        <v>409</v>
      </c>
      <c r="ETE2" s="5" t="s">
        <v>409</v>
      </c>
      <c r="ETF2" s="5" t="s">
        <v>409</v>
      </c>
      <c r="ETG2" s="5" t="s">
        <v>409</v>
      </c>
      <c r="ETH2" s="5" t="s">
        <v>409</v>
      </c>
      <c r="ETI2" s="5" t="s">
        <v>409</v>
      </c>
      <c r="ETJ2" s="5" t="s">
        <v>409</v>
      </c>
      <c r="ETK2" s="5" t="s">
        <v>409</v>
      </c>
      <c r="ETL2" s="5" t="s">
        <v>409</v>
      </c>
      <c r="ETM2" s="5" t="s">
        <v>409</v>
      </c>
      <c r="ETN2" s="5" t="s">
        <v>409</v>
      </c>
      <c r="ETO2" s="5" t="s">
        <v>409</v>
      </c>
      <c r="ETP2" s="5" t="s">
        <v>409</v>
      </c>
      <c r="ETQ2" s="5" t="s">
        <v>409</v>
      </c>
      <c r="ETR2" s="5" t="s">
        <v>409</v>
      </c>
      <c r="ETS2" s="5" t="s">
        <v>409</v>
      </c>
      <c r="ETT2" s="5" t="s">
        <v>409</v>
      </c>
      <c r="ETU2" s="5" t="s">
        <v>409</v>
      </c>
      <c r="ETV2" s="5" t="s">
        <v>409</v>
      </c>
      <c r="ETW2" s="5" t="s">
        <v>409</v>
      </c>
      <c r="ETX2" s="5" t="s">
        <v>409</v>
      </c>
      <c r="ETY2" s="5" t="s">
        <v>409</v>
      </c>
      <c r="ETZ2" s="5" t="s">
        <v>409</v>
      </c>
      <c r="EUA2" s="5" t="s">
        <v>409</v>
      </c>
      <c r="EUB2" s="5" t="s">
        <v>409</v>
      </c>
      <c r="EUC2" s="5" t="s">
        <v>409</v>
      </c>
      <c r="EUD2" s="5" t="s">
        <v>409</v>
      </c>
      <c r="EUE2" s="5" t="s">
        <v>409</v>
      </c>
      <c r="EUF2" s="5" t="s">
        <v>409</v>
      </c>
      <c r="EUG2" s="5" t="s">
        <v>409</v>
      </c>
      <c r="EUH2" s="5" t="s">
        <v>409</v>
      </c>
      <c r="EUI2" s="5" t="s">
        <v>409</v>
      </c>
      <c r="EUJ2" s="5" t="s">
        <v>409</v>
      </c>
      <c r="EUK2" s="5" t="s">
        <v>409</v>
      </c>
      <c r="EUL2" s="5" t="s">
        <v>409</v>
      </c>
      <c r="EUM2" s="5" t="s">
        <v>409</v>
      </c>
      <c r="EUN2" s="5" t="s">
        <v>409</v>
      </c>
      <c r="EUO2" s="5" t="s">
        <v>409</v>
      </c>
      <c r="EUP2" s="5" t="s">
        <v>409</v>
      </c>
      <c r="EUQ2" s="5" t="s">
        <v>409</v>
      </c>
      <c r="EUR2" s="5" t="s">
        <v>409</v>
      </c>
      <c r="EUS2" s="5" t="s">
        <v>409</v>
      </c>
      <c r="EUT2" s="5" t="s">
        <v>409</v>
      </c>
      <c r="EUU2" s="5" t="s">
        <v>409</v>
      </c>
      <c r="EUV2" s="5" t="s">
        <v>409</v>
      </c>
      <c r="EUW2" s="5" t="s">
        <v>409</v>
      </c>
      <c r="EUX2" s="5" t="s">
        <v>409</v>
      </c>
      <c r="EUY2" s="5" t="s">
        <v>409</v>
      </c>
      <c r="EUZ2" s="5" t="s">
        <v>409</v>
      </c>
      <c r="EVA2" s="5" t="s">
        <v>409</v>
      </c>
      <c r="EVB2" s="5" t="s">
        <v>409</v>
      </c>
      <c r="EVC2" s="5" t="s">
        <v>409</v>
      </c>
      <c r="EVD2" s="5" t="s">
        <v>409</v>
      </c>
      <c r="EVE2" s="5" t="s">
        <v>409</v>
      </c>
      <c r="EVF2" s="5" t="s">
        <v>409</v>
      </c>
      <c r="EVG2" s="5" t="s">
        <v>409</v>
      </c>
      <c r="EVH2" s="5" t="s">
        <v>409</v>
      </c>
      <c r="EVI2" s="5" t="s">
        <v>409</v>
      </c>
      <c r="EVJ2" s="5" t="s">
        <v>409</v>
      </c>
      <c r="EVK2" s="5" t="s">
        <v>409</v>
      </c>
      <c r="EVL2" s="5" t="s">
        <v>409</v>
      </c>
      <c r="EVM2" s="5" t="s">
        <v>409</v>
      </c>
      <c r="EVN2" s="5" t="s">
        <v>409</v>
      </c>
      <c r="EVO2" s="5" t="s">
        <v>409</v>
      </c>
      <c r="EVP2" s="5" t="s">
        <v>409</v>
      </c>
      <c r="EVQ2" s="5" t="s">
        <v>409</v>
      </c>
      <c r="EVR2" s="5" t="s">
        <v>409</v>
      </c>
      <c r="EVS2" s="5" t="s">
        <v>409</v>
      </c>
      <c r="EVT2" s="5" t="s">
        <v>409</v>
      </c>
      <c r="EVU2" s="5" t="s">
        <v>409</v>
      </c>
      <c r="EVV2" s="5" t="s">
        <v>409</v>
      </c>
      <c r="EVW2" s="5" t="s">
        <v>409</v>
      </c>
      <c r="EVX2" s="5" t="s">
        <v>409</v>
      </c>
      <c r="EVY2" s="5" t="s">
        <v>409</v>
      </c>
      <c r="EVZ2" s="5" t="s">
        <v>409</v>
      </c>
      <c r="EWA2" s="5" t="s">
        <v>409</v>
      </c>
      <c r="EWB2" s="5" t="s">
        <v>409</v>
      </c>
      <c r="EWC2" s="5" t="s">
        <v>409</v>
      </c>
      <c r="EWD2" s="5" t="s">
        <v>409</v>
      </c>
      <c r="EWE2" s="5" t="s">
        <v>409</v>
      </c>
      <c r="EWF2" s="5" t="s">
        <v>409</v>
      </c>
      <c r="EWG2" s="5" t="s">
        <v>409</v>
      </c>
      <c r="EWH2" s="5" t="s">
        <v>409</v>
      </c>
      <c r="EWI2" s="5" t="s">
        <v>409</v>
      </c>
      <c r="EWJ2" s="5" t="s">
        <v>409</v>
      </c>
      <c r="EWK2" s="5" t="s">
        <v>409</v>
      </c>
      <c r="EWL2" s="5" t="s">
        <v>409</v>
      </c>
      <c r="EWM2" s="5" t="s">
        <v>409</v>
      </c>
      <c r="EWN2" s="5" t="s">
        <v>409</v>
      </c>
      <c r="EWO2" s="5" t="s">
        <v>409</v>
      </c>
      <c r="EWP2" s="5" t="s">
        <v>409</v>
      </c>
      <c r="EWQ2" s="5" t="s">
        <v>409</v>
      </c>
      <c r="EWR2" s="5" t="s">
        <v>409</v>
      </c>
      <c r="EWS2" s="5" t="s">
        <v>409</v>
      </c>
      <c r="EWT2" s="5" t="s">
        <v>409</v>
      </c>
      <c r="EWU2" s="5" t="s">
        <v>409</v>
      </c>
      <c r="EWV2" s="5" t="s">
        <v>409</v>
      </c>
      <c r="EWW2" s="5" t="s">
        <v>409</v>
      </c>
      <c r="EWX2" s="5" t="s">
        <v>409</v>
      </c>
      <c r="EWY2" s="5" t="s">
        <v>409</v>
      </c>
      <c r="EWZ2" s="5" t="s">
        <v>409</v>
      </c>
      <c r="EXA2" s="5" t="s">
        <v>409</v>
      </c>
      <c r="EXB2" s="5" t="s">
        <v>409</v>
      </c>
      <c r="EXC2" s="5" t="s">
        <v>409</v>
      </c>
      <c r="EXD2" s="5" t="s">
        <v>409</v>
      </c>
      <c r="EXE2" s="5" t="s">
        <v>409</v>
      </c>
      <c r="EXF2" s="5" t="s">
        <v>409</v>
      </c>
      <c r="EXG2" s="5" t="s">
        <v>409</v>
      </c>
      <c r="EXH2" s="5" t="s">
        <v>409</v>
      </c>
      <c r="EXI2" s="5" t="s">
        <v>409</v>
      </c>
      <c r="EXJ2" s="5" t="s">
        <v>409</v>
      </c>
      <c r="EXK2" s="5" t="s">
        <v>409</v>
      </c>
      <c r="EXL2" s="5" t="s">
        <v>409</v>
      </c>
      <c r="EXM2" s="5" t="s">
        <v>409</v>
      </c>
      <c r="EXN2" s="5" t="s">
        <v>409</v>
      </c>
      <c r="EXO2" s="5" t="s">
        <v>409</v>
      </c>
      <c r="EXP2" s="5" t="s">
        <v>409</v>
      </c>
      <c r="EXQ2" s="5" t="s">
        <v>409</v>
      </c>
      <c r="EXR2" s="5" t="s">
        <v>409</v>
      </c>
      <c r="EXS2" s="5" t="s">
        <v>409</v>
      </c>
      <c r="EXT2" s="5" t="s">
        <v>409</v>
      </c>
      <c r="EXU2" s="5" t="s">
        <v>409</v>
      </c>
      <c r="EXV2" s="5" t="s">
        <v>409</v>
      </c>
      <c r="EXW2" s="5" t="s">
        <v>409</v>
      </c>
      <c r="EXX2" s="5" t="s">
        <v>409</v>
      </c>
      <c r="EXY2" s="5" t="s">
        <v>409</v>
      </c>
      <c r="EXZ2" s="5" t="s">
        <v>409</v>
      </c>
      <c r="EYA2" s="5" t="s">
        <v>409</v>
      </c>
      <c r="EYB2" s="5" t="s">
        <v>409</v>
      </c>
      <c r="EYC2" s="5" t="s">
        <v>409</v>
      </c>
      <c r="EYD2" s="5" t="s">
        <v>409</v>
      </c>
      <c r="EYE2" s="5" t="s">
        <v>409</v>
      </c>
      <c r="EYF2" s="5" t="s">
        <v>409</v>
      </c>
      <c r="EYG2" s="5" t="s">
        <v>409</v>
      </c>
      <c r="EYH2" s="5" t="s">
        <v>409</v>
      </c>
      <c r="EYI2" s="5" t="s">
        <v>409</v>
      </c>
      <c r="EYJ2" s="5" t="s">
        <v>409</v>
      </c>
      <c r="EYK2" s="5" t="s">
        <v>409</v>
      </c>
      <c r="EYL2" s="5" t="s">
        <v>409</v>
      </c>
      <c r="EYM2" s="5" t="s">
        <v>409</v>
      </c>
      <c r="EYN2" s="5" t="s">
        <v>409</v>
      </c>
      <c r="EYO2" s="5" t="s">
        <v>409</v>
      </c>
      <c r="EYP2" s="5" t="s">
        <v>409</v>
      </c>
      <c r="EYQ2" s="5" t="s">
        <v>409</v>
      </c>
      <c r="EYR2" s="5" t="s">
        <v>409</v>
      </c>
      <c r="EYS2" s="5" t="s">
        <v>409</v>
      </c>
      <c r="EYT2" s="5" t="s">
        <v>409</v>
      </c>
      <c r="EYU2" s="5" t="s">
        <v>409</v>
      </c>
      <c r="EYV2" s="5" t="s">
        <v>409</v>
      </c>
      <c r="EYW2" s="5" t="s">
        <v>409</v>
      </c>
      <c r="EYX2" s="5" t="s">
        <v>409</v>
      </c>
      <c r="EYY2" s="5" t="s">
        <v>409</v>
      </c>
      <c r="EYZ2" s="5" t="s">
        <v>409</v>
      </c>
      <c r="EZA2" s="5" t="s">
        <v>409</v>
      </c>
      <c r="EZB2" s="5" t="s">
        <v>409</v>
      </c>
      <c r="EZC2" s="5" t="s">
        <v>409</v>
      </c>
      <c r="EZD2" s="5" t="s">
        <v>409</v>
      </c>
      <c r="EZE2" s="5" t="s">
        <v>409</v>
      </c>
      <c r="EZF2" s="5" t="s">
        <v>409</v>
      </c>
      <c r="EZG2" s="5" t="s">
        <v>409</v>
      </c>
      <c r="EZH2" s="5" t="s">
        <v>409</v>
      </c>
      <c r="EZI2" s="5" t="s">
        <v>409</v>
      </c>
      <c r="EZJ2" s="5" t="s">
        <v>409</v>
      </c>
      <c r="EZK2" s="5" t="s">
        <v>409</v>
      </c>
      <c r="EZL2" s="5" t="s">
        <v>409</v>
      </c>
      <c r="EZM2" s="5" t="s">
        <v>409</v>
      </c>
      <c r="EZN2" s="5" t="s">
        <v>409</v>
      </c>
      <c r="EZO2" s="5" t="s">
        <v>409</v>
      </c>
      <c r="EZP2" s="5" t="s">
        <v>409</v>
      </c>
      <c r="EZQ2" s="5" t="s">
        <v>409</v>
      </c>
      <c r="EZR2" s="5" t="s">
        <v>409</v>
      </c>
      <c r="EZS2" s="5" t="s">
        <v>409</v>
      </c>
      <c r="EZT2" s="5" t="s">
        <v>409</v>
      </c>
      <c r="EZU2" s="5" t="s">
        <v>409</v>
      </c>
      <c r="EZV2" s="5" t="s">
        <v>409</v>
      </c>
      <c r="EZW2" s="5" t="s">
        <v>409</v>
      </c>
      <c r="EZX2" s="5" t="s">
        <v>409</v>
      </c>
      <c r="EZY2" s="5" t="s">
        <v>409</v>
      </c>
      <c r="EZZ2" s="5" t="s">
        <v>409</v>
      </c>
      <c r="FAA2" s="5" t="s">
        <v>409</v>
      </c>
      <c r="FAB2" s="5" t="s">
        <v>409</v>
      </c>
      <c r="FAC2" s="5" t="s">
        <v>409</v>
      </c>
      <c r="FAD2" s="5" t="s">
        <v>409</v>
      </c>
      <c r="FAE2" s="5" t="s">
        <v>409</v>
      </c>
      <c r="FAF2" s="5" t="s">
        <v>409</v>
      </c>
      <c r="FAG2" s="5" t="s">
        <v>409</v>
      </c>
      <c r="FAH2" s="5" t="s">
        <v>409</v>
      </c>
      <c r="FAI2" s="5" t="s">
        <v>409</v>
      </c>
      <c r="FAJ2" s="5" t="s">
        <v>409</v>
      </c>
      <c r="FAK2" s="5" t="s">
        <v>409</v>
      </c>
      <c r="FAL2" s="5" t="s">
        <v>409</v>
      </c>
      <c r="FAM2" s="5" t="s">
        <v>409</v>
      </c>
      <c r="FAN2" s="5" t="s">
        <v>409</v>
      </c>
      <c r="FAO2" s="5" t="s">
        <v>409</v>
      </c>
      <c r="FAP2" s="5" t="s">
        <v>409</v>
      </c>
      <c r="FAQ2" s="5" t="s">
        <v>409</v>
      </c>
      <c r="FAR2" s="5" t="s">
        <v>409</v>
      </c>
      <c r="FAS2" s="5" t="s">
        <v>409</v>
      </c>
      <c r="FAT2" s="5" t="s">
        <v>409</v>
      </c>
      <c r="FAU2" s="5" t="s">
        <v>409</v>
      </c>
      <c r="FAV2" s="5" t="s">
        <v>409</v>
      </c>
      <c r="FAW2" s="5" t="s">
        <v>409</v>
      </c>
      <c r="FAX2" s="5" t="s">
        <v>409</v>
      </c>
      <c r="FAY2" s="5" t="s">
        <v>409</v>
      </c>
      <c r="FAZ2" s="5" t="s">
        <v>409</v>
      </c>
      <c r="FBA2" s="5" t="s">
        <v>409</v>
      </c>
      <c r="FBB2" s="5" t="s">
        <v>409</v>
      </c>
      <c r="FBC2" s="5" t="s">
        <v>409</v>
      </c>
      <c r="FBD2" s="5" t="s">
        <v>409</v>
      </c>
      <c r="FBE2" s="5" t="s">
        <v>409</v>
      </c>
      <c r="FBF2" s="5" t="s">
        <v>409</v>
      </c>
      <c r="FBG2" s="5" t="s">
        <v>409</v>
      </c>
      <c r="FBH2" s="5" t="s">
        <v>409</v>
      </c>
      <c r="FBI2" s="5" t="s">
        <v>409</v>
      </c>
      <c r="FBJ2" s="5" t="s">
        <v>409</v>
      </c>
      <c r="FBK2" s="5" t="s">
        <v>409</v>
      </c>
      <c r="FBL2" s="5" t="s">
        <v>409</v>
      </c>
      <c r="FBM2" s="5" t="s">
        <v>409</v>
      </c>
      <c r="FBN2" s="5" t="s">
        <v>409</v>
      </c>
      <c r="FBO2" s="5" t="s">
        <v>409</v>
      </c>
      <c r="FBP2" s="5" t="s">
        <v>409</v>
      </c>
      <c r="FBQ2" s="5" t="s">
        <v>409</v>
      </c>
      <c r="FBR2" s="5" t="s">
        <v>409</v>
      </c>
      <c r="FBS2" s="5" t="s">
        <v>409</v>
      </c>
      <c r="FBT2" s="5" t="s">
        <v>409</v>
      </c>
      <c r="FBU2" s="5" t="s">
        <v>409</v>
      </c>
      <c r="FBV2" s="5" t="s">
        <v>409</v>
      </c>
      <c r="FBW2" s="5" t="s">
        <v>409</v>
      </c>
      <c r="FBX2" s="5" t="s">
        <v>409</v>
      </c>
      <c r="FBY2" s="5" t="s">
        <v>409</v>
      </c>
      <c r="FBZ2" s="5" t="s">
        <v>409</v>
      </c>
      <c r="FCA2" s="5" t="s">
        <v>409</v>
      </c>
      <c r="FCB2" s="5" t="s">
        <v>409</v>
      </c>
      <c r="FCC2" s="5" t="s">
        <v>409</v>
      </c>
      <c r="FCD2" s="5" t="s">
        <v>409</v>
      </c>
      <c r="FCE2" s="5" t="s">
        <v>409</v>
      </c>
      <c r="FCF2" s="5" t="s">
        <v>409</v>
      </c>
      <c r="FCG2" s="5" t="s">
        <v>409</v>
      </c>
      <c r="FCH2" s="5" t="s">
        <v>409</v>
      </c>
      <c r="FCI2" s="5" t="s">
        <v>409</v>
      </c>
      <c r="FCJ2" s="5" t="s">
        <v>409</v>
      </c>
      <c r="FCK2" s="5" t="s">
        <v>409</v>
      </c>
      <c r="FCL2" s="5" t="s">
        <v>409</v>
      </c>
      <c r="FCM2" s="5" t="s">
        <v>409</v>
      </c>
      <c r="FCN2" s="5" t="s">
        <v>409</v>
      </c>
      <c r="FCO2" s="5" t="s">
        <v>409</v>
      </c>
      <c r="FCP2" s="5" t="s">
        <v>409</v>
      </c>
      <c r="FCQ2" s="5" t="s">
        <v>409</v>
      </c>
      <c r="FCR2" s="5" t="s">
        <v>409</v>
      </c>
      <c r="FCS2" s="5" t="s">
        <v>409</v>
      </c>
      <c r="FCT2" s="5" t="s">
        <v>409</v>
      </c>
      <c r="FCU2" s="5" t="s">
        <v>409</v>
      </c>
      <c r="FCV2" s="5" t="s">
        <v>409</v>
      </c>
      <c r="FCW2" s="5" t="s">
        <v>409</v>
      </c>
      <c r="FCX2" s="5" t="s">
        <v>409</v>
      </c>
      <c r="FCY2" s="5" t="s">
        <v>409</v>
      </c>
      <c r="FCZ2" s="5" t="s">
        <v>409</v>
      </c>
      <c r="FDA2" s="5" t="s">
        <v>409</v>
      </c>
      <c r="FDB2" s="5" t="s">
        <v>409</v>
      </c>
      <c r="FDC2" s="5" t="s">
        <v>409</v>
      </c>
      <c r="FDD2" s="5" t="s">
        <v>409</v>
      </c>
      <c r="FDE2" s="5" t="s">
        <v>409</v>
      </c>
      <c r="FDF2" s="5" t="s">
        <v>409</v>
      </c>
      <c r="FDG2" s="5" t="s">
        <v>409</v>
      </c>
      <c r="FDH2" s="5" t="s">
        <v>409</v>
      </c>
      <c r="FDI2" s="5" t="s">
        <v>409</v>
      </c>
      <c r="FDJ2" s="5" t="s">
        <v>409</v>
      </c>
      <c r="FDK2" s="5" t="s">
        <v>409</v>
      </c>
      <c r="FDL2" s="5" t="s">
        <v>409</v>
      </c>
      <c r="FDM2" s="5" t="s">
        <v>409</v>
      </c>
      <c r="FDN2" s="5" t="s">
        <v>409</v>
      </c>
      <c r="FDO2" s="5" t="s">
        <v>409</v>
      </c>
      <c r="FDP2" s="5" t="s">
        <v>409</v>
      </c>
      <c r="FDQ2" s="5" t="s">
        <v>409</v>
      </c>
      <c r="FDR2" s="5" t="s">
        <v>409</v>
      </c>
      <c r="FDS2" s="5" t="s">
        <v>409</v>
      </c>
      <c r="FDT2" s="5" t="s">
        <v>409</v>
      </c>
      <c r="FDU2" s="5" t="s">
        <v>409</v>
      </c>
      <c r="FDV2" s="5" t="s">
        <v>409</v>
      </c>
      <c r="FDW2" s="5" t="s">
        <v>409</v>
      </c>
      <c r="FDX2" s="5" t="s">
        <v>409</v>
      </c>
      <c r="FDY2" s="5" t="s">
        <v>409</v>
      </c>
      <c r="FDZ2" s="5" t="s">
        <v>409</v>
      </c>
      <c r="FEA2" s="5" t="s">
        <v>409</v>
      </c>
      <c r="FEB2" s="5" t="s">
        <v>409</v>
      </c>
      <c r="FEC2" s="5" t="s">
        <v>409</v>
      </c>
      <c r="FED2" s="5" t="s">
        <v>409</v>
      </c>
      <c r="FEE2" s="5" t="s">
        <v>409</v>
      </c>
      <c r="FEF2" s="5" t="s">
        <v>409</v>
      </c>
      <c r="FEG2" s="5" t="s">
        <v>409</v>
      </c>
      <c r="FEH2" s="5" t="s">
        <v>409</v>
      </c>
      <c r="FEI2" s="5" t="s">
        <v>409</v>
      </c>
      <c r="FEJ2" s="5" t="s">
        <v>409</v>
      </c>
      <c r="FEK2" s="5" t="s">
        <v>409</v>
      </c>
      <c r="FEL2" s="5" t="s">
        <v>409</v>
      </c>
      <c r="FEM2" s="5" t="s">
        <v>409</v>
      </c>
      <c r="FEN2" s="5" t="s">
        <v>409</v>
      </c>
      <c r="FEO2" s="5" t="s">
        <v>409</v>
      </c>
      <c r="FEP2" s="5" t="s">
        <v>409</v>
      </c>
      <c r="FEQ2" s="5" t="s">
        <v>409</v>
      </c>
      <c r="FER2" s="5" t="s">
        <v>409</v>
      </c>
      <c r="FES2" s="5" t="s">
        <v>409</v>
      </c>
      <c r="FET2" s="5" t="s">
        <v>409</v>
      </c>
      <c r="FEU2" s="5" t="s">
        <v>409</v>
      </c>
      <c r="FEV2" s="5" t="s">
        <v>409</v>
      </c>
      <c r="FEW2" s="5" t="s">
        <v>409</v>
      </c>
      <c r="FEX2" s="5" t="s">
        <v>409</v>
      </c>
      <c r="FEY2" s="5" t="s">
        <v>409</v>
      </c>
      <c r="FEZ2" s="5" t="s">
        <v>409</v>
      </c>
      <c r="FFA2" s="5" t="s">
        <v>409</v>
      </c>
      <c r="FFB2" s="5" t="s">
        <v>409</v>
      </c>
      <c r="FFC2" s="5" t="s">
        <v>409</v>
      </c>
      <c r="FFD2" s="5" t="s">
        <v>409</v>
      </c>
      <c r="FFE2" s="5" t="s">
        <v>409</v>
      </c>
      <c r="FFF2" s="5" t="s">
        <v>409</v>
      </c>
      <c r="FFG2" s="5" t="s">
        <v>409</v>
      </c>
      <c r="FFH2" s="5" t="s">
        <v>409</v>
      </c>
      <c r="FFI2" s="5" t="s">
        <v>409</v>
      </c>
      <c r="FFJ2" s="5" t="s">
        <v>409</v>
      </c>
      <c r="FFK2" s="5" t="s">
        <v>409</v>
      </c>
      <c r="FFL2" s="5" t="s">
        <v>409</v>
      </c>
      <c r="FFM2" s="5" t="s">
        <v>409</v>
      </c>
      <c r="FFN2" s="5" t="s">
        <v>409</v>
      </c>
      <c r="FFO2" s="5" t="s">
        <v>409</v>
      </c>
      <c r="FFP2" s="5" t="s">
        <v>409</v>
      </c>
      <c r="FFQ2" s="5" t="s">
        <v>409</v>
      </c>
      <c r="FFR2" s="5" t="s">
        <v>409</v>
      </c>
      <c r="FFS2" s="5" t="s">
        <v>409</v>
      </c>
      <c r="FFT2" s="5" t="s">
        <v>409</v>
      </c>
      <c r="FFU2" s="5" t="s">
        <v>409</v>
      </c>
      <c r="FFV2" s="5" t="s">
        <v>409</v>
      </c>
      <c r="FFW2" s="5" t="s">
        <v>409</v>
      </c>
      <c r="FFX2" s="5" t="s">
        <v>409</v>
      </c>
      <c r="FFY2" s="5" t="s">
        <v>409</v>
      </c>
      <c r="FFZ2" s="5" t="s">
        <v>409</v>
      </c>
      <c r="FGA2" s="5" t="s">
        <v>409</v>
      </c>
      <c r="FGB2" s="5" t="s">
        <v>409</v>
      </c>
      <c r="FGC2" s="5" t="s">
        <v>409</v>
      </c>
      <c r="FGD2" s="5" t="s">
        <v>409</v>
      </c>
      <c r="FGE2" s="5" t="s">
        <v>409</v>
      </c>
      <c r="FGF2" s="5" t="s">
        <v>409</v>
      </c>
      <c r="FGG2" s="5" t="s">
        <v>409</v>
      </c>
      <c r="FGH2" s="5" t="s">
        <v>409</v>
      </c>
      <c r="FGI2" s="5" t="s">
        <v>409</v>
      </c>
      <c r="FGJ2" s="5" t="s">
        <v>409</v>
      </c>
      <c r="FGK2" s="5" t="s">
        <v>409</v>
      </c>
      <c r="FGL2" s="5" t="s">
        <v>409</v>
      </c>
      <c r="FGM2" s="5" t="s">
        <v>409</v>
      </c>
      <c r="FGN2" s="5" t="s">
        <v>409</v>
      </c>
      <c r="FGO2" s="5" t="s">
        <v>409</v>
      </c>
      <c r="FGP2" s="5" t="s">
        <v>409</v>
      </c>
      <c r="FGQ2" s="5" t="s">
        <v>409</v>
      </c>
      <c r="FGR2" s="5" t="s">
        <v>409</v>
      </c>
      <c r="FGS2" s="5" t="s">
        <v>409</v>
      </c>
      <c r="FGT2" s="5" t="s">
        <v>409</v>
      </c>
      <c r="FGU2" s="5" t="s">
        <v>409</v>
      </c>
      <c r="FGV2" s="5" t="s">
        <v>409</v>
      </c>
      <c r="FGW2" s="5" t="s">
        <v>409</v>
      </c>
      <c r="FGX2" s="5" t="s">
        <v>409</v>
      </c>
      <c r="FGY2" s="5" t="s">
        <v>409</v>
      </c>
      <c r="FGZ2" s="5" t="s">
        <v>409</v>
      </c>
      <c r="FHA2" s="5" t="s">
        <v>409</v>
      </c>
      <c r="FHB2" s="5" t="s">
        <v>409</v>
      </c>
      <c r="FHC2" s="5" t="s">
        <v>409</v>
      </c>
      <c r="FHD2" s="5" t="s">
        <v>409</v>
      </c>
      <c r="FHE2" s="5" t="s">
        <v>409</v>
      </c>
      <c r="FHF2" s="5" t="s">
        <v>409</v>
      </c>
      <c r="FHG2" s="5" t="s">
        <v>409</v>
      </c>
      <c r="FHH2" s="5" t="s">
        <v>409</v>
      </c>
      <c r="FHI2" s="5" t="s">
        <v>409</v>
      </c>
      <c r="FHJ2" s="5" t="s">
        <v>409</v>
      </c>
      <c r="FHK2" s="5" t="s">
        <v>409</v>
      </c>
      <c r="FHL2" s="5" t="s">
        <v>409</v>
      </c>
      <c r="FHM2" s="5" t="s">
        <v>409</v>
      </c>
      <c r="FHN2" s="5" t="s">
        <v>409</v>
      </c>
      <c r="FHO2" s="5" t="s">
        <v>409</v>
      </c>
      <c r="FHP2" s="5" t="s">
        <v>409</v>
      </c>
      <c r="FHQ2" s="5" t="s">
        <v>409</v>
      </c>
      <c r="FHR2" s="5" t="s">
        <v>409</v>
      </c>
      <c r="FHS2" s="5" t="s">
        <v>409</v>
      </c>
      <c r="FHT2" s="5" t="s">
        <v>409</v>
      </c>
      <c r="FHU2" s="5" t="s">
        <v>409</v>
      </c>
      <c r="FHV2" s="5" t="s">
        <v>409</v>
      </c>
      <c r="FHW2" s="5" t="s">
        <v>409</v>
      </c>
      <c r="FHX2" s="5" t="s">
        <v>409</v>
      </c>
      <c r="FHY2" s="5" t="s">
        <v>409</v>
      </c>
      <c r="FHZ2" s="5" t="s">
        <v>409</v>
      </c>
      <c r="FIA2" s="5" t="s">
        <v>409</v>
      </c>
      <c r="FIB2" s="5" t="s">
        <v>409</v>
      </c>
      <c r="FIC2" s="5" t="s">
        <v>409</v>
      </c>
      <c r="FID2" s="5" t="s">
        <v>409</v>
      </c>
      <c r="FIE2" s="5" t="s">
        <v>409</v>
      </c>
      <c r="FIF2" s="5" t="s">
        <v>409</v>
      </c>
      <c r="FIG2" s="5" t="s">
        <v>409</v>
      </c>
      <c r="FIH2" s="5" t="s">
        <v>409</v>
      </c>
      <c r="FII2" s="5" t="s">
        <v>409</v>
      </c>
      <c r="FIJ2" s="5" t="s">
        <v>409</v>
      </c>
      <c r="FIK2" s="5" t="s">
        <v>409</v>
      </c>
      <c r="FIL2" s="5" t="s">
        <v>409</v>
      </c>
      <c r="FIM2" s="5" t="s">
        <v>409</v>
      </c>
      <c r="FIN2" s="5" t="s">
        <v>409</v>
      </c>
      <c r="FIO2" s="5" t="s">
        <v>409</v>
      </c>
      <c r="FIP2" s="5" t="s">
        <v>409</v>
      </c>
      <c r="FIQ2" s="5" t="s">
        <v>409</v>
      </c>
      <c r="FIR2" s="5" t="s">
        <v>409</v>
      </c>
      <c r="FIS2" s="5" t="s">
        <v>409</v>
      </c>
      <c r="FIT2" s="5" t="s">
        <v>409</v>
      </c>
      <c r="FIU2" s="5" t="s">
        <v>409</v>
      </c>
      <c r="FIV2" s="5" t="s">
        <v>409</v>
      </c>
      <c r="FIW2" s="5" t="s">
        <v>409</v>
      </c>
      <c r="FIX2" s="5" t="s">
        <v>409</v>
      </c>
      <c r="FIY2" s="5" t="s">
        <v>409</v>
      </c>
      <c r="FIZ2" s="5" t="s">
        <v>409</v>
      </c>
      <c r="FJA2" s="5" t="s">
        <v>409</v>
      </c>
      <c r="FJB2" s="5" t="s">
        <v>409</v>
      </c>
      <c r="FJC2" s="5" t="s">
        <v>409</v>
      </c>
      <c r="FJD2" s="5" t="s">
        <v>409</v>
      </c>
      <c r="FJE2" s="5" t="s">
        <v>409</v>
      </c>
      <c r="FJF2" s="5" t="s">
        <v>409</v>
      </c>
      <c r="FJG2" s="5" t="s">
        <v>409</v>
      </c>
      <c r="FJH2" s="5" t="s">
        <v>409</v>
      </c>
      <c r="FJI2" s="5" t="s">
        <v>409</v>
      </c>
      <c r="FJJ2" s="5" t="s">
        <v>409</v>
      </c>
      <c r="FJK2" s="5" t="s">
        <v>409</v>
      </c>
      <c r="FJL2" s="5" t="s">
        <v>409</v>
      </c>
      <c r="FJM2" s="5" t="s">
        <v>409</v>
      </c>
      <c r="FJN2" s="5" t="s">
        <v>409</v>
      </c>
      <c r="FJO2" s="5" t="s">
        <v>409</v>
      </c>
      <c r="FJP2" s="5" t="s">
        <v>409</v>
      </c>
      <c r="FJQ2" s="5" t="s">
        <v>409</v>
      </c>
      <c r="FJR2" s="5" t="s">
        <v>409</v>
      </c>
      <c r="FJS2" s="5" t="s">
        <v>409</v>
      </c>
      <c r="FJT2" s="5" t="s">
        <v>409</v>
      </c>
      <c r="FJU2" s="5" t="s">
        <v>409</v>
      </c>
      <c r="FJV2" s="5" t="s">
        <v>409</v>
      </c>
      <c r="FJW2" s="5" t="s">
        <v>409</v>
      </c>
      <c r="FJX2" s="5" t="s">
        <v>409</v>
      </c>
      <c r="FJY2" s="5" t="s">
        <v>409</v>
      </c>
      <c r="FJZ2" s="5" t="s">
        <v>409</v>
      </c>
      <c r="FKA2" s="5" t="s">
        <v>409</v>
      </c>
      <c r="FKB2" s="5" t="s">
        <v>409</v>
      </c>
      <c r="FKC2" s="5" t="s">
        <v>409</v>
      </c>
      <c r="FKD2" s="5" t="s">
        <v>409</v>
      </c>
      <c r="FKE2" s="5" t="s">
        <v>409</v>
      </c>
      <c r="FKF2" s="5" t="s">
        <v>409</v>
      </c>
      <c r="FKG2" s="5" t="s">
        <v>409</v>
      </c>
      <c r="FKH2" s="5" t="s">
        <v>409</v>
      </c>
      <c r="FKI2" s="5" t="s">
        <v>409</v>
      </c>
      <c r="FKJ2" s="5" t="s">
        <v>409</v>
      </c>
      <c r="FKK2" s="5" t="s">
        <v>409</v>
      </c>
      <c r="FKL2" s="5" t="s">
        <v>409</v>
      </c>
      <c r="FKM2" s="5" t="s">
        <v>409</v>
      </c>
      <c r="FKN2" s="5" t="s">
        <v>409</v>
      </c>
      <c r="FKO2" s="5" t="s">
        <v>409</v>
      </c>
      <c r="FKP2" s="5" t="s">
        <v>409</v>
      </c>
      <c r="FKQ2" s="5" t="s">
        <v>409</v>
      </c>
      <c r="FKR2" s="5" t="s">
        <v>409</v>
      </c>
      <c r="FKS2" s="5" t="s">
        <v>409</v>
      </c>
      <c r="FKT2" s="5" t="s">
        <v>409</v>
      </c>
      <c r="FKU2" s="5" t="s">
        <v>409</v>
      </c>
      <c r="FKV2" s="5" t="s">
        <v>409</v>
      </c>
      <c r="FKW2" s="5" t="s">
        <v>409</v>
      </c>
      <c r="FKX2" s="5" t="s">
        <v>409</v>
      </c>
      <c r="FKY2" s="5" t="s">
        <v>409</v>
      </c>
      <c r="FKZ2" s="5" t="s">
        <v>409</v>
      </c>
      <c r="FLA2" s="5" t="s">
        <v>409</v>
      </c>
      <c r="FLB2" s="5" t="s">
        <v>409</v>
      </c>
      <c r="FLC2" s="5" t="s">
        <v>409</v>
      </c>
      <c r="FLD2" s="5" t="s">
        <v>409</v>
      </c>
      <c r="FLE2" s="5" t="s">
        <v>409</v>
      </c>
      <c r="FLF2" s="5" t="s">
        <v>409</v>
      </c>
      <c r="FLG2" s="5" t="s">
        <v>409</v>
      </c>
      <c r="FLH2" s="5" t="s">
        <v>409</v>
      </c>
      <c r="FLI2" s="5" t="s">
        <v>409</v>
      </c>
      <c r="FLJ2" s="5" t="s">
        <v>409</v>
      </c>
      <c r="FLK2" s="5" t="s">
        <v>409</v>
      </c>
      <c r="FLL2" s="5" t="s">
        <v>409</v>
      </c>
      <c r="FLM2" s="5" t="s">
        <v>409</v>
      </c>
      <c r="FLN2" s="5" t="s">
        <v>409</v>
      </c>
      <c r="FLO2" s="5" t="s">
        <v>409</v>
      </c>
      <c r="FLP2" s="5" t="s">
        <v>409</v>
      </c>
      <c r="FLQ2" s="5" t="s">
        <v>409</v>
      </c>
      <c r="FLR2" s="5" t="s">
        <v>409</v>
      </c>
      <c r="FLS2" s="5" t="s">
        <v>409</v>
      </c>
      <c r="FLT2" s="5" t="s">
        <v>409</v>
      </c>
      <c r="FLU2" s="5" t="s">
        <v>409</v>
      </c>
      <c r="FLV2" s="5" t="s">
        <v>409</v>
      </c>
      <c r="FLW2" s="5" t="s">
        <v>409</v>
      </c>
      <c r="FLX2" s="5" t="s">
        <v>409</v>
      </c>
      <c r="FLY2" s="5" t="s">
        <v>409</v>
      </c>
      <c r="FLZ2" s="5" t="s">
        <v>409</v>
      </c>
      <c r="FMA2" s="5" t="s">
        <v>409</v>
      </c>
      <c r="FMB2" s="5" t="s">
        <v>409</v>
      </c>
      <c r="FMC2" s="5" t="s">
        <v>409</v>
      </c>
      <c r="FMD2" s="5" t="s">
        <v>409</v>
      </c>
      <c r="FME2" s="5" t="s">
        <v>409</v>
      </c>
      <c r="FMF2" s="5" t="s">
        <v>409</v>
      </c>
      <c r="FMG2" s="5" t="s">
        <v>409</v>
      </c>
      <c r="FMH2" s="5" t="s">
        <v>409</v>
      </c>
      <c r="FMI2" s="5" t="s">
        <v>409</v>
      </c>
      <c r="FMJ2" s="5" t="s">
        <v>409</v>
      </c>
      <c r="FMK2" s="5" t="s">
        <v>409</v>
      </c>
      <c r="FML2" s="5" t="s">
        <v>409</v>
      </c>
      <c r="FMM2" s="5" t="s">
        <v>409</v>
      </c>
      <c r="FMN2" s="5" t="s">
        <v>409</v>
      </c>
      <c r="FMO2" s="5" t="s">
        <v>409</v>
      </c>
      <c r="FMP2" s="5" t="s">
        <v>409</v>
      </c>
      <c r="FMQ2" s="5" t="s">
        <v>409</v>
      </c>
      <c r="FMR2" s="5" t="s">
        <v>409</v>
      </c>
      <c r="FMS2" s="5" t="s">
        <v>409</v>
      </c>
      <c r="FMT2" s="5" t="s">
        <v>409</v>
      </c>
      <c r="FMU2" s="5" t="s">
        <v>409</v>
      </c>
      <c r="FMV2" s="5" t="s">
        <v>409</v>
      </c>
      <c r="FMW2" s="5" t="s">
        <v>409</v>
      </c>
      <c r="FMX2" s="5" t="s">
        <v>409</v>
      </c>
      <c r="FMY2" s="5" t="s">
        <v>409</v>
      </c>
      <c r="FMZ2" s="5" t="s">
        <v>409</v>
      </c>
      <c r="FNA2" s="5" t="s">
        <v>409</v>
      </c>
      <c r="FNB2" s="5" t="s">
        <v>409</v>
      </c>
      <c r="FNC2" s="5" t="s">
        <v>409</v>
      </c>
      <c r="FND2" s="5" t="s">
        <v>409</v>
      </c>
      <c r="FNE2" s="5" t="s">
        <v>409</v>
      </c>
      <c r="FNF2" s="5" t="s">
        <v>409</v>
      </c>
      <c r="FNG2" s="5" t="s">
        <v>409</v>
      </c>
      <c r="FNH2" s="5" t="s">
        <v>409</v>
      </c>
      <c r="FNI2" s="5" t="s">
        <v>409</v>
      </c>
      <c r="FNJ2" s="5" t="s">
        <v>409</v>
      </c>
      <c r="FNK2" s="5" t="s">
        <v>409</v>
      </c>
      <c r="FNL2" s="5" t="s">
        <v>409</v>
      </c>
      <c r="FNM2" s="5" t="s">
        <v>409</v>
      </c>
      <c r="FNN2" s="5" t="s">
        <v>409</v>
      </c>
      <c r="FNO2" s="5" t="s">
        <v>409</v>
      </c>
      <c r="FNP2" s="5" t="s">
        <v>409</v>
      </c>
      <c r="FNQ2" s="5" t="s">
        <v>409</v>
      </c>
      <c r="FNR2" s="5" t="s">
        <v>409</v>
      </c>
      <c r="FNS2" s="5" t="s">
        <v>409</v>
      </c>
      <c r="FNT2" s="5" t="s">
        <v>409</v>
      </c>
      <c r="FNU2" s="5" t="s">
        <v>409</v>
      </c>
      <c r="FNV2" s="5" t="s">
        <v>409</v>
      </c>
      <c r="FNW2" s="5" t="s">
        <v>409</v>
      </c>
      <c r="FNX2" s="5" t="s">
        <v>409</v>
      </c>
      <c r="FNY2" s="5" t="s">
        <v>409</v>
      </c>
      <c r="FNZ2" s="5" t="s">
        <v>409</v>
      </c>
      <c r="FOA2" s="5" t="s">
        <v>409</v>
      </c>
      <c r="FOB2" s="5" t="s">
        <v>409</v>
      </c>
      <c r="FOC2" s="5" t="s">
        <v>409</v>
      </c>
      <c r="FOD2" s="5" t="s">
        <v>409</v>
      </c>
      <c r="FOE2" s="5" t="s">
        <v>409</v>
      </c>
      <c r="FOF2" s="5" t="s">
        <v>409</v>
      </c>
      <c r="FOG2" s="5" t="s">
        <v>409</v>
      </c>
      <c r="FOH2" s="5" t="s">
        <v>409</v>
      </c>
      <c r="FOI2" s="5" t="s">
        <v>409</v>
      </c>
      <c r="FOJ2" s="5" t="s">
        <v>409</v>
      </c>
      <c r="FOK2" s="5" t="s">
        <v>409</v>
      </c>
      <c r="FOL2" s="5" t="s">
        <v>409</v>
      </c>
      <c r="FOM2" s="5" t="s">
        <v>409</v>
      </c>
      <c r="FON2" s="5" t="s">
        <v>409</v>
      </c>
      <c r="FOO2" s="5" t="s">
        <v>409</v>
      </c>
      <c r="FOP2" s="5" t="s">
        <v>409</v>
      </c>
      <c r="FOQ2" s="5" t="s">
        <v>409</v>
      </c>
      <c r="FOR2" s="5" t="s">
        <v>409</v>
      </c>
      <c r="FOS2" s="5" t="s">
        <v>409</v>
      </c>
      <c r="FOT2" s="5" t="s">
        <v>409</v>
      </c>
      <c r="FOU2" s="5" t="s">
        <v>409</v>
      </c>
      <c r="FOV2" s="5" t="s">
        <v>409</v>
      </c>
      <c r="FOW2" s="5" t="s">
        <v>409</v>
      </c>
      <c r="FOX2" s="5" t="s">
        <v>409</v>
      </c>
      <c r="FOY2" s="5" t="s">
        <v>409</v>
      </c>
      <c r="FOZ2" s="5" t="s">
        <v>409</v>
      </c>
      <c r="FPA2" s="5" t="s">
        <v>409</v>
      </c>
      <c r="FPB2" s="5" t="s">
        <v>409</v>
      </c>
      <c r="FPC2" s="5" t="s">
        <v>409</v>
      </c>
      <c r="FPD2" s="5" t="s">
        <v>409</v>
      </c>
      <c r="FPE2" s="5" t="s">
        <v>409</v>
      </c>
      <c r="FPF2" s="5" t="s">
        <v>409</v>
      </c>
      <c r="FPG2" s="5" t="s">
        <v>409</v>
      </c>
      <c r="FPH2" s="5" t="s">
        <v>409</v>
      </c>
      <c r="FPI2" s="5" t="s">
        <v>409</v>
      </c>
      <c r="FPJ2" s="5" t="s">
        <v>409</v>
      </c>
      <c r="FPK2" s="5" t="s">
        <v>409</v>
      </c>
      <c r="FPL2" s="5" t="s">
        <v>409</v>
      </c>
      <c r="FPM2" s="5" t="s">
        <v>409</v>
      </c>
      <c r="FPN2" s="5" t="s">
        <v>409</v>
      </c>
      <c r="FPO2" s="5" t="s">
        <v>409</v>
      </c>
      <c r="FPP2" s="5" t="s">
        <v>409</v>
      </c>
      <c r="FPQ2" s="5" t="s">
        <v>409</v>
      </c>
      <c r="FPR2" s="5" t="s">
        <v>409</v>
      </c>
      <c r="FPS2" s="5" t="s">
        <v>409</v>
      </c>
      <c r="FPT2" s="5" t="s">
        <v>409</v>
      </c>
      <c r="FPU2" s="5" t="s">
        <v>409</v>
      </c>
      <c r="FPV2" s="5" t="s">
        <v>409</v>
      </c>
      <c r="FPW2" s="5" t="s">
        <v>409</v>
      </c>
      <c r="FPX2" s="5" t="s">
        <v>409</v>
      </c>
      <c r="FPY2" s="5" t="s">
        <v>409</v>
      </c>
      <c r="FPZ2" s="5" t="s">
        <v>409</v>
      </c>
      <c r="FQA2" s="5" t="s">
        <v>409</v>
      </c>
      <c r="FQB2" s="5" t="s">
        <v>409</v>
      </c>
      <c r="FQC2" s="5" t="s">
        <v>409</v>
      </c>
      <c r="FQD2" s="5" t="s">
        <v>409</v>
      </c>
      <c r="FQE2" s="5" t="s">
        <v>409</v>
      </c>
      <c r="FQF2" s="5" t="s">
        <v>409</v>
      </c>
      <c r="FQG2" s="5" t="s">
        <v>409</v>
      </c>
      <c r="FQH2" s="5" t="s">
        <v>409</v>
      </c>
      <c r="FQI2" s="5" t="s">
        <v>409</v>
      </c>
      <c r="FQJ2" s="5" t="s">
        <v>409</v>
      </c>
      <c r="FQK2" s="5" t="s">
        <v>409</v>
      </c>
      <c r="FQL2" s="5" t="s">
        <v>409</v>
      </c>
      <c r="FQM2" s="5" t="s">
        <v>409</v>
      </c>
      <c r="FQN2" s="5" t="s">
        <v>409</v>
      </c>
      <c r="FQO2" s="5" t="s">
        <v>409</v>
      </c>
      <c r="FQP2" s="5" t="s">
        <v>409</v>
      </c>
      <c r="FQQ2" s="5" t="s">
        <v>409</v>
      </c>
      <c r="FQR2" s="5" t="s">
        <v>409</v>
      </c>
      <c r="FQS2" s="5" t="s">
        <v>409</v>
      </c>
      <c r="FQT2" s="5" t="s">
        <v>409</v>
      </c>
      <c r="FQU2" s="5" t="s">
        <v>409</v>
      </c>
      <c r="FQV2" s="5" t="s">
        <v>409</v>
      </c>
      <c r="FQW2" s="5" t="s">
        <v>409</v>
      </c>
      <c r="FQX2" s="5" t="s">
        <v>409</v>
      </c>
      <c r="FQY2" s="5" t="s">
        <v>409</v>
      </c>
      <c r="FQZ2" s="5" t="s">
        <v>409</v>
      </c>
      <c r="FRA2" s="5" t="s">
        <v>409</v>
      </c>
      <c r="FRB2" s="5" t="s">
        <v>409</v>
      </c>
      <c r="FRC2" s="5" t="s">
        <v>409</v>
      </c>
      <c r="FRD2" s="5" t="s">
        <v>409</v>
      </c>
      <c r="FRE2" s="5" t="s">
        <v>409</v>
      </c>
      <c r="FRF2" s="5" t="s">
        <v>409</v>
      </c>
      <c r="FRG2" s="5" t="s">
        <v>409</v>
      </c>
      <c r="FRH2" s="5" t="s">
        <v>409</v>
      </c>
      <c r="FRI2" s="5" t="s">
        <v>409</v>
      </c>
      <c r="FRJ2" s="5" t="s">
        <v>409</v>
      </c>
      <c r="FRK2" s="5" t="s">
        <v>409</v>
      </c>
      <c r="FRL2" s="5" t="s">
        <v>409</v>
      </c>
      <c r="FRM2" s="5" t="s">
        <v>409</v>
      </c>
      <c r="FRN2" s="5" t="s">
        <v>409</v>
      </c>
      <c r="FRO2" s="5" t="s">
        <v>409</v>
      </c>
      <c r="FRP2" s="5" t="s">
        <v>409</v>
      </c>
      <c r="FRQ2" s="5" t="s">
        <v>409</v>
      </c>
      <c r="FRR2" s="5" t="s">
        <v>409</v>
      </c>
      <c r="FRS2" s="5" t="s">
        <v>409</v>
      </c>
      <c r="FRT2" s="5" t="s">
        <v>409</v>
      </c>
      <c r="FRU2" s="5" t="s">
        <v>409</v>
      </c>
      <c r="FRV2" s="5" t="s">
        <v>409</v>
      </c>
      <c r="FRW2" s="5" t="s">
        <v>409</v>
      </c>
      <c r="FRX2" s="5" t="s">
        <v>409</v>
      </c>
      <c r="FRY2" s="5" t="s">
        <v>409</v>
      </c>
      <c r="FRZ2" s="5" t="s">
        <v>409</v>
      </c>
      <c r="FSA2" s="5" t="s">
        <v>409</v>
      </c>
      <c r="FSB2" s="5" t="s">
        <v>409</v>
      </c>
      <c r="FSC2" s="5" t="s">
        <v>409</v>
      </c>
      <c r="FSD2" s="5" t="s">
        <v>409</v>
      </c>
      <c r="FSE2" s="5" t="s">
        <v>409</v>
      </c>
      <c r="FSF2" s="5" t="s">
        <v>409</v>
      </c>
      <c r="FSG2" s="5" t="s">
        <v>409</v>
      </c>
      <c r="FSH2" s="5" t="s">
        <v>409</v>
      </c>
      <c r="FSI2" s="5" t="s">
        <v>409</v>
      </c>
      <c r="FSJ2" s="5" t="s">
        <v>409</v>
      </c>
      <c r="FSK2" s="5" t="s">
        <v>409</v>
      </c>
      <c r="FSL2" s="5" t="s">
        <v>409</v>
      </c>
      <c r="FSM2" s="5" t="s">
        <v>409</v>
      </c>
      <c r="FSN2" s="5" t="s">
        <v>409</v>
      </c>
      <c r="FSO2" s="5" t="s">
        <v>409</v>
      </c>
      <c r="FSP2" s="5" t="s">
        <v>409</v>
      </c>
      <c r="FSQ2" s="5" t="s">
        <v>409</v>
      </c>
      <c r="FSR2" s="5" t="s">
        <v>409</v>
      </c>
      <c r="FSS2" s="5" t="s">
        <v>409</v>
      </c>
      <c r="FST2" s="5" t="s">
        <v>409</v>
      </c>
      <c r="FSU2" s="5" t="s">
        <v>409</v>
      </c>
      <c r="FSV2" s="5" t="s">
        <v>409</v>
      </c>
      <c r="FSW2" s="5" t="s">
        <v>409</v>
      </c>
      <c r="FSX2" s="5" t="s">
        <v>409</v>
      </c>
      <c r="FSY2" s="5" t="s">
        <v>409</v>
      </c>
      <c r="FSZ2" s="5" t="s">
        <v>409</v>
      </c>
      <c r="FTA2" s="5" t="s">
        <v>409</v>
      </c>
      <c r="FTB2" s="5" t="s">
        <v>409</v>
      </c>
      <c r="FTC2" s="5" t="s">
        <v>409</v>
      </c>
      <c r="FTD2" s="5" t="s">
        <v>409</v>
      </c>
      <c r="FTE2" s="5" t="s">
        <v>409</v>
      </c>
      <c r="FTF2" s="5" t="s">
        <v>409</v>
      </c>
      <c r="FTG2" s="5" t="s">
        <v>409</v>
      </c>
      <c r="FTH2" s="5" t="s">
        <v>409</v>
      </c>
      <c r="FTI2" s="5" t="s">
        <v>409</v>
      </c>
      <c r="FTJ2" s="5" t="s">
        <v>409</v>
      </c>
      <c r="FTK2" s="5" t="s">
        <v>409</v>
      </c>
      <c r="FTL2" s="5" t="s">
        <v>409</v>
      </c>
      <c r="FTM2" s="5" t="s">
        <v>409</v>
      </c>
      <c r="FTN2" s="5" t="s">
        <v>409</v>
      </c>
      <c r="FTO2" s="5" t="s">
        <v>409</v>
      </c>
      <c r="FTP2" s="5" t="s">
        <v>409</v>
      </c>
      <c r="FTQ2" s="5" t="s">
        <v>409</v>
      </c>
      <c r="FTR2" s="5" t="s">
        <v>409</v>
      </c>
      <c r="FTS2" s="5" t="s">
        <v>409</v>
      </c>
      <c r="FTT2" s="5" t="s">
        <v>409</v>
      </c>
      <c r="FTU2" s="5" t="s">
        <v>409</v>
      </c>
      <c r="FTV2" s="5" t="s">
        <v>409</v>
      </c>
      <c r="FTW2" s="5" t="s">
        <v>409</v>
      </c>
      <c r="FTX2" s="5" t="s">
        <v>409</v>
      </c>
      <c r="FTY2" s="5" t="s">
        <v>409</v>
      </c>
      <c r="FTZ2" s="5" t="s">
        <v>409</v>
      </c>
      <c r="FUA2" s="5" t="s">
        <v>409</v>
      </c>
      <c r="FUB2" s="5" t="s">
        <v>409</v>
      </c>
      <c r="FUC2" s="5" t="s">
        <v>409</v>
      </c>
      <c r="FUD2" s="5" t="s">
        <v>409</v>
      </c>
      <c r="FUE2" s="5" t="s">
        <v>409</v>
      </c>
      <c r="FUF2" s="5" t="s">
        <v>409</v>
      </c>
      <c r="FUG2" s="5" t="s">
        <v>409</v>
      </c>
      <c r="FUH2" s="5" t="s">
        <v>409</v>
      </c>
      <c r="FUI2" s="5" t="s">
        <v>409</v>
      </c>
      <c r="FUJ2" s="5" t="s">
        <v>409</v>
      </c>
      <c r="FUK2" s="5" t="s">
        <v>409</v>
      </c>
      <c r="FUL2" s="5" t="s">
        <v>409</v>
      </c>
      <c r="FUM2" s="5" t="s">
        <v>409</v>
      </c>
      <c r="FUN2" s="5" t="s">
        <v>409</v>
      </c>
      <c r="FUO2" s="5" t="s">
        <v>409</v>
      </c>
      <c r="FUP2" s="5" t="s">
        <v>409</v>
      </c>
      <c r="FUQ2" s="5" t="s">
        <v>409</v>
      </c>
      <c r="FUR2" s="5" t="s">
        <v>409</v>
      </c>
      <c r="FUS2" s="5" t="s">
        <v>409</v>
      </c>
      <c r="FUT2" s="5" t="s">
        <v>409</v>
      </c>
      <c r="FUU2" s="5" t="s">
        <v>409</v>
      </c>
      <c r="FUV2" s="5" t="s">
        <v>409</v>
      </c>
      <c r="FUW2" s="5" t="s">
        <v>409</v>
      </c>
      <c r="FUX2" s="5" t="s">
        <v>409</v>
      </c>
      <c r="FUY2" s="5" t="s">
        <v>409</v>
      </c>
      <c r="FUZ2" s="5" t="s">
        <v>409</v>
      </c>
      <c r="FVA2" s="5" t="s">
        <v>409</v>
      </c>
      <c r="FVB2" s="5" t="s">
        <v>409</v>
      </c>
      <c r="FVC2" s="5" t="s">
        <v>409</v>
      </c>
      <c r="FVD2" s="5" t="s">
        <v>409</v>
      </c>
      <c r="FVE2" s="5" t="s">
        <v>409</v>
      </c>
      <c r="FVF2" s="5" t="s">
        <v>409</v>
      </c>
      <c r="FVG2" s="5" t="s">
        <v>409</v>
      </c>
      <c r="FVH2" s="5" t="s">
        <v>409</v>
      </c>
      <c r="FVI2" s="5" t="s">
        <v>409</v>
      </c>
      <c r="FVJ2" s="5" t="s">
        <v>409</v>
      </c>
      <c r="FVK2" s="5" t="s">
        <v>409</v>
      </c>
      <c r="FVL2" s="5" t="s">
        <v>409</v>
      </c>
      <c r="FVM2" s="5" t="s">
        <v>409</v>
      </c>
      <c r="FVN2" s="5" t="s">
        <v>409</v>
      </c>
      <c r="FVO2" s="5" t="s">
        <v>409</v>
      </c>
      <c r="FVP2" s="5" t="s">
        <v>409</v>
      </c>
      <c r="FVQ2" s="5" t="s">
        <v>409</v>
      </c>
      <c r="FVR2" s="5" t="s">
        <v>409</v>
      </c>
      <c r="FVS2" s="5" t="s">
        <v>409</v>
      </c>
      <c r="FVT2" s="5" t="s">
        <v>409</v>
      </c>
      <c r="FVU2" s="5" t="s">
        <v>409</v>
      </c>
      <c r="FVV2" s="5" t="s">
        <v>409</v>
      </c>
      <c r="FVW2" s="5" t="s">
        <v>409</v>
      </c>
      <c r="FVX2" s="5" t="s">
        <v>409</v>
      </c>
      <c r="FVY2" s="5" t="s">
        <v>409</v>
      </c>
      <c r="FVZ2" s="5" t="s">
        <v>409</v>
      </c>
      <c r="FWA2" s="5" t="s">
        <v>409</v>
      </c>
      <c r="FWB2" s="5" t="s">
        <v>409</v>
      </c>
      <c r="FWC2" s="5" t="s">
        <v>409</v>
      </c>
      <c r="FWD2" s="5" t="s">
        <v>409</v>
      </c>
      <c r="FWE2" s="5" t="s">
        <v>409</v>
      </c>
      <c r="FWF2" s="5" t="s">
        <v>409</v>
      </c>
      <c r="FWG2" s="5" t="s">
        <v>409</v>
      </c>
      <c r="FWH2" s="5" t="s">
        <v>409</v>
      </c>
      <c r="FWI2" s="5" t="s">
        <v>409</v>
      </c>
      <c r="FWJ2" s="5" t="s">
        <v>409</v>
      </c>
      <c r="FWK2" s="5" t="s">
        <v>409</v>
      </c>
      <c r="FWL2" s="5" t="s">
        <v>409</v>
      </c>
      <c r="FWM2" s="5" t="s">
        <v>409</v>
      </c>
      <c r="FWN2" s="5" t="s">
        <v>409</v>
      </c>
      <c r="FWO2" s="5" t="s">
        <v>409</v>
      </c>
      <c r="FWP2" s="5" t="s">
        <v>409</v>
      </c>
      <c r="FWQ2" s="5" t="s">
        <v>409</v>
      </c>
      <c r="FWR2" s="5" t="s">
        <v>409</v>
      </c>
      <c r="FWS2" s="5" t="s">
        <v>409</v>
      </c>
      <c r="FWT2" s="5" t="s">
        <v>409</v>
      </c>
      <c r="FWU2" s="5" t="s">
        <v>409</v>
      </c>
      <c r="FWV2" s="5" t="s">
        <v>409</v>
      </c>
      <c r="FWW2" s="5" t="s">
        <v>409</v>
      </c>
      <c r="FWX2" s="5" t="s">
        <v>409</v>
      </c>
      <c r="FWY2" s="5" t="s">
        <v>409</v>
      </c>
      <c r="FWZ2" s="5" t="s">
        <v>409</v>
      </c>
      <c r="FXA2" s="5" t="s">
        <v>409</v>
      </c>
      <c r="FXB2" s="5" t="s">
        <v>409</v>
      </c>
      <c r="FXC2" s="5" t="s">
        <v>409</v>
      </c>
      <c r="FXD2" s="5" t="s">
        <v>409</v>
      </c>
      <c r="FXE2" s="5" t="s">
        <v>409</v>
      </c>
      <c r="FXF2" s="5" t="s">
        <v>409</v>
      </c>
      <c r="FXG2" s="5" t="s">
        <v>409</v>
      </c>
      <c r="FXH2" s="5" t="s">
        <v>409</v>
      </c>
      <c r="FXI2" s="5" t="s">
        <v>409</v>
      </c>
      <c r="FXJ2" s="5" t="s">
        <v>409</v>
      </c>
      <c r="FXK2" s="5" t="s">
        <v>409</v>
      </c>
      <c r="FXL2" s="5" t="s">
        <v>409</v>
      </c>
      <c r="FXM2" s="5" t="s">
        <v>409</v>
      </c>
      <c r="FXN2" s="5" t="s">
        <v>409</v>
      </c>
      <c r="FXO2" s="5" t="s">
        <v>409</v>
      </c>
      <c r="FXP2" s="5" t="s">
        <v>409</v>
      </c>
      <c r="FXQ2" s="5" t="s">
        <v>409</v>
      </c>
      <c r="FXR2" s="5" t="s">
        <v>409</v>
      </c>
      <c r="FXS2" s="5" t="s">
        <v>409</v>
      </c>
      <c r="FXT2" s="5" t="s">
        <v>409</v>
      </c>
      <c r="FXU2" s="5" t="s">
        <v>409</v>
      </c>
      <c r="FXV2" s="5" t="s">
        <v>409</v>
      </c>
      <c r="FXW2" s="5" t="s">
        <v>409</v>
      </c>
      <c r="FXX2" s="5" t="s">
        <v>409</v>
      </c>
      <c r="FXY2" s="5" t="s">
        <v>409</v>
      </c>
      <c r="FXZ2" s="5" t="s">
        <v>409</v>
      </c>
      <c r="FYA2" s="5" t="s">
        <v>409</v>
      </c>
      <c r="FYB2" s="5" t="s">
        <v>409</v>
      </c>
      <c r="FYC2" s="5" t="s">
        <v>409</v>
      </c>
      <c r="FYD2" s="5" t="s">
        <v>409</v>
      </c>
      <c r="FYE2" s="5" t="s">
        <v>409</v>
      </c>
      <c r="FYF2" s="5" t="s">
        <v>409</v>
      </c>
      <c r="FYG2" s="5" t="s">
        <v>409</v>
      </c>
      <c r="FYH2" s="5" t="s">
        <v>409</v>
      </c>
      <c r="FYI2" s="5" t="s">
        <v>409</v>
      </c>
      <c r="FYJ2" s="5" t="s">
        <v>409</v>
      </c>
      <c r="FYK2" s="5" t="s">
        <v>409</v>
      </c>
      <c r="FYL2" s="5" t="s">
        <v>409</v>
      </c>
      <c r="FYM2" s="5" t="s">
        <v>409</v>
      </c>
      <c r="FYN2" s="5" t="s">
        <v>409</v>
      </c>
      <c r="FYO2" s="5" t="s">
        <v>409</v>
      </c>
      <c r="FYP2" s="5" t="s">
        <v>409</v>
      </c>
      <c r="FYQ2" s="5" t="s">
        <v>409</v>
      </c>
      <c r="FYR2" s="5" t="s">
        <v>409</v>
      </c>
      <c r="FYS2" s="5" t="s">
        <v>409</v>
      </c>
      <c r="FYT2" s="5" t="s">
        <v>409</v>
      </c>
      <c r="FYU2" s="5" t="s">
        <v>409</v>
      </c>
      <c r="FYV2" s="5" t="s">
        <v>409</v>
      </c>
      <c r="FYW2" s="5" t="s">
        <v>409</v>
      </c>
      <c r="FYX2" s="5" t="s">
        <v>409</v>
      </c>
      <c r="FYY2" s="5" t="s">
        <v>409</v>
      </c>
      <c r="FYZ2" s="5" t="s">
        <v>409</v>
      </c>
      <c r="FZA2" s="5" t="s">
        <v>409</v>
      </c>
      <c r="FZB2" s="5" t="s">
        <v>409</v>
      </c>
      <c r="FZC2" s="5" t="s">
        <v>409</v>
      </c>
      <c r="FZD2" s="5" t="s">
        <v>409</v>
      </c>
      <c r="FZE2" s="5" t="s">
        <v>409</v>
      </c>
      <c r="FZF2" s="5" t="s">
        <v>409</v>
      </c>
      <c r="FZG2" s="5" t="s">
        <v>409</v>
      </c>
      <c r="FZH2" s="5" t="s">
        <v>409</v>
      </c>
      <c r="FZI2" s="5" t="s">
        <v>409</v>
      </c>
      <c r="FZJ2" s="5" t="s">
        <v>409</v>
      </c>
      <c r="FZK2" s="5" t="s">
        <v>409</v>
      </c>
      <c r="FZL2" s="5" t="s">
        <v>409</v>
      </c>
      <c r="FZM2" s="5" t="s">
        <v>409</v>
      </c>
      <c r="FZN2" s="5" t="s">
        <v>409</v>
      </c>
      <c r="FZO2" s="5" t="s">
        <v>409</v>
      </c>
      <c r="FZP2" s="5" t="s">
        <v>409</v>
      </c>
      <c r="FZQ2" s="5" t="s">
        <v>409</v>
      </c>
      <c r="FZR2" s="5" t="s">
        <v>409</v>
      </c>
      <c r="FZS2" s="5" t="s">
        <v>409</v>
      </c>
      <c r="FZT2" s="5" t="s">
        <v>409</v>
      </c>
      <c r="FZU2" s="5" t="s">
        <v>409</v>
      </c>
      <c r="FZV2" s="5" t="s">
        <v>409</v>
      </c>
      <c r="FZW2" s="5" t="s">
        <v>409</v>
      </c>
      <c r="FZX2" s="5" t="s">
        <v>409</v>
      </c>
      <c r="FZY2" s="5" t="s">
        <v>409</v>
      </c>
      <c r="FZZ2" s="5" t="s">
        <v>409</v>
      </c>
      <c r="GAA2" s="5" t="s">
        <v>409</v>
      </c>
      <c r="GAB2" s="5" t="s">
        <v>409</v>
      </c>
      <c r="GAC2" s="5" t="s">
        <v>409</v>
      </c>
      <c r="GAD2" s="5" t="s">
        <v>409</v>
      </c>
      <c r="GAE2" s="5" t="s">
        <v>409</v>
      </c>
      <c r="GAF2" s="5" t="s">
        <v>409</v>
      </c>
      <c r="GAG2" s="5" t="s">
        <v>409</v>
      </c>
      <c r="GAH2" s="5" t="s">
        <v>409</v>
      </c>
      <c r="GAI2" s="5" t="s">
        <v>409</v>
      </c>
      <c r="GAJ2" s="5" t="s">
        <v>409</v>
      </c>
      <c r="GAK2" s="5" t="s">
        <v>409</v>
      </c>
      <c r="GAL2" s="5" t="s">
        <v>409</v>
      </c>
      <c r="GAM2" s="5" t="s">
        <v>409</v>
      </c>
      <c r="GAN2" s="5" t="s">
        <v>409</v>
      </c>
      <c r="GAO2" s="5" t="s">
        <v>409</v>
      </c>
      <c r="GAP2" s="5" t="s">
        <v>409</v>
      </c>
      <c r="GAQ2" s="5" t="s">
        <v>409</v>
      </c>
      <c r="GAR2" s="5" t="s">
        <v>409</v>
      </c>
      <c r="GAS2" s="5" t="s">
        <v>409</v>
      </c>
      <c r="GAT2" s="5" t="s">
        <v>409</v>
      </c>
      <c r="GAU2" s="5" t="s">
        <v>409</v>
      </c>
      <c r="GAV2" s="5" t="s">
        <v>409</v>
      </c>
      <c r="GAW2" s="5" t="s">
        <v>409</v>
      </c>
      <c r="GAX2" s="5" t="s">
        <v>409</v>
      </c>
      <c r="GAY2" s="5" t="s">
        <v>409</v>
      </c>
      <c r="GAZ2" s="5" t="s">
        <v>409</v>
      </c>
      <c r="GBA2" s="5" t="s">
        <v>409</v>
      </c>
      <c r="GBB2" s="5" t="s">
        <v>409</v>
      </c>
      <c r="GBC2" s="5" t="s">
        <v>409</v>
      </c>
      <c r="GBD2" s="5" t="s">
        <v>409</v>
      </c>
      <c r="GBE2" s="5" t="s">
        <v>409</v>
      </c>
      <c r="GBF2" s="5" t="s">
        <v>409</v>
      </c>
      <c r="GBG2" s="5" t="s">
        <v>409</v>
      </c>
      <c r="GBH2" s="5" t="s">
        <v>409</v>
      </c>
      <c r="GBI2" s="5" t="s">
        <v>409</v>
      </c>
      <c r="GBJ2" s="5" t="s">
        <v>409</v>
      </c>
      <c r="GBK2" s="5" t="s">
        <v>409</v>
      </c>
      <c r="GBL2" s="5" t="s">
        <v>409</v>
      </c>
      <c r="GBM2" s="5" t="s">
        <v>409</v>
      </c>
      <c r="GBN2" s="5" t="s">
        <v>409</v>
      </c>
      <c r="GBO2" s="5" t="s">
        <v>409</v>
      </c>
      <c r="GBP2" s="5" t="s">
        <v>409</v>
      </c>
      <c r="GBQ2" s="5" t="s">
        <v>409</v>
      </c>
      <c r="GBR2" s="5" t="s">
        <v>409</v>
      </c>
      <c r="GBS2" s="5" t="s">
        <v>409</v>
      </c>
      <c r="GBT2" s="5" t="s">
        <v>409</v>
      </c>
      <c r="GBU2" s="5" t="s">
        <v>409</v>
      </c>
      <c r="GBV2" s="5" t="s">
        <v>409</v>
      </c>
      <c r="GBW2" s="5" t="s">
        <v>409</v>
      </c>
      <c r="GBX2" s="5" t="s">
        <v>409</v>
      </c>
      <c r="GBY2" s="5" t="s">
        <v>409</v>
      </c>
      <c r="GBZ2" s="5" t="s">
        <v>409</v>
      </c>
      <c r="GCA2" s="5" t="s">
        <v>409</v>
      </c>
      <c r="GCB2" s="5" t="s">
        <v>409</v>
      </c>
      <c r="GCC2" s="5" t="s">
        <v>409</v>
      </c>
      <c r="GCD2" s="5" t="s">
        <v>409</v>
      </c>
      <c r="GCE2" s="5" t="s">
        <v>409</v>
      </c>
      <c r="GCF2" s="5" t="s">
        <v>409</v>
      </c>
      <c r="GCG2" s="5" t="s">
        <v>409</v>
      </c>
      <c r="GCH2" s="5" t="s">
        <v>409</v>
      </c>
      <c r="GCI2" s="5" t="s">
        <v>409</v>
      </c>
      <c r="GCJ2" s="5" t="s">
        <v>409</v>
      </c>
      <c r="GCK2" s="5" t="s">
        <v>409</v>
      </c>
      <c r="GCL2" s="5" t="s">
        <v>409</v>
      </c>
      <c r="GCM2" s="5" t="s">
        <v>409</v>
      </c>
      <c r="GCN2" s="5" t="s">
        <v>409</v>
      </c>
      <c r="GCO2" s="5" t="s">
        <v>409</v>
      </c>
      <c r="GCP2" s="5" t="s">
        <v>409</v>
      </c>
      <c r="GCQ2" s="5" t="s">
        <v>409</v>
      </c>
      <c r="GCR2" s="5" t="s">
        <v>409</v>
      </c>
      <c r="GCS2" s="5" t="s">
        <v>409</v>
      </c>
      <c r="GCT2" s="5" t="s">
        <v>409</v>
      </c>
      <c r="GCU2" s="5" t="s">
        <v>409</v>
      </c>
      <c r="GCV2" s="5" t="s">
        <v>409</v>
      </c>
      <c r="GCW2" s="5" t="s">
        <v>409</v>
      </c>
      <c r="GCX2" s="5" t="s">
        <v>409</v>
      </c>
      <c r="GCY2" s="5" t="s">
        <v>409</v>
      </c>
      <c r="GCZ2" s="5" t="s">
        <v>409</v>
      </c>
      <c r="GDA2" s="5" t="s">
        <v>409</v>
      </c>
      <c r="GDB2" s="5" t="s">
        <v>409</v>
      </c>
      <c r="GDC2" s="5" t="s">
        <v>409</v>
      </c>
      <c r="GDD2" s="5" t="s">
        <v>409</v>
      </c>
      <c r="GDE2" s="5" t="s">
        <v>409</v>
      </c>
      <c r="GDF2" s="5" t="s">
        <v>409</v>
      </c>
      <c r="GDG2" s="5" t="s">
        <v>409</v>
      </c>
      <c r="GDH2" s="5" t="s">
        <v>409</v>
      </c>
      <c r="GDI2" s="5" t="s">
        <v>409</v>
      </c>
      <c r="GDJ2" s="5" t="s">
        <v>409</v>
      </c>
      <c r="GDK2" s="5" t="s">
        <v>409</v>
      </c>
      <c r="GDL2" s="5" t="s">
        <v>409</v>
      </c>
      <c r="GDM2" s="5" t="s">
        <v>409</v>
      </c>
      <c r="GDN2" s="5" t="s">
        <v>409</v>
      </c>
      <c r="GDO2" s="5" t="s">
        <v>409</v>
      </c>
      <c r="GDP2" s="5" t="s">
        <v>409</v>
      </c>
      <c r="GDQ2" s="5" t="s">
        <v>409</v>
      </c>
      <c r="GDR2" s="5" t="s">
        <v>409</v>
      </c>
      <c r="GDS2" s="5" t="s">
        <v>409</v>
      </c>
      <c r="GDT2" s="5" t="s">
        <v>409</v>
      </c>
      <c r="GDU2" s="5" t="s">
        <v>409</v>
      </c>
      <c r="GDV2" s="5" t="s">
        <v>409</v>
      </c>
      <c r="GDW2" s="5" t="s">
        <v>409</v>
      </c>
      <c r="GDX2" s="5" t="s">
        <v>409</v>
      </c>
      <c r="GDY2" s="5" t="s">
        <v>409</v>
      </c>
      <c r="GDZ2" s="5" t="s">
        <v>409</v>
      </c>
      <c r="GEA2" s="5" t="s">
        <v>409</v>
      </c>
      <c r="GEB2" s="5" t="s">
        <v>409</v>
      </c>
      <c r="GEC2" s="5" t="s">
        <v>409</v>
      </c>
      <c r="GED2" s="5" t="s">
        <v>409</v>
      </c>
      <c r="GEE2" s="5" t="s">
        <v>409</v>
      </c>
      <c r="GEF2" s="5" t="s">
        <v>409</v>
      </c>
      <c r="GEG2" s="5" t="s">
        <v>409</v>
      </c>
      <c r="GEH2" s="5" t="s">
        <v>409</v>
      </c>
      <c r="GEI2" s="5" t="s">
        <v>409</v>
      </c>
      <c r="GEJ2" s="5" t="s">
        <v>409</v>
      </c>
      <c r="GEK2" s="5" t="s">
        <v>409</v>
      </c>
      <c r="GEL2" s="5" t="s">
        <v>409</v>
      </c>
      <c r="GEM2" s="5" t="s">
        <v>409</v>
      </c>
      <c r="GEN2" s="5" t="s">
        <v>409</v>
      </c>
      <c r="GEO2" s="5" t="s">
        <v>409</v>
      </c>
      <c r="GEP2" s="5" t="s">
        <v>409</v>
      </c>
      <c r="GEQ2" s="5" t="s">
        <v>409</v>
      </c>
      <c r="GER2" s="5" t="s">
        <v>409</v>
      </c>
      <c r="GES2" s="5" t="s">
        <v>409</v>
      </c>
      <c r="GET2" s="5" t="s">
        <v>409</v>
      </c>
      <c r="GEU2" s="5" t="s">
        <v>409</v>
      </c>
      <c r="GEV2" s="5" t="s">
        <v>409</v>
      </c>
      <c r="GEW2" s="5" t="s">
        <v>409</v>
      </c>
      <c r="GEX2" s="5" t="s">
        <v>409</v>
      </c>
      <c r="GEY2" s="5" t="s">
        <v>409</v>
      </c>
      <c r="GEZ2" s="5" t="s">
        <v>409</v>
      </c>
      <c r="GFA2" s="5" t="s">
        <v>409</v>
      </c>
      <c r="GFB2" s="5" t="s">
        <v>409</v>
      </c>
      <c r="GFC2" s="5" t="s">
        <v>409</v>
      </c>
      <c r="GFD2" s="5" t="s">
        <v>409</v>
      </c>
      <c r="GFE2" s="5" t="s">
        <v>409</v>
      </c>
      <c r="GFF2" s="5" t="s">
        <v>409</v>
      </c>
      <c r="GFG2" s="5" t="s">
        <v>409</v>
      </c>
      <c r="GFH2" s="5" t="s">
        <v>409</v>
      </c>
      <c r="GFI2" s="5" t="s">
        <v>409</v>
      </c>
      <c r="GFJ2" s="5" t="s">
        <v>409</v>
      </c>
      <c r="GFK2" s="5" t="s">
        <v>409</v>
      </c>
      <c r="GFL2" s="5" t="s">
        <v>409</v>
      </c>
      <c r="GFM2" s="5" t="s">
        <v>409</v>
      </c>
      <c r="GFN2" s="5" t="s">
        <v>409</v>
      </c>
      <c r="GFO2" s="5" t="s">
        <v>409</v>
      </c>
      <c r="GFP2" s="5" t="s">
        <v>409</v>
      </c>
      <c r="GFQ2" s="5" t="s">
        <v>409</v>
      </c>
      <c r="GFR2" s="5" t="s">
        <v>409</v>
      </c>
      <c r="GFS2" s="5" t="s">
        <v>409</v>
      </c>
      <c r="GFT2" s="5" t="s">
        <v>409</v>
      </c>
      <c r="GFU2" s="5" t="s">
        <v>409</v>
      </c>
      <c r="GFV2" s="5" t="s">
        <v>409</v>
      </c>
      <c r="GFW2" s="5" t="s">
        <v>409</v>
      </c>
      <c r="GFX2" s="5" t="s">
        <v>409</v>
      </c>
      <c r="GFY2" s="5" t="s">
        <v>409</v>
      </c>
      <c r="GFZ2" s="5" t="s">
        <v>409</v>
      </c>
      <c r="GGA2" s="5" t="s">
        <v>409</v>
      </c>
      <c r="GGB2" s="5" t="s">
        <v>409</v>
      </c>
      <c r="GGC2" s="5" t="s">
        <v>409</v>
      </c>
      <c r="GGD2" s="5" t="s">
        <v>409</v>
      </c>
      <c r="GGE2" s="5" t="s">
        <v>409</v>
      </c>
      <c r="GGF2" s="5" t="s">
        <v>409</v>
      </c>
      <c r="GGG2" s="5" t="s">
        <v>409</v>
      </c>
      <c r="GGH2" s="5" t="s">
        <v>409</v>
      </c>
      <c r="GGI2" s="5" t="s">
        <v>409</v>
      </c>
      <c r="GGJ2" s="5" t="s">
        <v>409</v>
      </c>
      <c r="GGK2" s="5" t="s">
        <v>409</v>
      </c>
      <c r="GGL2" s="5" t="s">
        <v>409</v>
      </c>
      <c r="GGM2" s="5" t="s">
        <v>409</v>
      </c>
      <c r="GGN2" s="5" t="s">
        <v>409</v>
      </c>
      <c r="GGO2" s="5" t="s">
        <v>409</v>
      </c>
      <c r="GGP2" s="5" t="s">
        <v>409</v>
      </c>
      <c r="GGQ2" s="5" t="s">
        <v>409</v>
      </c>
      <c r="GGR2" s="5" t="s">
        <v>409</v>
      </c>
      <c r="GGS2" s="5" t="s">
        <v>409</v>
      </c>
      <c r="GGT2" s="5" t="s">
        <v>409</v>
      </c>
      <c r="GGU2" s="5" t="s">
        <v>409</v>
      </c>
      <c r="GGV2" s="5" t="s">
        <v>409</v>
      </c>
      <c r="GGW2" s="5" t="s">
        <v>409</v>
      </c>
      <c r="GGX2" s="5" t="s">
        <v>409</v>
      </c>
      <c r="GGY2" s="5" t="s">
        <v>409</v>
      </c>
      <c r="GGZ2" s="5" t="s">
        <v>409</v>
      </c>
      <c r="GHA2" s="5" t="s">
        <v>409</v>
      </c>
      <c r="GHB2" s="5" t="s">
        <v>409</v>
      </c>
      <c r="GHC2" s="5" t="s">
        <v>409</v>
      </c>
      <c r="GHD2" s="5" t="s">
        <v>409</v>
      </c>
      <c r="GHE2" s="5" t="s">
        <v>409</v>
      </c>
      <c r="GHF2" s="5" t="s">
        <v>409</v>
      </c>
      <c r="GHG2" s="5" t="s">
        <v>409</v>
      </c>
      <c r="GHH2" s="5" t="s">
        <v>409</v>
      </c>
      <c r="GHI2" s="5" t="s">
        <v>409</v>
      </c>
      <c r="GHJ2" s="5" t="s">
        <v>409</v>
      </c>
      <c r="GHK2" s="5" t="s">
        <v>409</v>
      </c>
      <c r="GHL2" s="5" t="s">
        <v>409</v>
      </c>
      <c r="GHM2" s="5" t="s">
        <v>409</v>
      </c>
      <c r="GHN2" s="5" t="s">
        <v>409</v>
      </c>
      <c r="GHO2" s="5" t="s">
        <v>409</v>
      </c>
      <c r="GHP2" s="5" t="s">
        <v>409</v>
      </c>
      <c r="GHQ2" s="5" t="s">
        <v>409</v>
      </c>
      <c r="GHR2" s="5" t="s">
        <v>409</v>
      </c>
      <c r="GHS2" s="5" t="s">
        <v>409</v>
      </c>
      <c r="GHT2" s="5" t="s">
        <v>409</v>
      </c>
      <c r="GHU2" s="5" t="s">
        <v>409</v>
      </c>
      <c r="GHV2" s="5" t="s">
        <v>409</v>
      </c>
      <c r="GHW2" s="5" t="s">
        <v>409</v>
      </c>
      <c r="GHX2" s="5" t="s">
        <v>409</v>
      </c>
      <c r="GHY2" s="5" t="s">
        <v>409</v>
      </c>
      <c r="GHZ2" s="5" t="s">
        <v>409</v>
      </c>
      <c r="GIA2" s="5" t="s">
        <v>409</v>
      </c>
      <c r="GIB2" s="5" t="s">
        <v>409</v>
      </c>
      <c r="GIC2" s="5" t="s">
        <v>409</v>
      </c>
      <c r="GID2" s="5" t="s">
        <v>409</v>
      </c>
      <c r="GIE2" s="5" t="s">
        <v>409</v>
      </c>
      <c r="GIF2" s="5" t="s">
        <v>409</v>
      </c>
      <c r="GIG2" s="5" t="s">
        <v>409</v>
      </c>
      <c r="GIH2" s="5" t="s">
        <v>409</v>
      </c>
      <c r="GII2" s="5" t="s">
        <v>409</v>
      </c>
      <c r="GIJ2" s="5" t="s">
        <v>409</v>
      </c>
      <c r="GIK2" s="5" t="s">
        <v>409</v>
      </c>
      <c r="GIL2" s="5" t="s">
        <v>409</v>
      </c>
      <c r="GIM2" s="5" t="s">
        <v>409</v>
      </c>
      <c r="GIN2" s="5" t="s">
        <v>409</v>
      </c>
      <c r="GIO2" s="5" t="s">
        <v>409</v>
      </c>
      <c r="GIP2" s="5" t="s">
        <v>409</v>
      </c>
      <c r="GIQ2" s="5" t="s">
        <v>409</v>
      </c>
      <c r="GIR2" s="5" t="s">
        <v>409</v>
      </c>
      <c r="GIS2" s="5" t="s">
        <v>409</v>
      </c>
      <c r="GIT2" s="5" t="s">
        <v>409</v>
      </c>
      <c r="GIU2" s="5" t="s">
        <v>409</v>
      </c>
      <c r="GIV2" s="5" t="s">
        <v>409</v>
      </c>
      <c r="GIW2" s="5" t="s">
        <v>409</v>
      </c>
      <c r="GIX2" s="5" t="s">
        <v>409</v>
      </c>
      <c r="GIY2" s="5" t="s">
        <v>409</v>
      </c>
      <c r="GIZ2" s="5" t="s">
        <v>409</v>
      </c>
      <c r="GJA2" s="5" t="s">
        <v>409</v>
      </c>
      <c r="GJB2" s="5" t="s">
        <v>409</v>
      </c>
      <c r="GJC2" s="5" t="s">
        <v>409</v>
      </c>
      <c r="GJD2" s="5" t="s">
        <v>409</v>
      </c>
      <c r="GJE2" s="5" t="s">
        <v>409</v>
      </c>
      <c r="GJF2" s="5" t="s">
        <v>409</v>
      </c>
      <c r="GJG2" s="5" t="s">
        <v>409</v>
      </c>
      <c r="GJH2" s="5" t="s">
        <v>409</v>
      </c>
      <c r="GJI2" s="5" t="s">
        <v>409</v>
      </c>
      <c r="GJJ2" s="5" t="s">
        <v>409</v>
      </c>
      <c r="GJK2" s="5" t="s">
        <v>409</v>
      </c>
      <c r="GJL2" s="5" t="s">
        <v>409</v>
      </c>
      <c r="GJM2" s="5" t="s">
        <v>409</v>
      </c>
      <c r="GJN2" s="5" t="s">
        <v>409</v>
      </c>
      <c r="GJO2" s="5" t="s">
        <v>409</v>
      </c>
      <c r="GJP2" s="5" t="s">
        <v>409</v>
      </c>
      <c r="GJQ2" s="5" t="s">
        <v>409</v>
      </c>
      <c r="GJR2" s="5" t="s">
        <v>409</v>
      </c>
      <c r="GJS2" s="5" t="s">
        <v>409</v>
      </c>
      <c r="GJT2" s="5" t="s">
        <v>409</v>
      </c>
      <c r="GJU2" s="5" t="s">
        <v>409</v>
      </c>
      <c r="GJV2" s="5" t="s">
        <v>409</v>
      </c>
      <c r="GJW2" s="5" t="s">
        <v>409</v>
      </c>
      <c r="GJX2" s="5" t="s">
        <v>409</v>
      </c>
      <c r="GJY2" s="5" t="s">
        <v>409</v>
      </c>
      <c r="GJZ2" s="5" t="s">
        <v>409</v>
      </c>
      <c r="GKA2" s="5" t="s">
        <v>409</v>
      </c>
      <c r="GKB2" s="5" t="s">
        <v>409</v>
      </c>
      <c r="GKC2" s="5" t="s">
        <v>409</v>
      </c>
      <c r="GKD2" s="5" t="s">
        <v>409</v>
      </c>
      <c r="GKE2" s="5" t="s">
        <v>409</v>
      </c>
      <c r="GKF2" s="5" t="s">
        <v>409</v>
      </c>
      <c r="GKG2" s="5" t="s">
        <v>409</v>
      </c>
      <c r="GKH2" s="5" t="s">
        <v>409</v>
      </c>
      <c r="GKI2" s="5" t="s">
        <v>409</v>
      </c>
      <c r="GKJ2" s="5" t="s">
        <v>409</v>
      </c>
      <c r="GKK2" s="5" t="s">
        <v>409</v>
      </c>
      <c r="GKL2" s="5" t="s">
        <v>409</v>
      </c>
      <c r="GKM2" s="5" t="s">
        <v>409</v>
      </c>
      <c r="GKN2" s="5" t="s">
        <v>409</v>
      </c>
      <c r="GKO2" s="5" t="s">
        <v>409</v>
      </c>
      <c r="GKP2" s="5" t="s">
        <v>409</v>
      </c>
      <c r="GKQ2" s="5" t="s">
        <v>409</v>
      </c>
      <c r="GKR2" s="5" t="s">
        <v>409</v>
      </c>
      <c r="GKS2" s="5" t="s">
        <v>409</v>
      </c>
      <c r="GKT2" s="5" t="s">
        <v>409</v>
      </c>
      <c r="GKU2" s="5" t="s">
        <v>409</v>
      </c>
      <c r="GKV2" s="5" t="s">
        <v>409</v>
      </c>
      <c r="GKW2" s="5" t="s">
        <v>409</v>
      </c>
      <c r="GKX2" s="5" t="s">
        <v>409</v>
      </c>
      <c r="GKY2" s="5" t="s">
        <v>409</v>
      </c>
      <c r="GKZ2" s="5" t="s">
        <v>409</v>
      </c>
      <c r="GLA2" s="5" t="s">
        <v>409</v>
      </c>
      <c r="GLB2" s="5" t="s">
        <v>409</v>
      </c>
      <c r="GLC2" s="5" t="s">
        <v>409</v>
      </c>
      <c r="GLD2" s="5" t="s">
        <v>409</v>
      </c>
      <c r="GLE2" s="5" t="s">
        <v>409</v>
      </c>
      <c r="GLF2" s="5" t="s">
        <v>409</v>
      </c>
      <c r="GLG2" s="5" t="s">
        <v>409</v>
      </c>
      <c r="GLH2" s="5" t="s">
        <v>409</v>
      </c>
      <c r="GLI2" s="5" t="s">
        <v>409</v>
      </c>
      <c r="GLJ2" s="5" t="s">
        <v>409</v>
      </c>
      <c r="GLK2" s="5" t="s">
        <v>409</v>
      </c>
      <c r="GLL2" s="5" t="s">
        <v>409</v>
      </c>
      <c r="GLM2" s="5" t="s">
        <v>409</v>
      </c>
      <c r="GLN2" s="5" t="s">
        <v>409</v>
      </c>
      <c r="GLO2" s="5" t="s">
        <v>409</v>
      </c>
      <c r="GLP2" s="5" t="s">
        <v>409</v>
      </c>
      <c r="GLQ2" s="5" t="s">
        <v>409</v>
      </c>
      <c r="GLR2" s="5" t="s">
        <v>409</v>
      </c>
      <c r="GLS2" s="5" t="s">
        <v>409</v>
      </c>
      <c r="GLT2" s="5" t="s">
        <v>409</v>
      </c>
      <c r="GLU2" s="5" t="s">
        <v>409</v>
      </c>
      <c r="GLV2" s="5" t="s">
        <v>409</v>
      </c>
      <c r="GLW2" s="5" t="s">
        <v>409</v>
      </c>
      <c r="GLX2" s="5" t="s">
        <v>409</v>
      </c>
      <c r="GLY2" s="5" t="s">
        <v>409</v>
      </c>
      <c r="GLZ2" s="5" t="s">
        <v>409</v>
      </c>
      <c r="GMA2" s="5" t="s">
        <v>409</v>
      </c>
      <c r="GMB2" s="5" t="s">
        <v>409</v>
      </c>
      <c r="GMC2" s="5" t="s">
        <v>409</v>
      </c>
      <c r="GMD2" s="5" t="s">
        <v>409</v>
      </c>
      <c r="GME2" s="5" t="s">
        <v>409</v>
      </c>
      <c r="GMF2" s="5" t="s">
        <v>409</v>
      </c>
      <c r="GMG2" s="5" t="s">
        <v>409</v>
      </c>
      <c r="GMH2" s="5" t="s">
        <v>409</v>
      </c>
      <c r="GMI2" s="5" t="s">
        <v>409</v>
      </c>
      <c r="GMJ2" s="5" t="s">
        <v>409</v>
      </c>
      <c r="GMK2" s="5" t="s">
        <v>409</v>
      </c>
      <c r="GML2" s="5" t="s">
        <v>409</v>
      </c>
      <c r="GMM2" s="5" t="s">
        <v>409</v>
      </c>
      <c r="GMN2" s="5" t="s">
        <v>409</v>
      </c>
      <c r="GMO2" s="5" t="s">
        <v>409</v>
      </c>
      <c r="GMP2" s="5" t="s">
        <v>409</v>
      </c>
      <c r="GMQ2" s="5" t="s">
        <v>409</v>
      </c>
      <c r="GMR2" s="5" t="s">
        <v>409</v>
      </c>
      <c r="GMS2" s="5" t="s">
        <v>409</v>
      </c>
      <c r="GMT2" s="5" t="s">
        <v>409</v>
      </c>
      <c r="GMU2" s="5" t="s">
        <v>409</v>
      </c>
      <c r="GMV2" s="5" t="s">
        <v>409</v>
      </c>
      <c r="GMW2" s="5" t="s">
        <v>409</v>
      </c>
      <c r="GMX2" s="5" t="s">
        <v>409</v>
      </c>
      <c r="GMY2" s="5" t="s">
        <v>409</v>
      </c>
      <c r="GMZ2" s="5" t="s">
        <v>409</v>
      </c>
      <c r="GNA2" s="5" t="s">
        <v>409</v>
      </c>
      <c r="GNB2" s="5" t="s">
        <v>409</v>
      </c>
      <c r="GNC2" s="5" t="s">
        <v>409</v>
      </c>
      <c r="GND2" s="5" t="s">
        <v>409</v>
      </c>
      <c r="GNE2" s="5" t="s">
        <v>409</v>
      </c>
      <c r="GNF2" s="5" t="s">
        <v>409</v>
      </c>
      <c r="GNG2" s="5" t="s">
        <v>409</v>
      </c>
      <c r="GNH2" s="5" t="s">
        <v>409</v>
      </c>
      <c r="GNI2" s="5" t="s">
        <v>409</v>
      </c>
      <c r="GNJ2" s="5" t="s">
        <v>409</v>
      </c>
      <c r="GNK2" s="5" t="s">
        <v>409</v>
      </c>
      <c r="GNL2" s="5" t="s">
        <v>409</v>
      </c>
      <c r="GNM2" s="5" t="s">
        <v>409</v>
      </c>
      <c r="GNN2" s="5" t="s">
        <v>409</v>
      </c>
      <c r="GNO2" s="5" t="s">
        <v>409</v>
      </c>
      <c r="GNP2" s="5" t="s">
        <v>409</v>
      </c>
      <c r="GNQ2" s="5" t="s">
        <v>409</v>
      </c>
      <c r="GNR2" s="5" t="s">
        <v>409</v>
      </c>
      <c r="GNS2" s="5" t="s">
        <v>409</v>
      </c>
      <c r="GNT2" s="5" t="s">
        <v>409</v>
      </c>
      <c r="GNU2" s="5" t="s">
        <v>409</v>
      </c>
      <c r="GNV2" s="5" t="s">
        <v>409</v>
      </c>
      <c r="GNW2" s="5" t="s">
        <v>409</v>
      </c>
      <c r="GNX2" s="5" t="s">
        <v>409</v>
      </c>
      <c r="GNY2" s="5" t="s">
        <v>409</v>
      </c>
      <c r="GNZ2" s="5" t="s">
        <v>409</v>
      </c>
      <c r="GOA2" s="5" t="s">
        <v>409</v>
      </c>
      <c r="GOB2" s="5" t="s">
        <v>409</v>
      </c>
      <c r="GOC2" s="5" t="s">
        <v>409</v>
      </c>
      <c r="GOD2" s="5" t="s">
        <v>409</v>
      </c>
      <c r="GOE2" s="5" t="s">
        <v>409</v>
      </c>
      <c r="GOF2" s="5" t="s">
        <v>409</v>
      </c>
      <c r="GOG2" s="5" t="s">
        <v>409</v>
      </c>
      <c r="GOH2" s="5" t="s">
        <v>409</v>
      </c>
      <c r="GOI2" s="5" t="s">
        <v>409</v>
      </c>
      <c r="GOJ2" s="5" t="s">
        <v>409</v>
      </c>
      <c r="GOK2" s="5" t="s">
        <v>409</v>
      </c>
      <c r="GOL2" s="5" t="s">
        <v>409</v>
      </c>
      <c r="GOM2" s="5" t="s">
        <v>409</v>
      </c>
      <c r="GON2" s="5" t="s">
        <v>409</v>
      </c>
      <c r="GOO2" s="5" t="s">
        <v>409</v>
      </c>
      <c r="GOP2" s="5" t="s">
        <v>409</v>
      </c>
      <c r="GOQ2" s="5" t="s">
        <v>409</v>
      </c>
      <c r="GOR2" s="5" t="s">
        <v>409</v>
      </c>
      <c r="GOS2" s="5" t="s">
        <v>409</v>
      </c>
      <c r="GOT2" s="5" t="s">
        <v>409</v>
      </c>
      <c r="GOU2" s="5" t="s">
        <v>409</v>
      </c>
      <c r="GOV2" s="5" t="s">
        <v>409</v>
      </c>
      <c r="GOW2" s="5" t="s">
        <v>409</v>
      </c>
      <c r="GOX2" s="5" t="s">
        <v>409</v>
      </c>
      <c r="GOY2" s="5" t="s">
        <v>409</v>
      </c>
      <c r="GOZ2" s="5" t="s">
        <v>409</v>
      </c>
      <c r="GPA2" s="5" t="s">
        <v>409</v>
      </c>
      <c r="GPB2" s="5" t="s">
        <v>409</v>
      </c>
      <c r="GPC2" s="5" t="s">
        <v>409</v>
      </c>
      <c r="GPD2" s="5" t="s">
        <v>409</v>
      </c>
      <c r="GPE2" s="5" t="s">
        <v>409</v>
      </c>
      <c r="GPF2" s="5" t="s">
        <v>409</v>
      </c>
      <c r="GPG2" s="5" t="s">
        <v>409</v>
      </c>
      <c r="GPH2" s="5" t="s">
        <v>409</v>
      </c>
      <c r="GPI2" s="5" t="s">
        <v>409</v>
      </c>
      <c r="GPJ2" s="5" t="s">
        <v>409</v>
      </c>
      <c r="GPK2" s="5" t="s">
        <v>409</v>
      </c>
      <c r="GPL2" s="5" t="s">
        <v>409</v>
      </c>
      <c r="GPM2" s="5" t="s">
        <v>409</v>
      </c>
      <c r="GPN2" s="5" t="s">
        <v>409</v>
      </c>
      <c r="GPO2" s="5" t="s">
        <v>409</v>
      </c>
      <c r="GPP2" s="5" t="s">
        <v>409</v>
      </c>
      <c r="GPQ2" s="5" t="s">
        <v>409</v>
      </c>
      <c r="GPR2" s="5" t="s">
        <v>409</v>
      </c>
      <c r="GPS2" s="5" t="s">
        <v>409</v>
      </c>
      <c r="GPT2" s="5" t="s">
        <v>409</v>
      </c>
      <c r="GPU2" s="5" t="s">
        <v>409</v>
      </c>
      <c r="GPV2" s="5" t="s">
        <v>409</v>
      </c>
      <c r="GPW2" s="5" t="s">
        <v>409</v>
      </c>
      <c r="GPX2" s="5" t="s">
        <v>409</v>
      </c>
      <c r="GPY2" s="5" t="s">
        <v>409</v>
      </c>
      <c r="GPZ2" s="5" t="s">
        <v>409</v>
      </c>
      <c r="GQA2" s="5" t="s">
        <v>409</v>
      </c>
      <c r="GQB2" s="5" t="s">
        <v>409</v>
      </c>
      <c r="GQC2" s="5" t="s">
        <v>409</v>
      </c>
      <c r="GQD2" s="5" t="s">
        <v>409</v>
      </c>
      <c r="GQE2" s="5" t="s">
        <v>409</v>
      </c>
      <c r="GQF2" s="5" t="s">
        <v>409</v>
      </c>
      <c r="GQG2" s="5" t="s">
        <v>409</v>
      </c>
      <c r="GQH2" s="5" t="s">
        <v>409</v>
      </c>
      <c r="GQI2" s="5" t="s">
        <v>409</v>
      </c>
      <c r="GQJ2" s="5" t="s">
        <v>409</v>
      </c>
      <c r="GQK2" s="5" t="s">
        <v>409</v>
      </c>
      <c r="GQL2" s="5" t="s">
        <v>409</v>
      </c>
      <c r="GQM2" s="5" t="s">
        <v>409</v>
      </c>
      <c r="GQN2" s="5" t="s">
        <v>409</v>
      </c>
      <c r="GQO2" s="5" t="s">
        <v>409</v>
      </c>
      <c r="GQP2" s="5" t="s">
        <v>409</v>
      </c>
      <c r="GQQ2" s="5" t="s">
        <v>409</v>
      </c>
      <c r="GQR2" s="5" t="s">
        <v>409</v>
      </c>
      <c r="GQS2" s="5" t="s">
        <v>409</v>
      </c>
      <c r="GQT2" s="5" t="s">
        <v>409</v>
      </c>
      <c r="GQU2" s="5" t="s">
        <v>409</v>
      </c>
      <c r="GQV2" s="5" t="s">
        <v>409</v>
      </c>
      <c r="GQW2" s="5" t="s">
        <v>409</v>
      </c>
      <c r="GQX2" s="5" t="s">
        <v>409</v>
      </c>
      <c r="GQY2" s="5" t="s">
        <v>409</v>
      </c>
      <c r="GQZ2" s="5" t="s">
        <v>409</v>
      </c>
      <c r="GRA2" s="5" t="s">
        <v>409</v>
      </c>
      <c r="GRB2" s="5" t="s">
        <v>409</v>
      </c>
      <c r="GRC2" s="5" t="s">
        <v>409</v>
      </c>
      <c r="GRD2" s="5" t="s">
        <v>409</v>
      </c>
      <c r="GRE2" s="5" t="s">
        <v>409</v>
      </c>
      <c r="GRF2" s="5" t="s">
        <v>409</v>
      </c>
      <c r="GRG2" s="5" t="s">
        <v>409</v>
      </c>
      <c r="GRH2" s="5" t="s">
        <v>409</v>
      </c>
      <c r="GRI2" s="5" t="s">
        <v>409</v>
      </c>
      <c r="GRJ2" s="5" t="s">
        <v>409</v>
      </c>
      <c r="GRK2" s="5" t="s">
        <v>409</v>
      </c>
      <c r="GRL2" s="5" t="s">
        <v>409</v>
      </c>
      <c r="GRM2" s="5" t="s">
        <v>409</v>
      </c>
      <c r="GRN2" s="5" t="s">
        <v>409</v>
      </c>
      <c r="GRO2" s="5" t="s">
        <v>409</v>
      </c>
      <c r="GRP2" s="5" t="s">
        <v>409</v>
      </c>
      <c r="GRQ2" s="5" t="s">
        <v>409</v>
      </c>
      <c r="GRR2" s="5" t="s">
        <v>409</v>
      </c>
      <c r="GRS2" s="5" t="s">
        <v>409</v>
      </c>
      <c r="GRT2" s="5" t="s">
        <v>409</v>
      </c>
      <c r="GRU2" s="5" t="s">
        <v>409</v>
      </c>
      <c r="GRV2" s="5" t="s">
        <v>409</v>
      </c>
      <c r="GRW2" s="5" t="s">
        <v>409</v>
      </c>
      <c r="GRX2" s="5" t="s">
        <v>409</v>
      </c>
      <c r="GRY2" s="5" t="s">
        <v>409</v>
      </c>
      <c r="GRZ2" s="5" t="s">
        <v>409</v>
      </c>
      <c r="GSA2" s="5" t="s">
        <v>409</v>
      </c>
      <c r="GSB2" s="5" t="s">
        <v>409</v>
      </c>
      <c r="GSC2" s="5" t="s">
        <v>409</v>
      </c>
      <c r="GSD2" s="5" t="s">
        <v>409</v>
      </c>
      <c r="GSE2" s="5" t="s">
        <v>409</v>
      </c>
      <c r="GSF2" s="5" t="s">
        <v>409</v>
      </c>
      <c r="GSG2" s="5" t="s">
        <v>409</v>
      </c>
      <c r="GSH2" s="5" t="s">
        <v>409</v>
      </c>
      <c r="GSI2" s="5" t="s">
        <v>409</v>
      </c>
      <c r="GSJ2" s="5" t="s">
        <v>409</v>
      </c>
      <c r="GSK2" s="5" t="s">
        <v>409</v>
      </c>
      <c r="GSL2" s="5" t="s">
        <v>409</v>
      </c>
      <c r="GSM2" s="5" t="s">
        <v>409</v>
      </c>
      <c r="GSN2" s="5" t="s">
        <v>409</v>
      </c>
      <c r="GSO2" s="5" t="s">
        <v>409</v>
      </c>
      <c r="GSP2" s="5" t="s">
        <v>409</v>
      </c>
      <c r="GSQ2" s="5" t="s">
        <v>409</v>
      </c>
      <c r="GSR2" s="5" t="s">
        <v>409</v>
      </c>
      <c r="GSS2" s="5" t="s">
        <v>409</v>
      </c>
      <c r="GST2" s="5" t="s">
        <v>409</v>
      </c>
      <c r="GSU2" s="5" t="s">
        <v>409</v>
      </c>
      <c r="GSV2" s="5" t="s">
        <v>409</v>
      </c>
      <c r="GSW2" s="5" t="s">
        <v>409</v>
      </c>
      <c r="GSX2" s="5" t="s">
        <v>409</v>
      </c>
      <c r="GSY2" s="5" t="s">
        <v>409</v>
      </c>
      <c r="GSZ2" s="5" t="s">
        <v>409</v>
      </c>
      <c r="GTA2" s="5" t="s">
        <v>409</v>
      </c>
      <c r="GTB2" s="5" t="s">
        <v>409</v>
      </c>
      <c r="GTC2" s="5" t="s">
        <v>409</v>
      </c>
      <c r="GTD2" s="5" t="s">
        <v>409</v>
      </c>
      <c r="GTE2" s="5" t="s">
        <v>409</v>
      </c>
      <c r="GTF2" s="5" t="s">
        <v>409</v>
      </c>
      <c r="GTG2" s="5" t="s">
        <v>409</v>
      </c>
      <c r="GTH2" s="5" t="s">
        <v>409</v>
      </c>
      <c r="GTI2" s="5" t="s">
        <v>409</v>
      </c>
      <c r="GTJ2" s="5" t="s">
        <v>409</v>
      </c>
      <c r="GTK2" s="5" t="s">
        <v>409</v>
      </c>
      <c r="GTL2" s="5" t="s">
        <v>409</v>
      </c>
      <c r="GTM2" s="5" t="s">
        <v>409</v>
      </c>
      <c r="GTN2" s="5" t="s">
        <v>409</v>
      </c>
      <c r="GTO2" s="5" t="s">
        <v>409</v>
      </c>
      <c r="GTP2" s="5" t="s">
        <v>409</v>
      </c>
      <c r="GTQ2" s="5" t="s">
        <v>409</v>
      </c>
      <c r="GTR2" s="5" t="s">
        <v>409</v>
      </c>
      <c r="GTS2" s="5" t="s">
        <v>409</v>
      </c>
      <c r="GTT2" s="5" t="s">
        <v>409</v>
      </c>
      <c r="GTU2" s="5" t="s">
        <v>409</v>
      </c>
      <c r="GTV2" s="5" t="s">
        <v>409</v>
      </c>
      <c r="GTW2" s="5" t="s">
        <v>409</v>
      </c>
      <c r="GTX2" s="5" t="s">
        <v>409</v>
      </c>
      <c r="GTY2" s="5" t="s">
        <v>409</v>
      </c>
      <c r="GTZ2" s="5" t="s">
        <v>409</v>
      </c>
      <c r="GUA2" s="5" t="s">
        <v>409</v>
      </c>
      <c r="GUB2" s="5" t="s">
        <v>409</v>
      </c>
      <c r="GUC2" s="5" t="s">
        <v>409</v>
      </c>
      <c r="GUD2" s="5" t="s">
        <v>409</v>
      </c>
      <c r="GUE2" s="5" t="s">
        <v>409</v>
      </c>
      <c r="GUF2" s="5" t="s">
        <v>409</v>
      </c>
      <c r="GUG2" s="5" t="s">
        <v>409</v>
      </c>
      <c r="GUH2" s="5" t="s">
        <v>409</v>
      </c>
      <c r="GUI2" s="5" t="s">
        <v>409</v>
      </c>
      <c r="GUJ2" s="5" t="s">
        <v>409</v>
      </c>
      <c r="GUK2" s="5" t="s">
        <v>409</v>
      </c>
      <c r="GUL2" s="5" t="s">
        <v>409</v>
      </c>
      <c r="GUM2" s="5" t="s">
        <v>409</v>
      </c>
      <c r="GUN2" s="5" t="s">
        <v>409</v>
      </c>
      <c r="GUO2" s="5" t="s">
        <v>409</v>
      </c>
      <c r="GUP2" s="5" t="s">
        <v>409</v>
      </c>
      <c r="GUQ2" s="5" t="s">
        <v>409</v>
      </c>
      <c r="GUR2" s="5" t="s">
        <v>409</v>
      </c>
      <c r="GUS2" s="5" t="s">
        <v>409</v>
      </c>
      <c r="GUT2" s="5" t="s">
        <v>409</v>
      </c>
      <c r="GUU2" s="5" t="s">
        <v>409</v>
      </c>
      <c r="GUV2" s="5" t="s">
        <v>409</v>
      </c>
      <c r="GUW2" s="5" t="s">
        <v>409</v>
      </c>
      <c r="GUX2" s="5" t="s">
        <v>409</v>
      </c>
      <c r="GUY2" s="5" t="s">
        <v>409</v>
      </c>
      <c r="GUZ2" s="5" t="s">
        <v>409</v>
      </c>
      <c r="GVA2" s="5" t="s">
        <v>409</v>
      </c>
      <c r="GVB2" s="5" t="s">
        <v>409</v>
      </c>
      <c r="GVC2" s="5" t="s">
        <v>409</v>
      </c>
      <c r="GVD2" s="5" t="s">
        <v>409</v>
      </c>
      <c r="GVE2" s="5" t="s">
        <v>409</v>
      </c>
      <c r="GVF2" s="5" t="s">
        <v>409</v>
      </c>
      <c r="GVG2" s="5" t="s">
        <v>409</v>
      </c>
      <c r="GVH2" s="5" t="s">
        <v>409</v>
      </c>
      <c r="GVI2" s="5" t="s">
        <v>409</v>
      </c>
      <c r="GVJ2" s="5" t="s">
        <v>409</v>
      </c>
      <c r="GVK2" s="5" t="s">
        <v>409</v>
      </c>
      <c r="GVL2" s="5" t="s">
        <v>409</v>
      </c>
      <c r="GVM2" s="5" t="s">
        <v>409</v>
      </c>
      <c r="GVN2" s="5" t="s">
        <v>409</v>
      </c>
      <c r="GVO2" s="5" t="s">
        <v>409</v>
      </c>
      <c r="GVP2" s="5" t="s">
        <v>409</v>
      </c>
      <c r="GVQ2" s="5" t="s">
        <v>409</v>
      </c>
      <c r="GVR2" s="5" t="s">
        <v>409</v>
      </c>
      <c r="GVS2" s="5" t="s">
        <v>409</v>
      </c>
      <c r="GVT2" s="5" t="s">
        <v>409</v>
      </c>
      <c r="GVU2" s="5" t="s">
        <v>409</v>
      </c>
      <c r="GVV2" s="5" t="s">
        <v>409</v>
      </c>
      <c r="GVW2" s="5" t="s">
        <v>409</v>
      </c>
      <c r="GVX2" s="5" t="s">
        <v>409</v>
      </c>
      <c r="GVY2" s="5" t="s">
        <v>409</v>
      </c>
      <c r="GVZ2" s="5" t="s">
        <v>409</v>
      </c>
      <c r="GWA2" s="5" t="s">
        <v>409</v>
      </c>
      <c r="GWB2" s="5" t="s">
        <v>409</v>
      </c>
      <c r="GWC2" s="5" t="s">
        <v>409</v>
      </c>
      <c r="GWD2" s="5" t="s">
        <v>409</v>
      </c>
      <c r="GWE2" s="5" t="s">
        <v>409</v>
      </c>
      <c r="GWF2" s="5" t="s">
        <v>409</v>
      </c>
      <c r="GWG2" s="5" t="s">
        <v>409</v>
      </c>
      <c r="GWH2" s="5" t="s">
        <v>409</v>
      </c>
      <c r="GWI2" s="5" t="s">
        <v>409</v>
      </c>
      <c r="GWJ2" s="5" t="s">
        <v>409</v>
      </c>
      <c r="GWK2" s="5" t="s">
        <v>409</v>
      </c>
      <c r="GWL2" s="5" t="s">
        <v>409</v>
      </c>
      <c r="GWM2" s="5" t="s">
        <v>409</v>
      </c>
      <c r="GWN2" s="5" t="s">
        <v>409</v>
      </c>
      <c r="GWO2" s="5" t="s">
        <v>409</v>
      </c>
      <c r="GWP2" s="5" t="s">
        <v>409</v>
      </c>
      <c r="GWQ2" s="5" t="s">
        <v>409</v>
      </c>
      <c r="GWR2" s="5" t="s">
        <v>409</v>
      </c>
      <c r="GWS2" s="5" t="s">
        <v>409</v>
      </c>
      <c r="GWT2" s="5" t="s">
        <v>409</v>
      </c>
      <c r="GWU2" s="5" t="s">
        <v>409</v>
      </c>
      <c r="GWV2" s="5" t="s">
        <v>409</v>
      </c>
      <c r="GWW2" s="5" t="s">
        <v>409</v>
      </c>
      <c r="GWX2" s="5" t="s">
        <v>409</v>
      </c>
      <c r="GWY2" s="5" t="s">
        <v>409</v>
      </c>
      <c r="GWZ2" s="5" t="s">
        <v>409</v>
      </c>
      <c r="GXA2" s="5" t="s">
        <v>409</v>
      </c>
      <c r="GXB2" s="5" t="s">
        <v>409</v>
      </c>
      <c r="GXC2" s="5" t="s">
        <v>409</v>
      </c>
      <c r="GXD2" s="5" t="s">
        <v>409</v>
      </c>
      <c r="GXE2" s="5" t="s">
        <v>409</v>
      </c>
      <c r="GXF2" s="5" t="s">
        <v>409</v>
      </c>
      <c r="GXG2" s="5" t="s">
        <v>409</v>
      </c>
      <c r="GXH2" s="5" t="s">
        <v>409</v>
      </c>
      <c r="GXI2" s="5" t="s">
        <v>409</v>
      </c>
      <c r="GXJ2" s="5" t="s">
        <v>409</v>
      </c>
      <c r="GXK2" s="5" t="s">
        <v>409</v>
      </c>
      <c r="GXL2" s="5" t="s">
        <v>409</v>
      </c>
      <c r="GXM2" s="5" t="s">
        <v>409</v>
      </c>
      <c r="GXN2" s="5" t="s">
        <v>409</v>
      </c>
      <c r="GXO2" s="5" t="s">
        <v>409</v>
      </c>
      <c r="GXP2" s="5" t="s">
        <v>409</v>
      </c>
      <c r="GXQ2" s="5" t="s">
        <v>409</v>
      </c>
      <c r="GXR2" s="5" t="s">
        <v>409</v>
      </c>
      <c r="GXS2" s="5" t="s">
        <v>409</v>
      </c>
      <c r="GXT2" s="5" t="s">
        <v>409</v>
      </c>
      <c r="GXU2" s="5" t="s">
        <v>409</v>
      </c>
      <c r="GXV2" s="5" t="s">
        <v>409</v>
      </c>
      <c r="GXW2" s="5" t="s">
        <v>409</v>
      </c>
      <c r="GXX2" s="5" t="s">
        <v>409</v>
      </c>
      <c r="GXY2" s="5" t="s">
        <v>409</v>
      </c>
      <c r="GXZ2" s="5" t="s">
        <v>409</v>
      </c>
      <c r="GYA2" s="5" t="s">
        <v>409</v>
      </c>
      <c r="GYB2" s="5" t="s">
        <v>409</v>
      </c>
      <c r="GYC2" s="5" t="s">
        <v>409</v>
      </c>
      <c r="GYD2" s="5" t="s">
        <v>409</v>
      </c>
      <c r="GYE2" s="5" t="s">
        <v>409</v>
      </c>
      <c r="GYF2" s="5" t="s">
        <v>409</v>
      </c>
      <c r="GYG2" s="5" t="s">
        <v>409</v>
      </c>
      <c r="GYH2" s="5" t="s">
        <v>409</v>
      </c>
      <c r="GYI2" s="5" t="s">
        <v>409</v>
      </c>
      <c r="GYJ2" s="5" t="s">
        <v>409</v>
      </c>
      <c r="GYK2" s="5" t="s">
        <v>409</v>
      </c>
      <c r="GYL2" s="5" t="s">
        <v>409</v>
      </c>
      <c r="GYM2" s="5" t="s">
        <v>409</v>
      </c>
      <c r="GYN2" s="5" t="s">
        <v>409</v>
      </c>
      <c r="GYO2" s="5" t="s">
        <v>409</v>
      </c>
      <c r="GYP2" s="5" t="s">
        <v>409</v>
      </c>
      <c r="GYQ2" s="5" t="s">
        <v>409</v>
      </c>
      <c r="GYR2" s="5" t="s">
        <v>409</v>
      </c>
      <c r="GYS2" s="5" t="s">
        <v>409</v>
      </c>
      <c r="GYT2" s="5" t="s">
        <v>409</v>
      </c>
      <c r="GYU2" s="5" t="s">
        <v>409</v>
      </c>
      <c r="GYV2" s="5" t="s">
        <v>409</v>
      </c>
      <c r="GYW2" s="5" t="s">
        <v>409</v>
      </c>
      <c r="GYX2" s="5" t="s">
        <v>409</v>
      </c>
      <c r="GYY2" s="5" t="s">
        <v>409</v>
      </c>
      <c r="GYZ2" s="5" t="s">
        <v>409</v>
      </c>
      <c r="GZA2" s="5" t="s">
        <v>409</v>
      </c>
      <c r="GZB2" s="5" t="s">
        <v>409</v>
      </c>
      <c r="GZC2" s="5" t="s">
        <v>409</v>
      </c>
      <c r="GZD2" s="5" t="s">
        <v>409</v>
      </c>
      <c r="GZE2" s="5" t="s">
        <v>409</v>
      </c>
      <c r="GZF2" s="5" t="s">
        <v>409</v>
      </c>
      <c r="GZG2" s="5" t="s">
        <v>409</v>
      </c>
      <c r="GZH2" s="5" t="s">
        <v>409</v>
      </c>
      <c r="GZI2" s="5" t="s">
        <v>409</v>
      </c>
      <c r="GZJ2" s="5" t="s">
        <v>409</v>
      </c>
      <c r="GZK2" s="5" t="s">
        <v>409</v>
      </c>
      <c r="GZL2" s="5" t="s">
        <v>409</v>
      </c>
      <c r="GZM2" s="5" t="s">
        <v>409</v>
      </c>
      <c r="GZN2" s="5" t="s">
        <v>409</v>
      </c>
      <c r="GZO2" s="5" t="s">
        <v>409</v>
      </c>
      <c r="GZP2" s="5" t="s">
        <v>409</v>
      </c>
      <c r="GZQ2" s="5" t="s">
        <v>409</v>
      </c>
      <c r="GZR2" s="5" t="s">
        <v>409</v>
      </c>
      <c r="GZS2" s="5" t="s">
        <v>409</v>
      </c>
      <c r="GZT2" s="5" t="s">
        <v>409</v>
      </c>
      <c r="GZU2" s="5" t="s">
        <v>409</v>
      </c>
      <c r="GZV2" s="5" t="s">
        <v>409</v>
      </c>
      <c r="GZW2" s="5" t="s">
        <v>409</v>
      </c>
      <c r="GZX2" s="5" t="s">
        <v>409</v>
      </c>
      <c r="GZY2" s="5" t="s">
        <v>409</v>
      </c>
      <c r="GZZ2" s="5" t="s">
        <v>409</v>
      </c>
      <c r="HAA2" s="5" t="s">
        <v>409</v>
      </c>
      <c r="HAB2" s="5" t="s">
        <v>409</v>
      </c>
      <c r="HAC2" s="5" t="s">
        <v>409</v>
      </c>
      <c r="HAD2" s="5" t="s">
        <v>409</v>
      </c>
      <c r="HAE2" s="5" t="s">
        <v>409</v>
      </c>
      <c r="HAF2" s="5" t="s">
        <v>409</v>
      </c>
      <c r="HAG2" s="5" t="s">
        <v>409</v>
      </c>
      <c r="HAH2" s="5" t="s">
        <v>409</v>
      </c>
      <c r="HAI2" s="5" t="s">
        <v>409</v>
      </c>
      <c r="HAJ2" s="5" t="s">
        <v>409</v>
      </c>
      <c r="HAK2" s="5" t="s">
        <v>409</v>
      </c>
      <c r="HAL2" s="5" t="s">
        <v>409</v>
      </c>
      <c r="HAM2" s="5" t="s">
        <v>409</v>
      </c>
      <c r="HAN2" s="5" t="s">
        <v>409</v>
      </c>
      <c r="HAO2" s="5" t="s">
        <v>409</v>
      </c>
      <c r="HAP2" s="5" t="s">
        <v>409</v>
      </c>
      <c r="HAQ2" s="5" t="s">
        <v>409</v>
      </c>
      <c r="HAR2" s="5" t="s">
        <v>409</v>
      </c>
      <c r="HAS2" s="5" t="s">
        <v>409</v>
      </c>
      <c r="HAT2" s="5" t="s">
        <v>409</v>
      </c>
      <c r="HAU2" s="5" t="s">
        <v>409</v>
      </c>
      <c r="HAV2" s="5" t="s">
        <v>409</v>
      </c>
      <c r="HAW2" s="5" t="s">
        <v>409</v>
      </c>
      <c r="HAX2" s="5" t="s">
        <v>409</v>
      </c>
      <c r="HAY2" s="5" t="s">
        <v>409</v>
      </c>
      <c r="HAZ2" s="5" t="s">
        <v>409</v>
      </c>
      <c r="HBA2" s="5" t="s">
        <v>409</v>
      </c>
      <c r="HBB2" s="5" t="s">
        <v>409</v>
      </c>
      <c r="HBC2" s="5" t="s">
        <v>409</v>
      </c>
      <c r="HBD2" s="5" t="s">
        <v>409</v>
      </c>
      <c r="HBE2" s="5" t="s">
        <v>409</v>
      </c>
      <c r="HBF2" s="5" t="s">
        <v>409</v>
      </c>
      <c r="HBG2" s="5" t="s">
        <v>409</v>
      </c>
      <c r="HBH2" s="5" t="s">
        <v>409</v>
      </c>
      <c r="HBI2" s="5" t="s">
        <v>409</v>
      </c>
      <c r="HBJ2" s="5" t="s">
        <v>409</v>
      </c>
      <c r="HBK2" s="5" t="s">
        <v>409</v>
      </c>
      <c r="HBL2" s="5" t="s">
        <v>409</v>
      </c>
      <c r="HBM2" s="5" t="s">
        <v>409</v>
      </c>
      <c r="HBN2" s="5" t="s">
        <v>409</v>
      </c>
      <c r="HBO2" s="5" t="s">
        <v>409</v>
      </c>
      <c r="HBP2" s="5" t="s">
        <v>409</v>
      </c>
      <c r="HBQ2" s="5" t="s">
        <v>409</v>
      </c>
      <c r="HBR2" s="5" t="s">
        <v>409</v>
      </c>
      <c r="HBS2" s="5" t="s">
        <v>409</v>
      </c>
      <c r="HBT2" s="5" t="s">
        <v>409</v>
      </c>
      <c r="HBU2" s="5" t="s">
        <v>409</v>
      </c>
      <c r="HBV2" s="5" t="s">
        <v>409</v>
      </c>
      <c r="HBW2" s="5" t="s">
        <v>409</v>
      </c>
      <c r="HBX2" s="5" t="s">
        <v>409</v>
      </c>
      <c r="HBY2" s="5" t="s">
        <v>409</v>
      </c>
      <c r="HBZ2" s="5" t="s">
        <v>409</v>
      </c>
      <c r="HCA2" s="5" t="s">
        <v>409</v>
      </c>
      <c r="HCB2" s="5" t="s">
        <v>409</v>
      </c>
      <c r="HCC2" s="5" t="s">
        <v>409</v>
      </c>
      <c r="HCD2" s="5" t="s">
        <v>409</v>
      </c>
      <c r="HCE2" s="5" t="s">
        <v>409</v>
      </c>
      <c r="HCF2" s="5" t="s">
        <v>409</v>
      </c>
      <c r="HCG2" s="5" t="s">
        <v>409</v>
      </c>
      <c r="HCH2" s="5" t="s">
        <v>409</v>
      </c>
      <c r="HCI2" s="5" t="s">
        <v>409</v>
      </c>
      <c r="HCJ2" s="5" t="s">
        <v>409</v>
      </c>
      <c r="HCK2" s="5" t="s">
        <v>409</v>
      </c>
      <c r="HCL2" s="5" t="s">
        <v>409</v>
      </c>
      <c r="HCM2" s="5" t="s">
        <v>409</v>
      </c>
      <c r="HCN2" s="5" t="s">
        <v>409</v>
      </c>
      <c r="HCO2" s="5" t="s">
        <v>409</v>
      </c>
      <c r="HCP2" s="5" t="s">
        <v>409</v>
      </c>
      <c r="HCQ2" s="5" t="s">
        <v>409</v>
      </c>
      <c r="HCR2" s="5" t="s">
        <v>409</v>
      </c>
      <c r="HCS2" s="5" t="s">
        <v>409</v>
      </c>
      <c r="HCT2" s="5" t="s">
        <v>409</v>
      </c>
      <c r="HCU2" s="5" t="s">
        <v>409</v>
      </c>
      <c r="HCV2" s="5" t="s">
        <v>409</v>
      </c>
      <c r="HCW2" s="5" t="s">
        <v>409</v>
      </c>
      <c r="HCX2" s="5" t="s">
        <v>409</v>
      </c>
      <c r="HCY2" s="5" t="s">
        <v>409</v>
      </c>
      <c r="HCZ2" s="5" t="s">
        <v>409</v>
      </c>
      <c r="HDA2" s="5" t="s">
        <v>409</v>
      </c>
      <c r="HDB2" s="5" t="s">
        <v>409</v>
      </c>
      <c r="HDC2" s="5" t="s">
        <v>409</v>
      </c>
      <c r="HDD2" s="5" t="s">
        <v>409</v>
      </c>
      <c r="HDE2" s="5" t="s">
        <v>409</v>
      </c>
      <c r="HDF2" s="5" t="s">
        <v>409</v>
      </c>
      <c r="HDG2" s="5" t="s">
        <v>409</v>
      </c>
      <c r="HDH2" s="5" t="s">
        <v>409</v>
      </c>
      <c r="HDI2" s="5" t="s">
        <v>409</v>
      </c>
      <c r="HDJ2" s="5" t="s">
        <v>409</v>
      </c>
      <c r="HDK2" s="5" t="s">
        <v>409</v>
      </c>
      <c r="HDL2" s="5" t="s">
        <v>409</v>
      </c>
      <c r="HDM2" s="5" t="s">
        <v>409</v>
      </c>
      <c r="HDN2" s="5" t="s">
        <v>409</v>
      </c>
      <c r="HDO2" s="5" t="s">
        <v>409</v>
      </c>
      <c r="HDP2" s="5" t="s">
        <v>409</v>
      </c>
      <c r="HDQ2" s="5" t="s">
        <v>409</v>
      </c>
      <c r="HDR2" s="5" t="s">
        <v>409</v>
      </c>
      <c r="HDS2" s="5" t="s">
        <v>409</v>
      </c>
      <c r="HDT2" s="5" t="s">
        <v>409</v>
      </c>
      <c r="HDU2" s="5" t="s">
        <v>409</v>
      </c>
      <c r="HDV2" s="5" t="s">
        <v>409</v>
      </c>
      <c r="HDW2" s="5" t="s">
        <v>409</v>
      </c>
      <c r="HDX2" s="5" t="s">
        <v>409</v>
      </c>
      <c r="HDY2" s="5" t="s">
        <v>409</v>
      </c>
      <c r="HDZ2" s="5" t="s">
        <v>409</v>
      </c>
      <c r="HEA2" s="5" t="s">
        <v>409</v>
      </c>
      <c r="HEB2" s="5" t="s">
        <v>409</v>
      </c>
      <c r="HEC2" s="5" t="s">
        <v>409</v>
      </c>
      <c r="HED2" s="5" t="s">
        <v>409</v>
      </c>
      <c r="HEE2" s="5" t="s">
        <v>409</v>
      </c>
      <c r="HEF2" s="5" t="s">
        <v>409</v>
      </c>
      <c r="HEG2" s="5" t="s">
        <v>409</v>
      </c>
      <c r="HEH2" s="5" t="s">
        <v>409</v>
      </c>
      <c r="HEI2" s="5" t="s">
        <v>409</v>
      </c>
      <c r="HEJ2" s="5" t="s">
        <v>409</v>
      </c>
      <c r="HEK2" s="5" t="s">
        <v>409</v>
      </c>
      <c r="HEL2" s="5" t="s">
        <v>409</v>
      </c>
      <c r="HEM2" s="5" t="s">
        <v>409</v>
      </c>
      <c r="HEN2" s="5" t="s">
        <v>409</v>
      </c>
      <c r="HEO2" s="5" t="s">
        <v>409</v>
      </c>
      <c r="HEP2" s="5" t="s">
        <v>409</v>
      </c>
      <c r="HEQ2" s="5" t="s">
        <v>409</v>
      </c>
      <c r="HER2" s="5" t="s">
        <v>409</v>
      </c>
      <c r="HES2" s="5" t="s">
        <v>409</v>
      </c>
      <c r="HET2" s="5" t="s">
        <v>409</v>
      </c>
      <c r="HEU2" s="5" t="s">
        <v>409</v>
      </c>
      <c r="HEV2" s="5" t="s">
        <v>409</v>
      </c>
      <c r="HEW2" s="5" t="s">
        <v>409</v>
      </c>
      <c r="HEX2" s="5" t="s">
        <v>409</v>
      </c>
      <c r="HEY2" s="5" t="s">
        <v>409</v>
      </c>
      <c r="HEZ2" s="5" t="s">
        <v>409</v>
      </c>
      <c r="HFA2" s="5" t="s">
        <v>409</v>
      </c>
      <c r="HFB2" s="5" t="s">
        <v>409</v>
      </c>
      <c r="HFC2" s="5" t="s">
        <v>409</v>
      </c>
      <c r="HFD2" s="5" t="s">
        <v>409</v>
      </c>
      <c r="HFE2" s="5" t="s">
        <v>409</v>
      </c>
      <c r="HFF2" s="5" t="s">
        <v>409</v>
      </c>
      <c r="HFG2" s="5" t="s">
        <v>409</v>
      </c>
      <c r="HFH2" s="5" t="s">
        <v>409</v>
      </c>
      <c r="HFI2" s="5" t="s">
        <v>409</v>
      </c>
      <c r="HFJ2" s="5" t="s">
        <v>409</v>
      </c>
      <c r="HFK2" s="5" t="s">
        <v>409</v>
      </c>
      <c r="HFL2" s="5" t="s">
        <v>409</v>
      </c>
      <c r="HFM2" s="5" t="s">
        <v>409</v>
      </c>
      <c r="HFN2" s="5" t="s">
        <v>409</v>
      </c>
      <c r="HFO2" s="5" t="s">
        <v>409</v>
      </c>
      <c r="HFP2" s="5" t="s">
        <v>409</v>
      </c>
      <c r="HFQ2" s="5" t="s">
        <v>409</v>
      </c>
      <c r="HFR2" s="5" t="s">
        <v>409</v>
      </c>
      <c r="HFS2" s="5" t="s">
        <v>409</v>
      </c>
      <c r="HFT2" s="5" t="s">
        <v>409</v>
      </c>
      <c r="HFU2" s="5" t="s">
        <v>409</v>
      </c>
      <c r="HFV2" s="5" t="s">
        <v>409</v>
      </c>
      <c r="HFW2" s="5" t="s">
        <v>409</v>
      </c>
      <c r="HFX2" s="5" t="s">
        <v>409</v>
      </c>
      <c r="HFY2" s="5" t="s">
        <v>409</v>
      </c>
      <c r="HFZ2" s="5" t="s">
        <v>409</v>
      </c>
      <c r="HGA2" s="5" t="s">
        <v>409</v>
      </c>
      <c r="HGB2" s="5" t="s">
        <v>409</v>
      </c>
      <c r="HGC2" s="5" t="s">
        <v>409</v>
      </c>
      <c r="HGD2" s="5" t="s">
        <v>409</v>
      </c>
      <c r="HGE2" s="5" t="s">
        <v>409</v>
      </c>
      <c r="HGF2" s="5" t="s">
        <v>409</v>
      </c>
      <c r="HGG2" s="5" t="s">
        <v>409</v>
      </c>
      <c r="HGH2" s="5" t="s">
        <v>409</v>
      </c>
      <c r="HGI2" s="5" t="s">
        <v>409</v>
      </c>
      <c r="HGJ2" s="5" t="s">
        <v>409</v>
      </c>
      <c r="HGK2" s="5" t="s">
        <v>409</v>
      </c>
      <c r="HGL2" s="5" t="s">
        <v>409</v>
      </c>
      <c r="HGM2" s="5" t="s">
        <v>409</v>
      </c>
      <c r="HGN2" s="5" t="s">
        <v>409</v>
      </c>
      <c r="HGO2" s="5" t="s">
        <v>409</v>
      </c>
      <c r="HGP2" s="5" t="s">
        <v>409</v>
      </c>
      <c r="HGQ2" s="5" t="s">
        <v>409</v>
      </c>
      <c r="HGR2" s="5" t="s">
        <v>409</v>
      </c>
      <c r="HGS2" s="5" t="s">
        <v>409</v>
      </c>
      <c r="HGT2" s="5" t="s">
        <v>409</v>
      </c>
      <c r="HGU2" s="5" t="s">
        <v>409</v>
      </c>
      <c r="HGV2" s="5" t="s">
        <v>409</v>
      </c>
      <c r="HGW2" s="5" t="s">
        <v>409</v>
      </c>
      <c r="HGX2" s="5" t="s">
        <v>409</v>
      </c>
      <c r="HGY2" s="5" t="s">
        <v>409</v>
      </c>
      <c r="HGZ2" s="5" t="s">
        <v>409</v>
      </c>
      <c r="HHA2" s="5" t="s">
        <v>409</v>
      </c>
      <c r="HHB2" s="5" t="s">
        <v>409</v>
      </c>
      <c r="HHC2" s="5" t="s">
        <v>409</v>
      </c>
      <c r="HHD2" s="5" t="s">
        <v>409</v>
      </c>
      <c r="HHE2" s="5" t="s">
        <v>409</v>
      </c>
      <c r="HHF2" s="5" t="s">
        <v>409</v>
      </c>
      <c r="HHG2" s="5" t="s">
        <v>409</v>
      </c>
      <c r="HHH2" s="5" t="s">
        <v>409</v>
      </c>
      <c r="HHI2" s="5" t="s">
        <v>409</v>
      </c>
      <c r="HHJ2" s="5" t="s">
        <v>409</v>
      </c>
      <c r="HHK2" s="5" t="s">
        <v>409</v>
      </c>
      <c r="HHL2" s="5" t="s">
        <v>409</v>
      </c>
      <c r="HHM2" s="5" t="s">
        <v>409</v>
      </c>
      <c r="HHN2" s="5" t="s">
        <v>409</v>
      </c>
      <c r="HHO2" s="5" t="s">
        <v>409</v>
      </c>
      <c r="HHP2" s="5" t="s">
        <v>409</v>
      </c>
      <c r="HHQ2" s="5" t="s">
        <v>409</v>
      </c>
      <c r="HHR2" s="5" t="s">
        <v>409</v>
      </c>
      <c r="HHS2" s="5" t="s">
        <v>409</v>
      </c>
      <c r="HHT2" s="5" t="s">
        <v>409</v>
      </c>
      <c r="HHU2" s="5" t="s">
        <v>409</v>
      </c>
      <c r="HHV2" s="5" t="s">
        <v>409</v>
      </c>
      <c r="HHW2" s="5" t="s">
        <v>409</v>
      </c>
      <c r="HHX2" s="5" t="s">
        <v>409</v>
      </c>
      <c r="HHY2" s="5" t="s">
        <v>409</v>
      </c>
      <c r="HHZ2" s="5" t="s">
        <v>409</v>
      </c>
      <c r="HIA2" s="5" t="s">
        <v>409</v>
      </c>
      <c r="HIB2" s="5" t="s">
        <v>409</v>
      </c>
      <c r="HIC2" s="5" t="s">
        <v>409</v>
      </c>
      <c r="HID2" s="5" t="s">
        <v>409</v>
      </c>
      <c r="HIE2" s="5" t="s">
        <v>409</v>
      </c>
      <c r="HIF2" s="5" t="s">
        <v>409</v>
      </c>
      <c r="HIG2" s="5" t="s">
        <v>409</v>
      </c>
      <c r="HIH2" s="5" t="s">
        <v>409</v>
      </c>
      <c r="HII2" s="5" t="s">
        <v>409</v>
      </c>
      <c r="HIJ2" s="5" t="s">
        <v>409</v>
      </c>
      <c r="HIK2" s="5" t="s">
        <v>409</v>
      </c>
      <c r="HIL2" s="5" t="s">
        <v>409</v>
      </c>
      <c r="HIM2" s="5" t="s">
        <v>409</v>
      </c>
      <c r="HIN2" s="5" t="s">
        <v>409</v>
      </c>
      <c r="HIO2" s="5" t="s">
        <v>409</v>
      </c>
      <c r="HIP2" s="5" t="s">
        <v>409</v>
      </c>
      <c r="HIQ2" s="5" t="s">
        <v>409</v>
      </c>
      <c r="HIR2" s="5" t="s">
        <v>409</v>
      </c>
      <c r="HIS2" s="5" t="s">
        <v>409</v>
      </c>
      <c r="HIT2" s="5" t="s">
        <v>409</v>
      </c>
      <c r="HIU2" s="5" t="s">
        <v>409</v>
      </c>
      <c r="HIV2" s="5" t="s">
        <v>409</v>
      </c>
      <c r="HIW2" s="5" t="s">
        <v>409</v>
      </c>
      <c r="HIX2" s="5" t="s">
        <v>409</v>
      </c>
      <c r="HIY2" s="5" t="s">
        <v>409</v>
      </c>
      <c r="HIZ2" s="5" t="s">
        <v>409</v>
      </c>
      <c r="HJA2" s="5" t="s">
        <v>409</v>
      </c>
      <c r="HJB2" s="5" t="s">
        <v>409</v>
      </c>
      <c r="HJC2" s="5" t="s">
        <v>409</v>
      </c>
      <c r="HJD2" s="5" t="s">
        <v>409</v>
      </c>
      <c r="HJE2" s="5" t="s">
        <v>409</v>
      </c>
      <c r="HJF2" s="5" t="s">
        <v>409</v>
      </c>
      <c r="HJG2" s="5" t="s">
        <v>409</v>
      </c>
      <c r="HJH2" s="5" t="s">
        <v>409</v>
      </c>
      <c r="HJI2" s="5" t="s">
        <v>409</v>
      </c>
      <c r="HJJ2" s="5" t="s">
        <v>409</v>
      </c>
      <c r="HJK2" s="5" t="s">
        <v>409</v>
      </c>
      <c r="HJL2" s="5" t="s">
        <v>409</v>
      </c>
      <c r="HJM2" s="5" t="s">
        <v>409</v>
      </c>
      <c r="HJN2" s="5" t="s">
        <v>409</v>
      </c>
      <c r="HJO2" s="5" t="s">
        <v>409</v>
      </c>
      <c r="HJP2" s="5" t="s">
        <v>409</v>
      </c>
      <c r="HJQ2" s="5" t="s">
        <v>409</v>
      </c>
      <c r="HJR2" s="5" t="s">
        <v>409</v>
      </c>
      <c r="HJS2" s="5" t="s">
        <v>409</v>
      </c>
      <c r="HJT2" s="5" t="s">
        <v>409</v>
      </c>
      <c r="HJU2" s="5" t="s">
        <v>409</v>
      </c>
      <c r="HJV2" s="5" t="s">
        <v>409</v>
      </c>
      <c r="HJW2" s="5" t="s">
        <v>409</v>
      </c>
      <c r="HJX2" s="5" t="s">
        <v>409</v>
      </c>
      <c r="HJY2" s="5" t="s">
        <v>409</v>
      </c>
      <c r="HJZ2" s="5" t="s">
        <v>409</v>
      </c>
      <c r="HKA2" s="5" t="s">
        <v>409</v>
      </c>
      <c r="HKB2" s="5" t="s">
        <v>409</v>
      </c>
      <c r="HKC2" s="5" t="s">
        <v>409</v>
      </c>
      <c r="HKD2" s="5" t="s">
        <v>409</v>
      </c>
      <c r="HKE2" s="5" t="s">
        <v>409</v>
      </c>
      <c r="HKF2" s="5" t="s">
        <v>409</v>
      </c>
      <c r="HKG2" s="5" t="s">
        <v>409</v>
      </c>
      <c r="HKH2" s="5" t="s">
        <v>409</v>
      </c>
      <c r="HKI2" s="5" t="s">
        <v>409</v>
      </c>
      <c r="HKJ2" s="5" t="s">
        <v>409</v>
      </c>
      <c r="HKK2" s="5" t="s">
        <v>409</v>
      </c>
      <c r="HKL2" s="5" t="s">
        <v>409</v>
      </c>
      <c r="HKM2" s="5" t="s">
        <v>409</v>
      </c>
      <c r="HKN2" s="5" t="s">
        <v>409</v>
      </c>
      <c r="HKO2" s="5" t="s">
        <v>409</v>
      </c>
      <c r="HKP2" s="5" t="s">
        <v>409</v>
      </c>
      <c r="HKQ2" s="5" t="s">
        <v>409</v>
      </c>
      <c r="HKR2" s="5" t="s">
        <v>409</v>
      </c>
      <c r="HKS2" s="5" t="s">
        <v>409</v>
      </c>
      <c r="HKT2" s="5" t="s">
        <v>409</v>
      </c>
      <c r="HKU2" s="5" t="s">
        <v>409</v>
      </c>
      <c r="HKV2" s="5" t="s">
        <v>409</v>
      </c>
      <c r="HKW2" s="5" t="s">
        <v>409</v>
      </c>
      <c r="HKX2" s="5" t="s">
        <v>409</v>
      </c>
      <c r="HKY2" s="5" t="s">
        <v>409</v>
      </c>
      <c r="HKZ2" s="5" t="s">
        <v>409</v>
      </c>
      <c r="HLA2" s="5" t="s">
        <v>409</v>
      </c>
      <c r="HLB2" s="5" t="s">
        <v>409</v>
      </c>
      <c r="HLC2" s="5" t="s">
        <v>409</v>
      </c>
      <c r="HLD2" s="5" t="s">
        <v>409</v>
      </c>
      <c r="HLE2" s="5" t="s">
        <v>409</v>
      </c>
      <c r="HLF2" s="5" t="s">
        <v>409</v>
      </c>
      <c r="HLG2" s="5" t="s">
        <v>409</v>
      </c>
      <c r="HLH2" s="5" t="s">
        <v>409</v>
      </c>
      <c r="HLI2" s="5" t="s">
        <v>409</v>
      </c>
      <c r="HLJ2" s="5" t="s">
        <v>409</v>
      </c>
      <c r="HLK2" s="5" t="s">
        <v>409</v>
      </c>
      <c r="HLL2" s="5" t="s">
        <v>409</v>
      </c>
      <c r="HLM2" s="5" t="s">
        <v>409</v>
      </c>
      <c r="HLN2" s="5" t="s">
        <v>409</v>
      </c>
      <c r="HLO2" s="5" t="s">
        <v>409</v>
      </c>
      <c r="HLP2" s="5" t="s">
        <v>409</v>
      </c>
      <c r="HLQ2" s="5" t="s">
        <v>409</v>
      </c>
      <c r="HLR2" s="5" t="s">
        <v>409</v>
      </c>
      <c r="HLS2" s="5" t="s">
        <v>409</v>
      </c>
      <c r="HLT2" s="5" t="s">
        <v>409</v>
      </c>
      <c r="HLU2" s="5" t="s">
        <v>409</v>
      </c>
      <c r="HLV2" s="5" t="s">
        <v>409</v>
      </c>
      <c r="HLW2" s="5" t="s">
        <v>409</v>
      </c>
      <c r="HLX2" s="5" t="s">
        <v>409</v>
      </c>
      <c r="HLY2" s="5" t="s">
        <v>409</v>
      </c>
      <c r="HLZ2" s="5" t="s">
        <v>409</v>
      </c>
      <c r="HMA2" s="5" t="s">
        <v>409</v>
      </c>
      <c r="HMB2" s="5" t="s">
        <v>409</v>
      </c>
      <c r="HMC2" s="5" t="s">
        <v>409</v>
      </c>
      <c r="HMD2" s="5" t="s">
        <v>409</v>
      </c>
      <c r="HME2" s="5" t="s">
        <v>409</v>
      </c>
      <c r="HMF2" s="5" t="s">
        <v>409</v>
      </c>
      <c r="HMG2" s="5" t="s">
        <v>409</v>
      </c>
      <c r="HMH2" s="5" t="s">
        <v>409</v>
      </c>
      <c r="HMI2" s="5" t="s">
        <v>409</v>
      </c>
      <c r="HMJ2" s="5" t="s">
        <v>409</v>
      </c>
      <c r="HMK2" s="5" t="s">
        <v>409</v>
      </c>
      <c r="HML2" s="5" t="s">
        <v>409</v>
      </c>
      <c r="HMM2" s="5" t="s">
        <v>409</v>
      </c>
      <c r="HMN2" s="5" t="s">
        <v>409</v>
      </c>
      <c r="HMO2" s="5" t="s">
        <v>409</v>
      </c>
      <c r="HMP2" s="5" t="s">
        <v>409</v>
      </c>
      <c r="HMQ2" s="5" t="s">
        <v>409</v>
      </c>
      <c r="HMR2" s="5" t="s">
        <v>409</v>
      </c>
      <c r="HMS2" s="5" t="s">
        <v>409</v>
      </c>
      <c r="HMT2" s="5" t="s">
        <v>409</v>
      </c>
      <c r="HMU2" s="5" t="s">
        <v>409</v>
      </c>
      <c r="HMV2" s="5" t="s">
        <v>409</v>
      </c>
      <c r="HMW2" s="5" t="s">
        <v>409</v>
      </c>
      <c r="HMX2" s="5" t="s">
        <v>409</v>
      </c>
      <c r="HMY2" s="5" t="s">
        <v>409</v>
      </c>
      <c r="HMZ2" s="5" t="s">
        <v>409</v>
      </c>
      <c r="HNA2" s="5" t="s">
        <v>409</v>
      </c>
      <c r="HNB2" s="5" t="s">
        <v>409</v>
      </c>
      <c r="HNC2" s="5" t="s">
        <v>409</v>
      </c>
      <c r="HND2" s="5" t="s">
        <v>409</v>
      </c>
      <c r="HNE2" s="5" t="s">
        <v>409</v>
      </c>
      <c r="HNF2" s="5" t="s">
        <v>409</v>
      </c>
      <c r="HNG2" s="5" t="s">
        <v>409</v>
      </c>
      <c r="HNH2" s="5" t="s">
        <v>409</v>
      </c>
      <c r="HNI2" s="5" t="s">
        <v>409</v>
      </c>
      <c r="HNJ2" s="5" t="s">
        <v>409</v>
      </c>
      <c r="HNK2" s="5" t="s">
        <v>409</v>
      </c>
      <c r="HNL2" s="5" t="s">
        <v>409</v>
      </c>
      <c r="HNM2" s="5" t="s">
        <v>409</v>
      </c>
      <c r="HNN2" s="5" t="s">
        <v>409</v>
      </c>
      <c r="HNO2" s="5" t="s">
        <v>409</v>
      </c>
      <c r="HNP2" s="5" t="s">
        <v>409</v>
      </c>
      <c r="HNQ2" s="5" t="s">
        <v>409</v>
      </c>
      <c r="HNR2" s="5" t="s">
        <v>409</v>
      </c>
      <c r="HNS2" s="5" t="s">
        <v>409</v>
      </c>
      <c r="HNT2" s="5" t="s">
        <v>409</v>
      </c>
      <c r="HNU2" s="5" t="s">
        <v>409</v>
      </c>
      <c r="HNV2" s="5" t="s">
        <v>409</v>
      </c>
      <c r="HNW2" s="5" t="s">
        <v>409</v>
      </c>
      <c r="HNX2" s="5" t="s">
        <v>409</v>
      </c>
      <c r="HNY2" s="5" t="s">
        <v>409</v>
      </c>
      <c r="HNZ2" s="5" t="s">
        <v>409</v>
      </c>
      <c r="HOA2" s="5" t="s">
        <v>409</v>
      </c>
      <c r="HOB2" s="5" t="s">
        <v>409</v>
      </c>
      <c r="HOC2" s="5" t="s">
        <v>409</v>
      </c>
      <c r="HOD2" s="5" t="s">
        <v>409</v>
      </c>
      <c r="HOE2" s="5" t="s">
        <v>409</v>
      </c>
      <c r="HOF2" s="5" t="s">
        <v>409</v>
      </c>
      <c r="HOG2" s="5" t="s">
        <v>409</v>
      </c>
      <c r="HOH2" s="5" t="s">
        <v>409</v>
      </c>
      <c r="HOI2" s="5" t="s">
        <v>409</v>
      </c>
      <c r="HOJ2" s="5" t="s">
        <v>409</v>
      </c>
      <c r="HOK2" s="5" t="s">
        <v>409</v>
      </c>
      <c r="HOL2" s="5" t="s">
        <v>409</v>
      </c>
      <c r="HOM2" s="5" t="s">
        <v>409</v>
      </c>
      <c r="HON2" s="5" t="s">
        <v>409</v>
      </c>
      <c r="HOO2" s="5" t="s">
        <v>409</v>
      </c>
      <c r="HOP2" s="5" t="s">
        <v>409</v>
      </c>
      <c r="HOQ2" s="5" t="s">
        <v>409</v>
      </c>
      <c r="HOR2" s="5" t="s">
        <v>409</v>
      </c>
      <c r="HOS2" s="5" t="s">
        <v>409</v>
      </c>
      <c r="HOT2" s="5" t="s">
        <v>409</v>
      </c>
      <c r="HOU2" s="5" t="s">
        <v>409</v>
      </c>
      <c r="HOV2" s="5" t="s">
        <v>409</v>
      </c>
      <c r="HOW2" s="5" t="s">
        <v>409</v>
      </c>
      <c r="HOX2" s="5" t="s">
        <v>409</v>
      </c>
      <c r="HOY2" s="5" t="s">
        <v>409</v>
      </c>
      <c r="HOZ2" s="5" t="s">
        <v>409</v>
      </c>
      <c r="HPA2" s="5" t="s">
        <v>409</v>
      </c>
      <c r="HPB2" s="5" t="s">
        <v>409</v>
      </c>
      <c r="HPC2" s="5" t="s">
        <v>409</v>
      </c>
      <c r="HPD2" s="5" t="s">
        <v>409</v>
      </c>
      <c r="HPE2" s="5" t="s">
        <v>409</v>
      </c>
      <c r="HPF2" s="5" t="s">
        <v>409</v>
      </c>
      <c r="HPG2" s="5" t="s">
        <v>409</v>
      </c>
      <c r="HPH2" s="5" t="s">
        <v>409</v>
      </c>
      <c r="HPI2" s="5" t="s">
        <v>409</v>
      </c>
      <c r="HPJ2" s="5" t="s">
        <v>409</v>
      </c>
      <c r="HPK2" s="5" t="s">
        <v>409</v>
      </c>
      <c r="HPL2" s="5" t="s">
        <v>409</v>
      </c>
      <c r="HPM2" s="5" t="s">
        <v>409</v>
      </c>
      <c r="HPN2" s="5" t="s">
        <v>409</v>
      </c>
      <c r="HPO2" s="5" t="s">
        <v>409</v>
      </c>
      <c r="HPP2" s="5" t="s">
        <v>409</v>
      </c>
      <c r="HPQ2" s="5" t="s">
        <v>409</v>
      </c>
      <c r="HPR2" s="5" t="s">
        <v>409</v>
      </c>
      <c r="HPS2" s="5" t="s">
        <v>409</v>
      </c>
      <c r="HPT2" s="5" t="s">
        <v>409</v>
      </c>
      <c r="HPU2" s="5" t="s">
        <v>409</v>
      </c>
      <c r="HPV2" s="5" t="s">
        <v>409</v>
      </c>
      <c r="HPW2" s="5" t="s">
        <v>409</v>
      </c>
      <c r="HPX2" s="5" t="s">
        <v>409</v>
      </c>
      <c r="HPY2" s="5" t="s">
        <v>409</v>
      </c>
      <c r="HPZ2" s="5" t="s">
        <v>409</v>
      </c>
      <c r="HQA2" s="5" t="s">
        <v>409</v>
      </c>
      <c r="HQB2" s="5" t="s">
        <v>409</v>
      </c>
      <c r="HQC2" s="5" t="s">
        <v>409</v>
      </c>
      <c r="HQD2" s="5" t="s">
        <v>409</v>
      </c>
      <c r="HQE2" s="5" t="s">
        <v>409</v>
      </c>
      <c r="HQF2" s="5" t="s">
        <v>409</v>
      </c>
      <c r="HQG2" s="5" t="s">
        <v>409</v>
      </c>
      <c r="HQH2" s="5" t="s">
        <v>409</v>
      </c>
      <c r="HQI2" s="5" t="s">
        <v>409</v>
      </c>
      <c r="HQJ2" s="5" t="s">
        <v>409</v>
      </c>
      <c r="HQK2" s="5" t="s">
        <v>409</v>
      </c>
      <c r="HQL2" s="5" t="s">
        <v>409</v>
      </c>
      <c r="HQM2" s="5" t="s">
        <v>409</v>
      </c>
      <c r="HQN2" s="5" t="s">
        <v>409</v>
      </c>
      <c r="HQO2" s="5" t="s">
        <v>409</v>
      </c>
      <c r="HQP2" s="5" t="s">
        <v>409</v>
      </c>
      <c r="HQQ2" s="5" t="s">
        <v>409</v>
      </c>
      <c r="HQR2" s="5" t="s">
        <v>409</v>
      </c>
      <c r="HQS2" s="5" t="s">
        <v>409</v>
      </c>
      <c r="HQT2" s="5" t="s">
        <v>409</v>
      </c>
      <c r="HQU2" s="5" t="s">
        <v>409</v>
      </c>
      <c r="HQV2" s="5" t="s">
        <v>409</v>
      </c>
      <c r="HQW2" s="5" t="s">
        <v>409</v>
      </c>
      <c r="HQX2" s="5" t="s">
        <v>409</v>
      </c>
      <c r="HQY2" s="5" t="s">
        <v>409</v>
      </c>
      <c r="HQZ2" s="5" t="s">
        <v>409</v>
      </c>
      <c r="HRA2" s="5" t="s">
        <v>409</v>
      </c>
      <c r="HRB2" s="5" t="s">
        <v>409</v>
      </c>
      <c r="HRC2" s="5" t="s">
        <v>409</v>
      </c>
      <c r="HRD2" s="5" t="s">
        <v>409</v>
      </c>
      <c r="HRE2" s="5" t="s">
        <v>409</v>
      </c>
      <c r="HRF2" s="5" t="s">
        <v>409</v>
      </c>
      <c r="HRG2" s="5" t="s">
        <v>409</v>
      </c>
      <c r="HRH2" s="5" t="s">
        <v>409</v>
      </c>
      <c r="HRI2" s="5" t="s">
        <v>409</v>
      </c>
      <c r="HRJ2" s="5" t="s">
        <v>409</v>
      </c>
      <c r="HRK2" s="5" t="s">
        <v>409</v>
      </c>
      <c r="HRL2" s="5" t="s">
        <v>409</v>
      </c>
      <c r="HRM2" s="5" t="s">
        <v>409</v>
      </c>
      <c r="HRN2" s="5" t="s">
        <v>409</v>
      </c>
      <c r="HRO2" s="5" t="s">
        <v>409</v>
      </c>
      <c r="HRP2" s="5" t="s">
        <v>409</v>
      </c>
      <c r="HRQ2" s="5" t="s">
        <v>409</v>
      </c>
      <c r="HRR2" s="5" t="s">
        <v>409</v>
      </c>
      <c r="HRS2" s="5" t="s">
        <v>409</v>
      </c>
      <c r="HRT2" s="5" t="s">
        <v>409</v>
      </c>
      <c r="HRU2" s="5" t="s">
        <v>409</v>
      </c>
      <c r="HRV2" s="5" t="s">
        <v>409</v>
      </c>
      <c r="HRW2" s="5" t="s">
        <v>409</v>
      </c>
      <c r="HRX2" s="5" t="s">
        <v>409</v>
      </c>
      <c r="HRY2" s="5" t="s">
        <v>409</v>
      </c>
      <c r="HRZ2" s="5" t="s">
        <v>409</v>
      </c>
      <c r="HSA2" s="5" t="s">
        <v>409</v>
      </c>
      <c r="HSB2" s="5" t="s">
        <v>409</v>
      </c>
      <c r="HSC2" s="5" t="s">
        <v>409</v>
      </c>
      <c r="HSD2" s="5" t="s">
        <v>409</v>
      </c>
      <c r="HSE2" s="5" t="s">
        <v>409</v>
      </c>
      <c r="HSF2" s="5" t="s">
        <v>409</v>
      </c>
      <c r="HSG2" s="5" t="s">
        <v>409</v>
      </c>
      <c r="HSH2" s="5" t="s">
        <v>409</v>
      </c>
      <c r="HSI2" s="5" t="s">
        <v>409</v>
      </c>
      <c r="HSJ2" s="5" t="s">
        <v>409</v>
      </c>
      <c r="HSK2" s="5" t="s">
        <v>409</v>
      </c>
      <c r="HSL2" s="5" t="s">
        <v>409</v>
      </c>
      <c r="HSM2" s="5" t="s">
        <v>409</v>
      </c>
      <c r="HSN2" s="5" t="s">
        <v>409</v>
      </c>
      <c r="HSO2" s="5" t="s">
        <v>409</v>
      </c>
      <c r="HSP2" s="5" t="s">
        <v>409</v>
      </c>
      <c r="HSQ2" s="5" t="s">
        <v>409</v>
      </c>
      <c r="HSR2" s="5" t="s">
        <v>409</v>
      </c>
      <c r="HSS2" s="5" t="s">
        <v>409</v>
      </c>
      <c r="HST2" s="5" t="s">
        <v>409</v>
      </c>
      <c r="HSU2" s="5" t="s">
        <v>409</v>
      </c>
      <c r="HSV2" s="5" t="s">
        <v>409</v>
      </c>
      <c r="HSW2" s="5" t="s">
        <v>409</v>
      </c>
      <c r="HSX2" s="5" t="s">
        <v>409</v>
      </c>
      <c r="HSY2" s="5" t="s">
        <v>409</v>
      </c>
      <c r="HSZ2" s="5" t="s">
        <v>409</v>
      </c>
      <c r="HTA2" s="5" t="s">
        <v>409</v>
      </c>
      <c r="HTB2" s="5" t="s">
        <v>409</v>
      </c>
      <c r="HTC2" s="5" t="s">
        <v>409</v>
      </c>
      <c r="HTD2" s="5" t="s">
        <v>409</v>
      </c>
      <c r="HTE2" s="5" t="s">
        <v>409</v>
      </c>
      <c r="HTF2" s="5" t="s">
        <v>409</v>
      </c>
      <c r="HTG2" s="5" t="s">
        <v>409</v>
      </c>
      <c r="HTH2" s="5" t="s">
        <v>409</v>
      </c>
      <c r="HTI2" s="5" t="s">
        <v>409</v>
      </c>
      <c r="HTJ2" s="5" t="s">
        <v>409</v>
      </c>
      <c r="HTK2" s="5" t="s">
        <v>409</v>
      </c>
      <c r="HTL2" s="5" t="s">
        <v>409</v>
      </c>
      <c r="HTM2" s="5" t="s">
        <v>409</v>
      </c>
      <c r="HTN2" s="5" t="s">
        <v>409</v>
      </c>
      <c r="HTO2" s="5" t="s">
        <v>409</v>
      </c>
      <c r="HTP2" s="5" t="s">
        <v>409</v>
      </c>
      <c r="HTQ2" s="5" t="s">
        <v>409</v>
      </c>
      <c r="HTR2" s="5" t="s">
        <v>409</v>
      </c>
      <c r="HTS2" s="5" t="s">
        <v>409</v>
      </c>
      <c r="HTT2" s="5" t="s">
        <v>409</v>
      </c>
      <c r="HTU2" s="5" t="s">
        <v>409</v>
      </c>
      <c r="HTV2" s="5" t="s">
        <v>409</v>
      </c>
      <c r="HTW2" s="5" t="s">
        <v>409</v>
      </c>
      <c r="HTX2" s="5" t="s">
        <v>409</v>
      </c>
      <c r="HTY2" s="5" t="s">
        <v>409</v>
      </c>
      <c r="HTZ2" s="5" t="s">
        <v>409</v>
      </c>
      <c r="HUA2" s="5" t="s">
        <v>409</v>
      </c>
      <c r="HUB2" s="5" t="s">
        <v>409</v>
      </c>
      <c r="HUC2" s="5" t="s">
        <v>409</v>
      </c>
      <c r="HUD2" s="5" t="s">
        <v>409</v>
      </c>
      <c r="HUE2" s="5" t="s">
        <v>409</v>
      </c>
      <c r="HUF2" s="5" t="s">
        <v>409</v>
      </c>
      <c r="HUG2" s="5" t="s">
        <v>409</v>
      </c>
      <c r="HUH2" s="5" t="s">
        <v>409</v>
      </c>
      <c r="HUI2" s="5" t="s">
        <v>409</v>
      </c>
      <c r="HUJ2" s="5" t="s">
        <v>409</v>
      </c>
      <c r="HUK2" s="5" t="s">
        <v>409</v>
      </c>
      <c r="HUL2" s="5" t="s">
        <v>409</v>
      </c>
      <c r="HUM2" s="5" t="s">
        <v>409</v>
      </c>
      <c r="HUN2" s="5" t="s">
        <v>409</v>
      </c>
      <c r="HUO2" s="5" t="s">
        <v>409</v>
      </c>
      <c r="HUP2" s="5" t="s">
        <v>409</v>
      </c>
      <c r="HUQ2" s="5" t="s">
        <v>409</v>
      </c>
      <c r="HUR2" s="5" t="s">
        <v>409</v>
      </c>
      <c r="HUS2" s="5" t="s">
        <v>409</v>
      </c>
      <c r="HUT2" s="5" t="s">
        <v>409</v>
      </c>
      <c r="HUU2" s="5" t="s">
        <v>409</v>
      </c>
      <c r="HUV2" s="5" t="s">
        <v>409</v>
      </c>
      <c r="HUW2" s="5" t="s">
        <v>409</v>
      </c>
      <c r="HUX2" s="5" t="s">
        <v>409</v>
      </c>
      <c r="HUY2" s="5" t="s">
        <v>409</v>
      </c>
      <c r="HUZ2" s="5" t="s">
        <v>409</v>
      </c>
      <c r="HVA2" s="5" t="s">
        <v>409</v>
      </c>
      <c r="HVB2" s="5" t="s">
        <v>409</v>
      </c>
      <c r="HVC2" s="5" t="s">
        <v>409</v>
      </c>
      <c r="HVD2" s="5" t="s">
        <v>409</v>
      </c>
      <c r="HVE2" s="5" t="s">
        <v>409</v>
      </c>
      <c r="HVF2" s="5" t="s">
        <v>409</v>
      </c>
      <c r="HVG2" s="5" t="s">
        <v>409</v>
      </c>
      <c r="HVH2" s="5" t="s">
        <v>409</v>
      </c>
      <c r="HVI2" s="5" t="s">
        <v>409</v>
      </c>
      <c r="HVJ2" s="5" t="s">
        <v>409</v>
      </c>
      <c r="HVK2" s="5" t="s">
        <v>409</v>
      </c>
      <c r="HVL2" s="5" t="s">
        <v>409</v>
      </c>
      <c r="HVM2" s="5" t="s">
        <v>409</v>
      </c>
      <c r="HVN2" s="5" t="s">
        <v>409</v>
      </c>
      <c r="HVO2" s="5" t="s">
        <v>409</v>
      </c>
      <c r="HVP2" s="5" t="s">
        <v>409</v>
      </c>
      <c r="HVQ2" s="5" t="s">
        <v>409</v>
      </c>
      <c r="HVR2" s="5" t="s">
        <v>409</v>
      </c>
      <c r="HVS2" s="5" t="s">
        <v>409</v>
      </c>
      <c r="HVT2" s="5" t="s">
        <v>409</v>
      </c>
      <c r="HVU2" s="5" t="s">
        <v>409</v>
      </c>
      <c r="HVV2" s="5" t="s">
        <v>409</v>
      </c>
      <c r="HVW2" s="5" t="s">
        <v>409</v>
      </c>
      <c r="HVX2" s="5" t="s">
        <v>409</v>
      </c>
      <c r="HVY2" s="5" t="s">
        <v>409</v>
      </c>
      <c r="HVZ2" s="5" t="s">
        <v>409</v>
      </c>
      <c r="HWA2" s="5" t="s">
        <v>409</v>
      </c>
      <c r="HWB2" s="5" t="s">
        <v>409</v>
      </c>
      <c r="HWC2" s="5" t="s">
        <v>409</v>
      </c>
      <c r="HWD2" s="5" t="s">
        <v>409</v>
      </c>
      <c r="HWE2" s="5" t="s">
        <v>409</v>
      </c>
      <c r="HWF2" s="5" t="s">
        <v>409</v>
      </c>
      <c r="HWG2" s="5" t="s">
        <v>409</v>
      </c>
      <c r="HWH2" s="5" t="s">
        <v>409</v>
      </c>
      <c r="HWI2" s="5" t="s">
        <v>409</v>
      </c>
      <c r="HWJ2" s="5" t="s">
        <v>409</v>
      </c>
      <c r="HWK2" s="5" t="s">
        <v>409</v>
      </c>
      <c r="HWL2" s="5" t="s">
        <v>409</v>
      </c>
      <c r="HWM2" s="5" t="s">
        <v>409</v>
      </c>
      <c r="HWN2" s="5" t="s">
        <v>409</v>
      </c>
      <c r="HWO2" s="5" t="s">
        <v>409</v>
      </c>
      <c r="HWP2" s="5" t="s">
        <v>409</v>
      </c>
      <c r="HWQ2" s="5" t="s">
        <v>409</v>
      </c>
      <c r="HWR2" s="5" t="s">
        <v>409</v>
      </c>
      <c r="HWS2" s="5" t="s">
        <v>409</v>
      </c>
      <c r="HWT2" s="5" t="s">
        <v>409</v>
      </c>
      <c r="HWU2" s="5" t="s">
        <v>409</v>
      </c>
      <c r="HWV2" s="5" t="s">
        <v>409</v>
      </c>
      <c r="HWW2" s="5" t="s">
        <v>409</v>
      </c>
      <c r="HWX2" s="5" t="s">
        <v>409</v>
      </c>
      <c r="HWY2" s="5" t="s">
        <v>409</v>
      </c>
      <c r="HWZ2" s="5" t="s">
        <v>409</v>
      </c>
      <c r="HXA2" s="5" t="s">
        <v>409</v>
      </c>
      <c r="HXB2" s="5" t="s">
        <v>409</v>
      </c>
      <c r="HXC2" s="5" t="s">
        <v>409</v>
      </c>
      <c r="HXD2" s="5" t="s">
        <v>409</v>
      </c>
      <c r="HXE2" s="5" t="s">
        <v>409</v>
      </c>
      <c r="HXF2" s="5" t="s">
        <v>409</v>
      </c>
      <c r="HXG2" s="5" t="s">
        <v>409</v>
      </c>
      <c r="HXH2" s="5" t="s">
        <v>409</v>
      </c>
      <c r="HXI2" s="5" t="s">
        <v>409</v>
      </c>
      <c r="HXJ2" s="5" t="s">
        <v>409</v>
      </c>
      <c r="HXK2" s="5" t="s">
        <v>409</v>
      </c>
      <c r="HXL2" s="5" t="s">
        <v>409</v>
      </c>
      <c r="HXM2" s="5" t="s">
        <v>409</v>
      </c>
      <c r="HXN2" s="5" t="s">
        <v>409</v>
      </c>
      <c r="HXO2" s="5" t="s">
        <v>409</v>
      </c>
      <c r="HXP2" s="5" t="s">
        <v>409</v>
      </c>
      <c r="HXQ2" s="5" t="s">
        <v>409</v>
      </c>
      <c r="HXR2" s="5" t="s">
        <v>409</v>
      </c>
      <c r="HXS2" s="5" t="s">
        <v>409</v>
      </c>
      <c r="HXT2" s="5" t="s">
        <v>409</v>
      </c>
      <c r="HXU2" s="5" t="s">
        <v>409</v>
      </c>
      <c r="HXV2" s="5" t="s">
        <v>409</v>
      </c>
      <c r="HXW2" s="5" t="s">
        <v>409</v>
      </c>
      <c r="HXX2" s="5" t="s">
        <v>409</v>
      </c>
      <c r="HXY2" s="5" t="s">
        <v>409</v>
      </c>
      <c r="HXZ2" s="5" t="s">
        <v>409</v>
      </c>
      <c r="HYA2" s="5" t="s">
        <v>409</v>
      </c>
      <c r="HYB2" s="5" t="s">
        <v>409</v>
      </c>
      <c r="HYC2" s="5" t="s">
        <v>409</v>
      </c>
      <c r="HYD2" s="5" t="s">
        <v>409</v>
      </c>
      <c r="HYE2" s="5" t="s">
        <v>409</v>
      </c>
      <c r="HYF2" s="5" t="s">
        <v>409</v>
      </c>
      <c r="HYG2" s="5" t="s">
        <v>409</v>
      </c>
      <c r="HYH2" s="5" t="s">
        <v>409</v>
      </c>
      <c r="HYI2" s="5" t="s">
        <v>409</v>
      </c>
      <c r="HYJ2" s="5" t="s">
        <v>409</v>
      </c>
      <c r="HYK2" s="5" t="s">
        <v>409</v>
      </c>
      <c r="HYL2" s="5" t="s">
        <v>409</v>
      </c>
      <c r="HYM2" s="5" t="s">
        <v>409</v>
      </c>
      <c r="HYN2" s="5" t="s">
        <v>409</v>
      </c>
      <c r="HYO2" s="5" t="s">
        <v>409</v>
      </c>
      <c r="HYP2" s="5" t="s">
        <v>409</v>
      </c>
      <c r="HYQ2" s="5" t="s">
        <v>409</v>
      </c>
      <c r="HYR2" s="5" t="s">
        <v>409</v>
      </c>
      <c r="HYS2" s="5" t="s">
        <v>409</v>
      </c>
      <c r="HYT2" s="5" t="s">
        <v>409</v>
      </c>
      <c r="HYU2" s="5" t="s">
        <v>409</v>
      </c>
      <c r="HYV2" s="5" t="s">
        <v>409</v>
      </c>
      <c r="HYW2" s="5" t="s">
        <v>409</v>
      </c>
      <c r="HYX2" s="5" t="s">
        <v>409</v>
      </c>
      <c r="HYY2" s="5" t="s">
        <v>409</v>
      </c>
      <c r="HYZ2" s="5" t="s">
        <v>409</v>
      </c>
      <c r="HZA2" s="5" t="s">
        <v>409</v>
      </c>
      <c r="HZB2" s="5" t="s">
        <v>409</v>
      </c>
      <c r="HZC2" s="5" t="s">
        <v>409</v>
      </c>
      <c r="HZD2" s="5" t="s">
        <v>409</v>
      </c>
      <c r="HZE2" s="5" t="s">
        <v>409</v>
      </c>
      <c r="HZF2" s="5" t="s">
        <v>409</v>
      </c>
      <c r="HZG2" s="5" t="s">
        <v>409</v>
      </c>
      <c r="HZH2" s="5" t="s">
        <v>409</v>
      </c>
      <c r="HZI2" s="5" t="s">
        <v>409</v>
      </c>
      <c r="HZJ2" s="5" t="s">
        <v>409</v>
      </c>
      <c r="HZK2" s="5" t="s">
        <v>409</v>
      </c>
      <c r="HZL2" s="5" t="s">
        <v>409</v>
      </c>
      <c r="HZM2" s="5" t="s">
        <v>409</v>
      </c>
      <c r="HZN2" s="5" t="s">
        <v>409</v>
      </c>
      <c r="HZO2" s="5" t="s">
        <v>409</v>
      </c>
      <c r="HZP2" s="5" t="s">
        <v>409</v>
      </c>
      <c r="HZQ2" s="5" t="s">
        <v>409</v>
      </c>
      <c r="HZR2" s="5" t="s">
        <v>409</v>
      </c>
      <c r="HZS2" s="5" t="s">
        <v>409</v>
      </c>
      <c r="HZT2" s="5" t="s">
        <v>409</v>
      </c>
      <c r="HZU2" s="5" t="s">
        <v>409</v>
      </c>
      <c r="HZV2" s="5" t="s">
        <v>409</v>
      </c>
      <c r="HZW2" s="5" t="s">
        <v>409</v>
      </c>
      <c r="HZX2" s="5" t="s">
        <v>409</v>
      </c>
      <c r="HZY2" s="5" t="s">
        <v>409</v>
      </c>
      <c r="HZZ2" s="5" t="s">
        <v>409</v>
      </c>
      <c r="IAA2" s="5" t="s">
        <v>409</v>
      </c>
      <c r="IAB2" s="5" t="s">
        <v>409</v>
      </c>
      <c r="IAC2" s="5" t="s">
        <v>409</v>
      </c>
      <c r="IAD2" s="5" t="s">
        <v>409</v>
      </c>
      <c r="IAE2" s="5" t="s">
        <v>409</v>
      </c>
      <c r="IAF2" s="5" t="s">
        <v>409</v>
      </c>
      <c r="IAG2" s="5" t="s">
        <v>409</v>
      </c>
      <c r="IAH2" s="5" t="s">
        <v>409</v>
      </c>
      <c r="IAI2" s="5" t="s">
        <v>409</v>
      </c>
      <c r="IAJ2" s="5" t="s">
        <v>409</v>
      </c>
      <c r="IAK2" s="5" t="s">
        <v>409</v>
      </c>
      <c r="IAL2" s="5" t="s">
        <v>409</v>
      </c>
      <c r="IAM2" s="5" t="s">
        <v>409</v>
      </c>
      <c r="IAN2" s="5" t="s">
        <v>409</v>
      </c>
      <c r="IAO2" s="5" t="s">
        <v>409</v>
      </c>
      <c r="IAP2" s="5" t="s">
        <v>409</v>
      </c>
      <c r="IAQ2" s="5" t="s">
        <v>409</v>
      </c>
      <c r="IAR2" s="5" t="s">
        <v>409</v>
      </c>
      <c r="IAS2" s="5" t="s">
        <v>409</v>
      </c>
      <c r="IAT2" s="5" t="s">
        <v>409</v>
      </c>
      <c r="IAU2" s="5" t="s">
        <v>409</v>
      </c>
      <c r="IAV2" s="5" t="s">
        <v>409</v>
      </c>
      <c r="IAW2" s="5" t="s">
        <v>409</v>
      </c>
      <c r="IAX2" s="5" t="s">
        <v>409</v>
      </c>
      <c r="IAY2" s="5" t="s">
        <v>409</v>
      </c>
      <c r="IAZ2" s="5" t="s">
        <v>409</v>
      </c>
      <c r="IBA2" s="5" t="s">
        <v>409</v>
      </c>
      <c r="IBB2" s="5" t="s">
        <v>409</v>
      </c>
      <c r="IBC2" s="5" t="s">
        <v>409</v>
      </c>
      <c r="IBD2" s="5" t="s">
        <v>409</v>
      </c>
      <c r="IBE2" s="5" t="s">
        <v>409</v>
      </c>
      <c r="IBF2" s="5" t="s">
        <v>409</v>
      </c>
      <c r="IBG2" s="5" t="s">
        <v>409</v>
      </c>
      <c r="IBH2" s="5" t="s">
        <v>409</v>
      </c>
      <c r="IBI2" s="5" t="s">
        <v>409</v>
      </c>
      <c r="IBJ2" s="5" t="s">
        <v>409</v>
      </c>
      <c r="IBK2" s="5" t="s">
        <v>409</v>
      </c>
      <c r="IBL2" s="5" t="s">
        <v>409</v>
      </c>
      <c r="IBM2" s="5" t="s">
        <v>409</v>
      </c>
      <c r="IBN2" s="5" t="s">
        <v>409</v>
      </c>
      <c r="IBO2" s="5" t="s">
        <v>409</v>
      </c>
      <c r="IBP2" s="5" t="s">
        <v>409</v>
      </c>
      <c r="IBQ2" s="5" t="s">
        <v>409</v>
      </c>
      <c r="IBR2" s="5" t="s">
        <v>409</v>
      </c>
      <c r="IBS2" s="5" t="s">
        <v>409</v>
      </c>
      <c r="IBT2" s="5" t="s">
        <v>409</v>
      </c>
      <c r="IBU2" s="5" t="s">
        <v>409</v>
      </c>
      <c r="IBV2" s="5" t="s">
        <v>409</v>
      </c>
      <c r="IBW2" s="5" t="s">
        <v>409</v>
      </c>
      <c r="IBX2" s="5" t="s">
        <v>409</v>
      </c>
      <c r="IBY2" s="5" t="s">
        <v>409</v>
      </c>
      <c r="IBZ2" s="5" t="s">
        <v>409</v>
      </c>
      <c r="ICA2" s="5" t="s">
        <v>409</v>
      </c>
      <c r="ICB2" s="5" t="s">
        <v>409</v>
      </c>
      <c r="ICC2" s="5" t="s">
        <v>409</v>
      </c>
      <c r="ICD2" s="5" t="s">
        <v>409</v>
      </c>
      <c r="ICE2" s="5" t="s">
        <v>409</v>
      </c>
      <c r="ICF2" s="5" t="s">
        <v>409</v>
      </c>
      <c r="ICG2" s="5" t="s">
        <v>409</v>
      </c>
      <c r="ICH2" s="5" t="s">
        <v>409</v>
      </c>
      <c r="ICI2" s="5" t="s">
        <v>409</v>
      </c>
      <c r="ICJ2" s="5" t="s">
        <v>409</v>
      </c>
      <c r="ICK2" s="5" t="s">
        <v>409</v>
      </c>
      <c r="ICL2" s="5" t="s">
        <v>409</v>
      </c>
      <c r="ICM2" s="5" t="s">
        <v>409</v>
      </c>
      <c r="ICN2" s="5" t="s">
        <v>409</v>
      </c>
      <c r="ICO2" s="5" t="s">
        <v>409</v>
      </c>
      <c r="ICP2" s="5" t="s">
        <v>409</v>
      </c>
      <c r="ICQ2" s="5" t="s">
        <v>409</v>
      </c>
      <c r="ICR2" s="5" t="s">
        <v>409</v>
      </c>
      <c r="ICS2" s="5" t="s">
        <v>409</v>
      </c>
      <c r="ICT2" s="5" t="s">
        <v>409</v>
      </c>
      <c r="ICU2" s="5" t="s">
        <v>409</v>
      </c>
      <c r="ICV2" s="5" t="s">
        <v>409</v>
      </c>
      <c r="ICW2" s="5" t="s">
        <v>409</v>
      </c>
      <c r="ICX2" s="5" t="s">
        <v>409</v>
      </c>
      <c r="ICY2" s="5" t="s">
        <v>409</v>
      </c>
      <c r="ICZ2" s="5" t="s">
        <v>409</v>
      </c>
      <c r="IDA2" s="5" t="s">
        <v>409</v>
      </c>
      <c r="IDB2" s="5" t="s">
        <v>409</v>
      </c>
      <c r="IDC2" s="5" t="s">
        <v>409</v>
      </c>
      <c r="IDD2" s="5" t="s">
        <v>409</v>
      </c>
      <c r="IDE2" s="5" t="s">
        <v>409</v>
      </c>
      <c r="IDF2" s="5" t="s">
        <v>409</v>
      </c>
      <c r="IDG2" s="5" t="s">
        <v>409</v>
      </c>
      <c r="IDH2" s="5" t="s">
        <v>409</v>
      </c>
      <c r="IDI2" s="5" t="s">
        <v>409</v>
      </c>
      <c r="IDJ2" s="5" t="s">
        <v>409</v>
      </c>
      <c r="IDK2" s="5" t="s">
        <v>409</v>
      </c>
      <c r="IDL2" s="5" t="s">
        <v>409</v>
      </c>
      <c r="IDM2" s="5" t="s">
        <v>409</v>
      </c>
      <c r="IDN2" s="5" t="s">
        <v>409</v>
      </c>
      <c r="IDO2" s="5" t="s">
        <v>409</v>
      </c>
      <c r="IDP2" s="5" t="s">
        <v>409</v>
      </c>
      <c r="IDQ2" s="5" t="s">
        <v>409</v>
      </c>
      <c r="IDR2" s="5" t="s">
        <v>409</v>
      </c>
      <c r="IDS2" s="5" t="s">
        <v>409</v>
      </c>
      <c r="IDT2" s="5" t="s">
        <v>409</v>
      </c>
      <c r="IDU2" s="5" t="s">
        <v>409</v>
      </c>
      <c r="IDV2" s="5" t="s">
        <v>409</v>
      </c>
      <c r="IDW2" s="5" t="s">
        <v>409</v>
      </c>
      <c r="IDX2" s="5" t="s">
        <v>409</v>
      </c>
      <c r="IDY2" s="5" t="s">
        <v>409</v>
      </c>
      <c r="IDZ2" s="5" t="s">
        <v>409</v>
      </c>
      <c r="IEA2" s="5" t="s">
        <v>409</v>
      </c>
      <c r="IEB2" s="5" t="s">
        <v>409</v>
      </c>
      <c r="IEC2" s="5" t="s">
        <v>409</v>
      </c>
      <c r="IED2" s="5" t="s">
        <v>409</v>
      </c>
      <c r="IEE2" s="5" t="s">
        <v>409</v>
      </c>
      <c r="IEF2" s="5" t="s">
        <v>409</v>
      </c>
      <c r="IEG2" s="5" t="s">
        <v>409</v>
      </c>
      <c r="IEH2" s="5" t="s">
        <v>409</v>
      </c>
      <c r="IEI2" s="5" t="s">
        <v>409</v>
      </c>
      <c r="IEJ2" s="5" t="s">
        <v>409</v>
      </c>
      <c r="IEK2" s="5" t="s">
        <v>409</v>
      </c>
      <c r="IEL2" s="5" t="s">
        <v>409</v>
      </c>
      <c r="IEM2" s="5" t="s">
        <v>409</v>
      </c>
      <c r="IEN2" s="5" t="s">
        <v>409</v>
      </c>
      <c r="IEO2" s="5" t="s">
        <v>409</v>
      </c>
      <c r="IEP2" s="5" t="s">
        <v>409</v>
      </c>
      <c r="IEQ2" s="5" t="s">
        <v>409</v>
      </c>
      <c r="IER2" s="5" t="s">
        <v>409</v>
      </c>
      <c r="IES2" s="5" t="s">
        <v>409</v>
      </c>
      <c r="IET2" s="5" t="s">
        <v>409</v>
      </c>
      <c r="IEU2" s="5" t="s">
        <v>409</v>
      </c>
      <c r="IEV2" s="5" t="s">
        <v>409</v>
      </c>
      <c r="IEW2" s="5" t="s">
        <v>409</v>
      </c>
      <c r="IEX2" s="5" t="s">
        <v>409</v>
      </c>
      <c r="IEY2" s="5" t="s">
        <v>409</v>
      </c>
      <c r="IEZ2" s="5" t="s">
        <v>409</v>
      </c>
      <c r="IFA2" s="5" t="s">
        <v>409</v>
      </c>
      <c r="IFB2" s="5" t="s">
        <v>409</v>
      </c>
      <c r="IFC2" s="5" t="s">
        <v>409</v>
      </c>
      <c r="IFD2" s="5" t="s">
        <v>409</v>
      </c>
      <c r="IFE2" s="5" t="s">
        <v>409</v>
      </c>
      <c r="IFF2" s="5" t="s">
        <v>409</v>
      </c>
      <c r="IFG2" s="5" t="s">
        <v>409</v>
      </c>
      <c r="IFH2" s="5" t="s">
        <v>409</v>
      </c>
      <c r="IFI2" s="5" t="s">
        <v>409</v>
      </c>
      <c r="IFJ2" s="5" t="s">
        <v>409</v>
      </c>
      <c r="IFK2" s="5" t="s">
        <v>409</v>
      </c>
      <c r="IFL2" s="5" t="s">
        <v>409</v>
      </c>
      <c r="IFM2" s="5" t="s">
        <v>409</v>
      </c>
      <c r="IFN2" s="5" t="s">
        <v>409</v>
      </c>
      <c r="IFO2" s="5" t="s">
        <v>409</v>
      </c>
      <c r="IFP2" s="5" t="s">
        <v>409</v>
      </c>
      <c r="IFQ2" s="5" t="s">
        <v>409</v>
      </c>
      <c r="IFR2" s="5" t="s">
        <v>409</v>
      </c>
      <c r="IFS2" s="5" t="s">
        <v>409</v>
      </c>
      <c r="IFT2" s="5" t="s">
        <v>409</v>
      </c>
      <c r="IFU2" s="5" t="s">
        <v>409</v>
      </c>
      <c r="IFV2" s="5" t="s">
        <v>409</v>
      </c>
      <c r="IFW2" s="5" t="s">
        <v>409</v>
      </c>
      <c r="IFX2" s="5" t="s">
        <v>409</v>
      </c>
      <c r="IFY2" s="5" t="s">
        <v>409</v>
      </c>
      <c r="IFZ2" s="5" t="s">
        <v>409</v>
      </c>
      <c r="IGA2" s="5" t="s">
        <v>409</v>
      </c>
      <c r="IGB2" s="5" t="s">
        <v>409</v>
      </c>
      <c r="IGC2" s="5" t="s">
        <v>409</v>
      </c>
      <c r="IGD2" s="5" t="s">
        <v>409</v>
      </c>
      <c r="IGE2" s="5" t="s">
        <v>409</v>
      </c>
      <c r="IGF2" s="5" t="s">
        <v>409</v>
      </c>
      <c r="IGG2" s="5" t="s">
        <v>409</v>
      </c>
      <c r="IGH2" s="5" t="s">
        <v>409</v>
      </c>
      <c r="IGI2" s="5" t="s">
        <v>409</v>
      </c>
      <c r="IGJ2" s="5" t="s">
        <v>409</v>
      </c>
      <c r="IGK2" s="5" t="s">
        <v>409</v>
      </c>
      <c r="IGL2" s="5" t="s">
        <v>409</v>
      </c>
      <c r="IGM2" s="5" t="s">
        <v>409</v>
      </c>
      <c r="IGN2" s="5" t="s">
        <v>409</v>
      </c>
      <c r="IGO2" s="5" t="s">
        <v>409</v>
      </c>
      <c r="IGP2" s="5" t="s">
        <v>409</v>
      </c>
      <c r="IGQ2" s="5" t="s">
        <v>409</v>
      </c>
      <c r="IGR2" s="5" t="s">
        <v>409</v>
      </c>
      <c r="IGS2" s="5" t="s">
        <v>409</v>
      </c>
      <c r="IGT2" s="5" t="s">
        <v>409</v>
      </c>
      <c r="IGU2" s="5" t="s">
        <v>409</v>
      </c>
      <c r="IGV2" s="5" t="s">
        <v>409</v>
      </c>
      <c r="IGW2" s="5" t="s">
        <v>409</v>
      </c>
      <c r="IGX2" s="5" t="s">
        <v>409</v>
      </c>
      <c r="IGY2" s="5" t="s">
        <v>409</v>
      </c>
      <c r="IGZ2" s="5" t="s">
        <v>409</v>
      </c>
      <c r="IHA2" s="5" t="s">
        <v>409</v>
      </c>
      <c r="IHB2" s="5" t="s">
        <v>409</v>
      </c>
      <c r="IHC2" s="5" t="s">
        <v>409</v>
      </c>
      <c r="IHD2" s="5" t="s">
        <v>409</v>
      </c>
      <c r="IHE2" s="5" t="s">
        <v>409</v>
      </c>
      <c r="IHF2" s="5" t="s">
        <v>409</v>
      </c>
      <c r="IHG2" s="5" t="s">
        <v>409</v>
      </c>
      <c r="IHH2" s="5" t="s">
        <v>409</v>
      </c>
      <c r="IHI2" s="5" t="s">
        <v>409</v>
      </c>
      <c r="IHJ2" s="5" t="s">
        <v>409</v>
      </c>
      <c r="IHK2" s="5" t="s">
        <v>409</v>
      </c>
      <c r="IHL2" s="5" t="s">
        <v>409</v>
      </c>
      <c r="IHM2" s="5" t="s">
        <v>409</v>
      </c>
      <c r="IHN2" s="5" t="s">
        <v>409</v>
      </c>
      <c r="IHO2" s="5" t="s">
        <v>409</v>
      </c>
      <c r="IHP2" s="5" t="s">
        <v>409</v>
      </c>
      <c r="IHQ2" s="5" t="s">
        <v>409</v>
      </c>
      <c r="IHR2" s="5" t="s">
        <v>409</v>
      </c>
      <c r="IHS2" s="5" t="s">
        <v>409</v>
      </c>
      <c r="IHT2" s="5" t="s">
        <v>409</v>
      </c>
      <c r="IHU2" s="5" t="s">
        <v>409</v>
      </c>
      <c r="IHV2" s="5" t="s">
        <v>409</v>
      </c>
      <c r="IHW2" s="5" t="s">
        <v>409</v>
      </c>
      <c r="IHX2" s="5" t="s">
        <v>409</v>
      </c>
      <c r="IHY2" s="5" t="s">
        <v>409</v>
      </c>
      <c r="IHZ2" s="5" t="s">
        <v>409</v>
      </c>
      <c r="IIA2" s="5" t="s">
        <v>409</v>
      </c>
      <c r="IIB2" s="5" t="s">
        <v>409</v>
      </c>
      <c r="IIC2" s="5" t="s">
        <v>409</v>
      </c>
      <c r="IID2" s="5" t="s">
        <v>409</v>
      </c>
      <c r="IIE2" s="5" t="s">
        <v>409</v>
      </c>
      <c r="IIF2" s="5" t="s">
        <v>409</v>
      </c>
      <c r="IIG2" s="5" t="s">
        <v>409</v>
      </c>
      <c r="IIH2" s="5" t="s">
        <v>409</v>
      </c>
      <c r="III2" s="5" t="s">
        <v>409</v>
      </c>
      <c r="IIJ2" s="5" t="s">
        <v>409</v>
      </c>
      <c r="IIK2" s="5" t="s">
        <v>409</v>
      </c>
      <c r="IIL2" s="5" t="s">
        <v>409</v>
      </c>
      <c r="IIM2" s="5" t="s">
        <v>409</v>
      </c>
      <c r="IIN2" s="5" t="s">
        <v>409</v>
      </c>
      <c r="IIO2" s="5" t="s">
        <v>409</v>
      </c>
      <c r="IIP2" s="5" t="s">
        <v>409</v>
      </c>
      <c r="IIQ2" s="5" t="s">
        <v>409</v>
      </c>
      <c r="IIR2" s="5" t="s">
        <v>409</v>
      </c>
      <c r="IIS2" s="5" t="s">
        <v>409</v>
      </c>
      <c r="IIT2" s="5" t="s">
        <v>409</v>
      </c>
      <c r="IIU2" s="5" t="s">
        <v>409</v>
      </c>
      <c r="IIV2" s="5" t="s">
        <v>409</v>
      </c>
      <c r="IIW2" s="5" t="s">
        <v>409</v>
      </c>
      <c r="IIX2" s="5" t="s">
        <v>409</v>
      </c>
      <c r="IIY2" s="5" t="s">
        <v>409</v>
      </c>
      <c r="IIZ2" s="5" t="s">
        <v>409</v>
      </c>
      <c r="IJA2" s="5" t="s">
        <v>409</v>
      </c>
      <c r="IJB2" s="5" t="s">
        <v>409</v>
      </c>
      <c r="IJC2" s="5" t="s">
        <v>409</v>
      </c>
      <c r="IJD2" s="5" t="s">
        <v>409</v>
      </c>
      <c r="IJE2" s="5" t="s">
        <v>409</v>
      </c>
      <c r="IJF2" s="5" t="s">
        <v>409</v>
      </c>
      <c r="IJG2" s="5" t="s">
        <v>409</v>
      </c>
      <c r="IJH2" s="5" t="s">
        <v>409</v>
      </c>
      <c r="IJI2" s="5" t="s">
        <v>409</v>
      </c>
      <c r="IJJ2" s="5" t="s">
        <v>409</v>
      </c>
      <c r="IJK2" s="5" t="s">
        <v>409</v>
      </c>
      <c r="IJL2" s="5" t="s">
        <v>409</v>
      </c>
      <c r="IJM2" s="5" t="s">
        <v>409</v>
      </c>
      <c r="IJN2" s="5" t="s">
        <v>409</v>
      </c>
      <c r="IJO2" s="5" t="s">
        <v>409</v>
      </c>
      <c r="IJP2" s="5" t="s">
        <v>409</v>
      </c>
      <c r="IJQ2" s="5" t="s">
        <v>409</v>
      </c>
      <c r="IJR2" s="5" t="s">
        <v>409</v>
      </c>
      <c r="IJS2" s="5" t="s">
        <v>409</v>
      </c>
      <c r="IJT2" s="5" t="s">
        <v>409</v>
      </c>
      <c r="IJU2" s="5" t="s">
        <v>409</v>
      </c>
      <c r="IJV2" s="5" t="s">
        <v>409</v>
      </c>
      <c r="IJW2" s="5" t="s">
        <v>409</v>
      </c>
      <c r="IJX2" s="5" t="s">
        <v>409</v>
      </c>
      <c r="IJY2" s="5" t="s">
        <v>409</v>
      </c>
      <c r="IJZ2" s="5" t="s">
        <v>409</v>
      </c>
      <c r="IKA2" s="5" t="s">
        <v>409</v>
      </c>
      <c r="IKB2" s="5" t="s">
        <v>409</v>
      </c>
      <c r="IKC2" s="5" t="s">
        <v>409</v>
      </c>
      <c r="IKD2" s="5" t="s">
        <v>409</v>
      </c>
      <c r="IKE2" s="5" t="s">
        <v>409</v>
      </c>
      <c r="IKF2" s="5" t="s">
        <v>409</v>
      </c>
      <c r="IKG2" s="5" t="s">
        <v>409</v>
      </c>
      <c r="IKH2" s="5" t="s">
        <v>409</v>
      </c>
      <c r="IKI2" s="5" t="s">
        <v>409</v>
      </c>
      <c r="IKJ2" s="5" t="s">
        <v>409</v>
      </c>
      <c r="IKK2" s="5" t="s">
        <v>409</v>
      </c>
      <c r="IKL2" s="5" t="s">
        <v>409</v>
      </c>
      <c r="IKM2" s="5" t="s">
        <v>409</v>
      </c>
      <c r="IKN2" s="5" t="s">
        <v>409</v>
      </c>
      <c r="IKO2" s="5" t="s">
        <v>409</v>
      </c>
      <c r="IKP2" s="5" t="s">
        <v>409</v>
      </c>
      <c r="IKQ2" s="5" t="s">
        <v>409</v>
      </c>
      <c r="IKR2" s="5" t="s">
        <v>409</v>
      </c>
      <c r="IKS2" s="5" t="s">
        <v>409</v>
      </c>
      <c r="IKT2" s="5" t="s">
        <v>409</v>
      </c>
      <c r="IKU2" s="5" t="s">
        <v>409</v>
      </c>
      <c r="IKV2" s="5" t="s">
        <v>409</v>
      </c>
      <c r="IKW2" s="5" t="s">
        <v>409</v>
      </c>
      <c r="IKX2" s="5" t="s">
        <v>409</v>
      </c>
      <c r="IKY2" s="5" t="s">
        <v>409</v>
      </c>
      <c r="IKZ2" s="5" t="s">
        <v>409</v>
      </c>
      <c r="ILA2" s="5" t="s">
        <v>409</v>
      </c>
      <c r="ILB2" s="5" t="s">
        <v>409</v>
      </c>
      <c r="ILC2" s="5" t="s">
        <v>409</v>
      </c>
      <c r="ILD2" s="5" t="s">
        <v>409</v>
      </c>
      <c r="ILE2" s="5" t="s">
        <v>409</v>
      </c>
      <c r="ILF2" s="5" t="s">
        <v>409</v>
      </c>
      <c r="ILG2" s="5" t="s">
        <v>409</v>
      </c>
      <c r="ILH2" s="5" t="s">
        <v>409</v>
      </c>
      <c r="ILI2" s="5" t="s">
        <v>409</v>
      </c>
      <c r="ILJ2" s="5" t="s">
        <v>409</v>
      </c>
      <c r="ILK2" s="5" t="s">
        <v>409</v>
      </c>
      <c r="ILL2" s="5" t="s">
        <v>409</v>
      </c>
      <c r="ILM2" s="5" t="s">
        <v>409</v>
      </c>
      <c r="ILN2" s="5" t="s">
        <v>409</v>
      </c>
      <c r="ILO2" s="5" t="s">
        <v>409</v>
      </c>
      <c r="ILP2" s="5" t="s">
        <v>409</v>
      </c>
      <c r="ILQ2" s="5" t="s">
        <v>409</v>
      </c>
      <c r="ILR2" s="5" t="s">
        <v>409</v>
      </c>
      <c r="ILS2" s="5" t="s">
        <v>409</v>
      </c>
      <c r="ILT2" s="5" t="s">
        <v>409</v>
      </c>
      <c r="ILU2" s="5" t="s">
        <v>409</v>
      </c>
      <c r="ILV2" s="5" t="s">
        <v>409</v>
      </c>
      <c r="ILW2" s="5" t="s">
        <v>409</v>
      </c>
      <c r="ILX2" s="5" t="s">
        <v>409</v>
      </c>
      <c r="ILY2" s="5" t="s">
        <v>409</v>
      </c>
      <c r="ILZ2" s="5" t="s">
        <v>409</v>
      </c>
      <c r="IMA2" s="5" t="s">
        <v>409</v>
      </c>
      <c r="IMB2" s="5" t="s">
        <v>409</v>
      </c>
      <c r="IMC2" s="5" t="s">
        <v>409</v>
      </c>
      <c r="IMD2" s="5" t="s">
        <v>409</v>
      </c>
      <c r="IME2" s="5" t="s">
        <v>409</v>
      </c>
      <c r="IMF2" s="5" t="s">
        <v>409</v>
      </c>
      <c r="IMG2" s="5" t="s">
        <v>409</v>
      </c>
      <c r="IMH2" s="5" t="s">
        <v>409</v>
      </c>
      <c r="IMI2" s="5" t="s">
        <v>409</v>
      </c>
      <c r="IMJ2" s="5" t="s">
        <v>409</v>
      </c>
      <c r="IMK2" s="5" t="s">
        <v>409</v>
      </c>
      <c r="IML2" s="5" t="s">
        <v>409</v>
      </c>
      <c r="IMM2" s="5" t="s">
        <v>409</v>
      </c>
      <c r="IMN2" s="5" t="s">
        <v>409</v>
      </c>
      <c r="IMO2" s="5" t="s">
        <v>409</v>
      </c>
      <c r="IMP2" s="5" t="s">
        <v>409</v>
      </c>
      <c r="IMQ2" s="5" t="s">
        <v>409</v>
      </c>
      <c r="IMR2" s="5" t="s">
        <v>409</v>
      </c>
      <c r="IMS2" s="5" t="s">
        <v>409</v>
      </c>
      <c r="IMT2" s="5" t="s">
        <v>409</v>
      </c>
      <c r="IMU2" s="5" t="s">
        <v>409</v>
      </c>
      <c r="IMV2" s="5" t="s">
        <v>409</v>
      </c>
      <c r="IMW2" s="5" t="s">
        <v>409</v>
      </c>
      <c r="IMX2" s="5" t="s">
        <v>409</v>
      </c>
      <c r="IMY2" s="5" t="s">
        <v>409</v>
      </c>
      <c r="IMZ2" s="5" t="s">
        <v>409</v>
      </c>
      <c r="INA2" s="5" t="s">
        <v>409</v>
      </c>
      <c r="INB2" s="5" t="s">
        <v>409</v>
      </c>
      <c r="INC2" s="5" t="s">
        <v>409</v>
      </c>
      <c r="IND2" s="5" t="s">
        <v>409</v>
      </c>
      <c r="INE2" s="5" t="s">
        <v>409</v>
      </c>
      <c r="INF2" s="5" t="s">
        <v>409</v>
      </c>
      <c r="ING2" s="5" t="s">
        <v>409</v>
      </c>
      <c r="INH2" s="5" t="s">
        <v>409</v>
      </c>
      <c r="INI2" s="5" t="s">
        <v>409</v>
      </c>
      <c r="INJ2" s="5" t="s">
        <v>409</v>
      </c>
      <c r="INK2" s="5" t="s">
        <v>409</v>
      </c>
      <c r="INL2" s="5" t="s">
        <v>409</v>
      </c>
      <c r="INM2" s="5" t="s">
        <v>409</v>
      </c>
      <c r="INN2" s="5" t="s">
        <v>409</v>
      </c>
      <c r="INO2" s="5" t="s">
        <v>409</v>
      </c>
      <c r="INP2" s="5" t="s">
        <v>409</v>
      </c>
      <c r="INQ2" s="5" t="s">
        <v>409</v>
      </c>
      <c r="INR2" s="5" t="s">
        <v>409</v>
      </c>
      <c r="INS2" s="5" t="s">
        <v>409</v>
      </c>
      <c r="INT2" s="5" t="s">
        <v>409</v>
      </c>
      <c r="INU2" s="5" t="s">
        <v>409</v>
      </c>
      <c r="INV2" s="5" t="s">
        <v>409</v>
      </c>
      <c r="INW2" s="5" t="s">
        <v>409</v>
      </c>
      <c r="INX2" s="5" t="s">
        <v>409</v>
      </c>
      <c r="INY2" s="5" t="s">
        <v>409</v>
      </c>
      <c r="INZ2" s="5" t="s">
        <v>409</v>
      </c>
      <c r="IOA2" s="5" t="s">
        <v>409</v>
      </c>
      <c r="IOB2" s="5" t="s">
        <v>409</v>
      </c>
      <c r="IOC2" s="5" t="s">
        <v>409</v>
      </c>
      <c r="IOD2" s="5" t="s">
        <v>409</v>
      </c>
      <c r="IOE2" s="5" t="s">
        <v>409</v>
      </c>
      <c r="IOF2" s="5" t="s">
        <v>409</v>
      </c>
      <c r="IOG2" s="5" t="s">
        <v>409</v>
      </c>
      <c r="IOH2" s="5" t="s">
        <v>409</v>
      </c>
      <c r="IOI2" s="5" t="s">
        <v>409</v>
      </c>
      <c r="IOJ2" s="5" t="s">
        <v>409</v>
      </c>
      <c r="IOK2" s="5" t="s">
        <v>409</v>
      </c>
      <c r="IOL2" s="5" t="s">
        <v>409</v>
      </c>
      <c r="IOM2" s="5" t="s">
        <v>409</v>
      </c>
      <c r="ION2" s="5" t="s">
        <v>409</v>
      </c>
      <c r="IOO2" s="5" t="s">
        <v>409</v>
      </c>
      <c r="IOP2" s="5" t="s">
        <v>409</v>
      </c>
      <c r="IOQ2" s="5" t="s">
        <v>409</v>
      </c>
      <c r="IOR2" s="5" t="s">
        <v>409</v>
      </c>
      <c r="IOS2" s="5" t="s">
        <v>409</v>
      </c>
      <c r="IOT2" s="5" t="s">
        <v>409</v>
      </c>
      <c r="IOU2" s="5" t="s">
        <v>409</v>
      </c>
      <c r="IOV2" s="5" t="s">
        <v>409</v>
      </c>
      <c r="IOW2" s="5" t="s">
        <v>409</v>
      </c>
      <c r="IOX2" s="5" t="s">
        <v>409</v>
      </c>
      <c r="IOY2" s="5" t="s">
        <v>409</v>
      </c>
      <c r="IOZ2" s="5" t="s">
        <v>409</v>
      </c>
      <c r="IPA2" s="5" t="s">
        <v>409</v>
      </c>
      <c r="IPB2" s="5" t="s">
        <v>409</v>
      </c>
      <c r="IPC2" s="5" t="s">
        <v>409</v>
      </c>
      <c r="IPD2" s="5" t="s">
        <v>409</v>
      </c>
      <c r="IPE2" s="5" t="s">
        <v>409</v>
      </c>
      <c r="IPF2" s="5" t="s">
        <v>409</v>
      </c>
      <c r="IPG2" s="5" t="s">
        <v>409</v>
      </c>
      <c r="IPH2" s="5" t="s">
        <v>409</v>
      </c>
      <c r="IPI2" s="5" t="s">
        <v>409</v>
      </c>
      <c r="IPJ2" s="5" t="s">
        <v>409</v>
      </c>
      <c r="IPK2" s="5" t="s">
        <v>409</v>
      </c>
      <c r="IPL2" s="5" t="s">
        <v>409</v>
      </c>
      <c r="IPM2" s="5" t="s">
        <v>409</v>
      </c>
      <c r="IPN2" s="5" t="s">
        <v>409</v>
      </c>
      <c r="IPO2" s="5" t="s">
        <v>409</v>
      </c>
      <c r="IPP2" s="5" t="s">
        <v>409</v>
      </c>
      <c r="IPQ2" s="5" t="s">
        <v>409</v>
      </c>
      <c r="IPR2" s="5" t="s">
        <v>409</v>
      </c>
      <c r="IPS2" s="5" t="s">
        <v>409</v>
      </c>
      <c r="IPT2" s="5" t="s">
        <v>409</v>
      </c>
      <c r="IPU2" s="5" t="s">
        <v>409</v>
      </c>
      <c r="IPV2" s="5" t="s">
        <v>409</v>
      </c>
      <c r="IPW2" s="5" t="s">
        <v>409</v>
      </c>
      <c r="IPX2" s="5" t="s">
        <v>409</v>
      </c>
      <c r="IPY2" s="5" t="s">
        <v>409</v>
      </c>
      <c r="IPZ2" s="5" t="s">
        <v>409</v>
      </c>
      <c r="IQA2" s="5" t="s">
        <v>409</v>
      </c>
      <c r="IQB2" s="5" t="s">
        <v>409</v>
      </c>
      <c r="IQC2" s="5" t="s">
        <v>409</v>
      </c>
      <c r="IQD2" s="5" t="s">
        <v>409</v>
      </c>
      <c r="IQE2" s="5" t="s">
        <v>409</v>
      </c>
      <c r="IQF2" s="5" t="s">
        <v>409</v>
      </c>
      <c r="IQG2" s="5" t="s">
        <v>409</v>
      </c>
      <c r="IQH2" s="5" t="s">
        <v>409</v>
      </c>
      <c r="IQI2" s="5" t="s">
        <v>409</v>
      </c>
      <c r="IQJ2" s="5" t="s">
        <v>409</v>
      </c>
      <c r="IQK2" s="5" t="s">
        <v>409</v>
      </c>
      <c r="IQL2" s="5" t="s">
        <v>409</v>
      </c>
      <c r="IQM2" s="5" t="s">
        <v>409</v>
      </c>
      <c r="IQN2" s="5" t="s">
        <v>409</v>
      </c>
      <c r="IQO2" s="5" t="s">
        <v>409</v>
      </c>
      <c r="IQP2" s="5" t="s">
        <v>409</v>
      </c>
      <c r="IQQ2" s="5" t="s">
        <v>409</v>
      </c>
      <c r="IQR2" s="5" t="s">
        <v>409</v>
      </c>
      <c r="IQS2" s="5" t="s">
        <v>409</v>
      </c>
      <c r="IQT2" s="5" t="s">
        <v>409</v>
      </c>
      <c r="IQU2" s="5" t="s">
        <v>409</v>
      </c>
      <c r="IQV2" s="5" t="s">
        <v>409</v>
      </c>
      <c r="IQW2" s="5" t="s">
        <v>409</v>
      </c>
      <c r="IQX2" s="5" t="s">
        <v>409</v>
      </c>
      <c r="IQY2" s="5" t="s">
        <v>409</v>
      </c>
      <c r="IQZ2" s="5" t="s">
        <v>409</v>
      </c>
      <c r="IRA2" s="5" t="s">
        <v>409</v>
      </c>
      <c r="IRB2" s="5" t="s">
        <v>409</v>
      </c>
      <c r="IRC2" s="5" t="s">
        <v>409</v>
      </c>
      <c r="IRD2" s="5" t="s">
        <v>409</v>
      </c>
      <c r="IRE2" s="5" t="s">
        <v>409</v>
      </c>
      <c r="IRF2" s="5" t="s">
        <v>409</v>
      </c>
      <c r="IRG2" s="5" t="s">
        <v>409</v>
      </c>
      <c r="IRH2" s="5" t="s">
        <v>409</v>
      </c>
      <c r="IRI2" s="5" t="s">
        <v>409</v>
      </c>
      <c r="IRJ2" s="5" t="s">
        <v>409</v>
      </c>
      <c r="IRK2" s="5" t="s">
        <v>409</v>
      </c>
      <c r="IRL2" s="5" t="s">
        <v>409</v>
      </c>
      <c r="IRM2" s="5" t="s">
        <v>409</v>
      </c>
      <c r="IRN2" s="5" t="s">
        <v>409</v>
      </c>
      <c r="IRO2" s="5" t="s">
        <v>409</v>
      </c>
      <c r="IRP2" s="5" t="s">
        <v>409</v>
      </c>
      <c r="IRQ2" s="5" t="s">
        <v>409</v>
      </c>
      <c r="IRR2" s="5" t="s">
        <v>409</v>
      </c>
      <c r="IRS2" s="5" t="s">
        <v>409</v>
      </c>
      <c r="IRT2" s="5" t="s">
        <v>409</v>
      </c>
      <c r="IRU2" s="5" t="s">
        <v>409</v>
      </c>
      <c r="IRV2" s="5" t="s">
        <v>409</v>
      </c>
      <c r="IRW2" s="5" t="s">
        <v>409</v>
      </c>
      <c r="IRX2" s="5" t="s">
        <v>409</v>
      </c>
      <c r="IRY2" s="5" t="s">
        <v>409</v>
      </c>
      <c r="IRZ2" s="5" t="s">
        <v>409</v>
      </c>
      <c r="ISA2" s="5" t="s">
        <v>409</v>
      </c>
      <c r="ISB2" s="5" t="s">
        <v>409</v>
      </c>
      <c r="ISC2" s="5" t="s">
        <v>409</v>
      </c>
      <c r="ISD2" s="5" t="s">
        <v>409</v>
      </c>
      <c r="ISE2" s="5" t="s">
        <v>409</v>
      </c>
      <c r="ISF2" s="5" t="s">
        <v>409</v>
      </c>
      <c r="ISG2" s="5" t="s">
        <v>409</v>
      </c>
      <c r="ISH2" s="5" t="s">
        <v>409</v>
      </c>
      <c r="ISI2" s="5" t="s">
        <v>409</v>
      </c>
      <c r="ISJ2" s="5" t="s">
        <v>409</v>
      </c>
      <c r="ISK2" s="5" t="s">
        <v>409</v>
      </c>
      <c r="ISL2" s="5" t="s">
        <v>409</v>
      </c>
      <c r="ISM2" s="5" t="s">
        <v>409</v>
      </c>
      <c r="ISN2" s="5" t="s">
        <v>409</v>
      </c>
      <c r="ISO2" s="5" t="s">
        <v>409</v>
      </c>
      <c r="ISP2" s="5" t="s">
        <v>409</v>
      </c>
      <c r="ISQ2" s="5" t="s">
        <v>409</v>
      </c>
      <c r="ISR2" s="5" t="s">
        <v>409</v>
      </c>
      <c r="ISS2" s="5" t="s">
        <v>409</v>
      </c>
      <c r="IST2" s="5" t="s">
        <v>409</v>
      </c>
      <c r="ISU2" s="5" t="s">
        <v>409</v>
      </c>
      <c r="ISV2" s="5" t="s">
        <v>409</v>
      </c>
      <c r="ISW2" s="5" t="s">
        <v>409</v>
      </c>
      <c r="ISX2" s="5" t="s">
        <v>409</v>
      </c>
      <c r="ISY2" s="5" t="s">
        <v>409</v>
      </c>
      <c r="ISZ2" s="5" t="s">
        <v>409</v>
      </c>
      <c r="ITA2" s="5" t="s">
        <v>409</v>
      </c>
      <c r="ITB2" s="5" t="s">
        <v>409</v>
      </c>
      <c r="ITC2" s="5" t="s">
        <v>409</v>
      </c>
      <c r="ITD2" s="5" t="s">
        <v>409</v>
      </c>
      <c r="ITE2" s="5" t="s">
        <v>409</v>
      </c>
      <c r="ITF2" s="5" t="s">
        <v>409</v>
      </c>
      <c r="ITG2" s="5" t="s">
        <v>409</v>
      </c>
      <c r="ITH2" s="5" t="s">
        <v>409</v>
      </c>
      <c r="ITI2" s="5" t="s">
        <v>409</v>
      </c>
      <c r="ITJ2" s="5" t="s">
        <v>409</v>
      </c>
      <c r="ITK2" s="5" t="s">
        <v>409</v>
      </c>
      <c r="ITL2" s="5" t="s">
        <v>409</v>
      </c>
      <c r="ITM2" s="5" t="s">
        <v>409</v>
      </c>
      <c r="ITN2" s="5" t="s">
        <v>409</v>
      </c>
      <c r="ITO2" s="5" t="s">
        <v>409</v>
      </c>
      <c r="ITP2" s="5" t="s">
        <v>409</v>
      </c>
      <c r="ITQ2" s="5" t="s">
        <v>409</v>
      </c>
      <c r="ITR2" s="5" t="s">
        <v>409</v>
      </c>
      <c r="ITS2" s="5" t="s">
        <v>409</v>
      </c>
      <c r="ITT2" s="5" t="s">
        <v>409</v>
      </c>
      <c r="ITU2" s="5" t="s">
        <v>409</v>
      </c>
      <c r="ITV2" s="5" t="s">
        <v>409</v>
      </c>
      <c r="ITW2" s="5" t="s">
        <v>409</v>
      </c>
      <c r="ITX2" s="5" t="s">
        <v>409</v>
      </c>
      <c r="ITY2" s="5" t="s">
        <v>409</v>
      </c>
      <c r="ITZ2" s="5" t="s">
        <v>409</v>
      </c>
      <c r="IUA2" s="5" t="s">
        <v>409</v>
      </c>
      <c r="IUB2" s="5" t="s">
        <v>409</v>
      </c>
      <c r="IUC2" s="5" t="s">
        <v>409</v>
      </c>
      <c r="IUD2" s="5" t="s">
        <v>409</v>
      </c>
      <c r="IUE2" s="5" t="s">
        <v>409</v>
      </c>
      <c r="IUF2" s="5" t="s">
        <v>409</v>
      </c>
      <c r="IUG2" s="5" t="s">
        <v>409</v>
      </c>
      <c r="IUH2" s="5" t="s">
        <v>409</v>
      </c>
      <c r="IUI2" s="5" t="s">
        <v>409</v>
      </c>
      <c r="IUJ2" s="5" t="s">
        <v>409</v>
      </c>
      <c r="IUK2" s="5" t="s">
        <v>409</v>
      </c>
      <c r="IUL2" s="5" t="s">
        <v>409</v>
      </c>
      <c r="IUM2" s="5" t="s">
        <v>409</v>
      </c>
      <c r="IUN2" s="5" t="s">
        <v>409</v>
      </c>
      <c r="IUO2" s="5" t="s">
        <v>409</v>
      </c>
      <c r="IUP2" s="5" t="s">
        <v>409</v>
      </c>
      <c r="IUQ2" s="5" t="s">
        <v>409</v>
      </c>
      <c r="IUR2" s="5" t="s">
        <v>409</v>
      </c>
      <c r="IUS2" s="5" t="s">
        <v>409</v>
      </c>
      <c r="IUT2" s="5" t="s">
        <v>409</v>
      </c>
      <c r="IUU2" s="5" t="s">
        <v>409</v>
      </c>
      <c r="IUV2" s="5" t="s">
        <v>409</v>
      </c>
      <c r="IUW2" s="5" t="s">
        <v>409</v>
      </c>
      <c r="IUX2" s="5" t="s">
        <v>409</v>
      </c>
      <c r="IUY2" s="5" t="s">
        <v>409</v>
      </c>
      <c r="IUZ2" s="5" t="s">
        <v>409</v>
      </c>
      <c r="IVA2" s="5" t="s">
        <v>409</v>
      </c>
      <c r="IVB2" s="5" t="s">
        <v>409</v>
      </c>
      <c r="IVC2" s="5" t="s">
        <v>409</v>
      </c>
      <c r="IVD2" s="5" t="s">
        <v>409</v>
      </c>
      <c r="IVE2" s="5" t="s">
        <v>409</v>
      </c>
      <c r="IVF2" s="5" t="s">
        <v>409</v>
      </c>
      <c r="IVG2" s="5" t="s">
        <v>409</v>
      </c>
      <c r="IVH2" s="5" t="s">
        <v>409</v>
      </c>
      <c r="IVI2" s="5" t="s">
        <v>409</v>
      </c>
      <c r="IVJ2" s="5" t="s">
        <v>409</v>
      </c>
      <c r="IVK2" s="5" t="s">
        <v>409</v>
      </c>
      <c r="IVL2" s="5" t="s">
        <v>409</v>
      </c>
      <c r="IVM2" s="5" t="s">
        <v>409</v>
      </c>
      <c r="IVN2" s="5" t="s">
        <v>409</v>
      </c>
      <c r="IVO2" s="5" t="s">
        <v>409</v>
      </c>
      <c r="IVP2" s="5" t="s">
        <v>409</v>
      </c>
      <c r="IVQ2" s="5" t="s">
        <v>409</v>
      </c>
      <c r="IVR2" s="5" t="s">
        <v>409</v>
      </c>
      <c r="IVS2" s="5" t="s">
        <v>409</v>
      </c>
      <c r="IVT2" s="5" t="s">
        <v>409</v>
      </c>
      <c r="IVU2" s="5" t="s">
        <v>409</v>
      </c>
      <c r="IVV2" s="5" t="s">
        <v>409</v>
      </c>
      <c r="IVW2" s="5" t="s">
        <v>409</v>
      </c>
      <c r="IVX2" s="5" t="s">
        <v>409</v>
      </c>
      <c r="IVY2" s="5" t="s">
        <v>409</v>
      </c>
      <c r="IVZ2" s="5" t="s">
        <v>409</v>
      </c>
      <c r="IWA2" s="5" t="s">
        <v>409</v>
      </c>
      <c r="IWB2" s="5" t="s">
        <v>409</v>
      </c>
      <c r="IWC2" s="5" t="s">
        <v>409</v>
      </c>
      <c r="IWD2" s="5" t="s">
        <v>409</v>
      </c>
      <c r="IWE2" s="5" t="s">
        <v>409</v>
      </c>
      <c r="IWF2" s="5" t="s">
        <v>409</v>
      </c>
      <c r="IWG2" s="5" t="s">
        <v>409</v>
      </c>
      <c r="IWH2" s="5" t="s">
        <v>409</v>
      </c>
      <c r="IWI2" s="5" t="s">
        <v>409</v>
      </c>
      <c r="IWJ2" s="5" t="s">
        <v>409</v>
      </c>
      <c r="IWK2" s="5" t="s">
        <v>409</v>
      </c>
      <c r="IWL2" s="5" t="s">
        <v>409</v>
      </c>
      <c r="IWM2" s="5" t="s">
        <v>409</v>
      </c>
      <c r="IWN2" s="5" t="s">
        <v>409</v>
      </c>
      <c r="IWO2" s="5" t="s">
        <v>409</v>
      </c>
      <c r="IWP2" s="5" t="s">
        <v>409</v>
      </c>
      <c r="IWQ2" s="5" t="s">
        <v>409</v>
      </c>
      <c r="IWR2" s="5" t="s">
        <v>409</v>
      </c>
      <c r="IWS2" s="5" t="s">
        <v>409</v>
      </c>
      <c r="IWT2" s="5" t="s">
        <v>409</v>
      </c>
      <c r="IWU2" s="5" t="s">
        <v>409</v>
      </c>
      <c r="IWV2" s="5" t="s">
        <v>409</v>
      </c>
      <c r="IWW2" s="5" t="s">
        <v>409</v>
      </c>
      <c r="IWX2" s="5" t="s">
        <v>409</v>
      </c>
      <c r="IWY2" s="5" t="s">
        <v>409</v>
      </c>
      <c r="IWZ2" s="5" t="s">
        <v>409</v>
      </c>
      <c r="IXA2" s="5" t="s">
        <v>409</v>
      </c>
      <c r="IXB2" s="5" t="s">
        <v>409</v>
      </c>
      <c r="IXC2" s="5" t="s">
        <v>409</v>
      </c>
      <c r="IXD2" s="5" t="s">
        <v>409</v>
      </c>
      <c r="IXE2" s="5" t="s">
        <v>409</v>
      </c>
      <c r="IXF2" s="5" t="s">
        <v>409</v>
      </c>
      <c r="IXG2" s="5" t="s">
        <v>409</v>
      </c>
      <c r="IXH2" s="5" t="s">
        <v>409</v>
      </c>
      <c r="IXI2" s="5" t="s">
        <v>409</v>
      </c>
      <c r="IXJ2" s="5" t="s">
        <v>409</v>
      </c>
      <c r="IXK2" s="5" t="s">
        <v>409</v>
      </c>
      <c r="IXL2" s="5" t="s">
        <v>409</v>
      </c>
      <c r="IXM2" s="5" t="s">
        <v>409</v>
      </c>
      <c r="IXN2" s="5" t="s">
        <v>409</v>
      </c>
      <c r="IXO2" s="5" t="s">
        <v>409</v>
      </c>
      <c r="IXP2" s="5" t="s">
        <v>409</v>
      </c>
      <c r="IXQ2" s="5" t="s">
        <v>409</v>
      </c>
      <c r="IXR2" s="5" t="s">
        <v>409</v>
      </c>
      <c r="IXS2" s="5" t="s">
        <v>409</v>
      </c>
      <c r="IXT2" s="5" t="s">
        <v>409</v>
      </c>
      <c r="IXU2" s="5" t="s">
        <v>409</v>
      </c>
      <c r="IXV2" s="5" t="s">
        <v>409</v>
      </c>
      <c r="IXW2" s="5" t="s">
        <v>409</v>
      </c>
      <c r="IXX2" s="5" t="s">
        <v>409</v>
      </c>
      <c r="IXY2" s="5" t="s">
        <v>409</v>
      </c>
      <c r="IXZ2" s="5" t="s">
        <v>409</v>
      </c>
      <c r="IYA2" s="5" t="s">
        <v>409</v>
      </c>
      <c r="IYB2" s="5" t="s">
        <v>409</v>
      </c>
      <c r="IYC2" s="5" t="s">
        <v>409</v>
      </c>
      <c r="IYD2" s="5" t="s">
        <v>409</v>
      </c>
      <c r="IYE2" s="5" t="s">
        <v>409</v>
      </c>
      <c r="IYF2" s="5" t="s">
        <v>409</v>
      </c>
      <c r="IYG2" s="5" t="s">
        <v>409</v>
      </c>
      <c r="IYH2" s="5" t="s">
        <v>409</v>
      </c>
      <c r="IYI2" s="5" t="s">
        <v>409</v>
      </c>
      <c r="IYJ2" s="5" t="s">
        <v>409</v>
      </c>
      <c r="IYK2" s="5" t="s">
        <v>409</v>
      </c>
      <c r="IYL2" s="5" t="s">
        <v>409</v>
      </c>
      <c r="IYM2" s="5" t="s">
        <v>409</v>
      </c>
      <c r="IYN2" s="5" t="s">
        <v>409</v>
      </c>
      <c r="IYO2" s="5" t="s">
        <v>409</v>
      </c>
      <c r="IYP2" s="5" t="s">
        <v>409</v>
      </c>
      <c r="IYQ2" s="5" t="s">
        <v>409</v>
      </c>
      <c r="IYR2" s="5" t="s">
        <v>409</v>
      </c>
      <c r="IYS2" s="5" t="s">
        <v>409</v>
      </c>
      <c r="IYT2" s="5" t="s">
        <v>409</v>
      </c>
      <c r="IYU2" s="5" t="s">
        <v>409</v>
      </c>
      <c r="IYV2" s="5" t="s">
        <v>409</v>
      </c>
      <c r="IYW2" s="5" t="s">
        <v>409</v>
      </c>
      <c r="IYX2" s="5" t="s">
        <v>409</v>
      </c>
      <c r="IYY2" s="5" t="s">
        <v>409</v>
      </c>
      <c r="IYZ2" s="5" t="s">
        <v>409</v>
      </c>
      <c r="IZA2" s="5" t="s">
        <v>409</v>
      </c>
      <c r="IZB2" s="5" t="s">
        <v>409</v>
      </c>
      <c r="IZC2" s="5" t="s">
        <v>409</v>
      </c>
      <c r="IZD2" s="5" t="s">
        <v>409</v>
      </c>
      <c r="IZE2" s="5" t="s">
        <v>409</v>
      </c>
      <c r="IZF2" s="5" t="s">
        <v>409</v>
      </c>
      <c r="IZG2" s="5" t="s">
        <v>409</v>
      </c>
      <c r="IZH2" s="5" t="s">
        <v>409</v>
      </c>
      <c r="IZI2" s="5" t="s">
        <v>409</v>
      </c>
      <c r="IZJ2" s="5" t="s">
        <v>409</v>
      </c>
      <c r="IZK2" s="5" t="s">
        <v>409</v>
      </c>
      <c r="IZL2" s="5" t="s">
        <v>409</v>
      </c>
      <c r="IZM2" s="5" t="s">
        <v>409</v>
      </c>
      <c r="IZN2" s="5" t="s">
        <v>409</v>
      </c>
      <c r="IZO2" s="5" t="s">
        <v>409</v>
      </c>
      <c r="IZP2" s="5" t="s">
        <v>409</v>
      </c>
      <c r="IZQ2" s="5" t="s">
        <v>409</v>
      </c>
      <c r="IZR2" s="5" t="s">
        <v>409</v>
      </c>
      <c r="IZS2" s="5" t="s">
        <v>409</v>
      </c>
      <c r="IZT2" s="5" t="s">
        <v>409</v>
      </c>
      <c r="IZU2" s="5" t="s">
        <v>409</v>
      </c>
      <c r="IZV2" s="5" t="s">
        <v>409</v>
      </c>
      <c r="IZW2" s="5" t="s">
        <v>409</v>
      </c>
      <c r="IZX2" s="5" t="s">
        <v>409</v>
      </c>
      <c r="IZY2" s="5" t="s">
        <v>409</v>
      </c>
      <c r="IZZ2" s="5" t="s">
        <v>409</v>
      </c>
      <c r="JAA2" s="5" t="s">
        <v>409</v>
      </c>
      <c r="JAB2" s="5" t="s">
        <v>409</v>
      </c>
      <c r="JAC2" s="5" t="s">
        <v>409</v>
      </c>
      <c r="JAD2" s="5" t="s">
        <v>409</v>
      </c>
      <c r="JAE2" s="5" t="s">
        <v>409</v>
      </c>
      <c r="JAF2" s="5" t="s">
        <v>409</v>
      </c>
      <c r="JAG2" s="5" t="s">
        <v>409</v>
      </c>
      <c r="JAH2" s="5" t="s">
        <v>409</v>
      </c>
      <c r="JAI2" s="5" t="s">
        <v>409</v>
      </c>
      <c r="JAJ2" s="5" t="s">
        <v>409</v>
      </c>
      <c r="JAK2" s="5" t="s">
        <v>409</v>
      </c>
      <c r="JAL2" s="5" t="s">
        <v>409</v>
      </c>
      <c r="JAM2" s="5" t="s">
        <v>409</v>
      </c>
      <c r="JAN2" s="5" t="s">
        <v>409</v>
      </c>
      <c r="JAO2" s="5" t="s">
        <v>409</v>
      </c>
      <c r="JAP2" s="5" t="s">
        <v>409</v>
      </c>
      <c r="JAQ2" s="5" t="s">
        <v>409</v>
      </c>
      <c r="JAR2" s="5" t="s">
        <v>409</v>
      </c>
      <c r="JAS2" s="5" t="s">
        <v>409</v>
      </c>
      <c r="JAT2" s="5" t="s">
        <v>409</v>
      </c>
      <c r="JAU2" s="5" t="s">
        <v>409</v>
      </c>
      <c r="JAV2" s="5" t="s">
        <v>409</v>
      </c>
      <c r="JAW2" s="5" t="s">
        <v>409</v>
      </c>
      <c r="JAX2" s="5" t="s">
        <v>409</v>
      </c>
      <c r="JAY2" s="5" t="s">
        <v>409</v>
      </c>
      <c r="JAZ2" s="5" t="s">
        <v>409</v>
      </c>
      <c r="JBA2" s="5" t="s">
        <v>409</v>
      </c>
      <c r="JBB2" s="5" t="s">
        <v>409</v>
      </c>
      <c r="JBC2" s="5" t="s">
        <v>409</v>
      </c>
      <c r="JBD2" s="5" t="s">
        <v>409</v>
      </c>
      <c r="JBE2" s="5" t="s">
        <v>409</v>
      </c>
      <c r="JBF2" s="5" t="s">
        <v>409</v>
      </c>
      <c r="JBG2" s="5" t="s">
        <v>409</v>
      </c>
      <c r="JBH2" s="5" t="s">
        <v>409</v>
      </c>
      <c r="JBI2" s="5" t="s">
        <v>409</v>
      </c>
      <c r="JBJ2" s="5" t="s">
        <v>409</v>
      </c>
      <c r="JBK2" s="5" t="s">
        <v>409</v>
      </c>
      <c r="JBL2" s="5" t="s">
        <v>409</v>
      </c>
      <c r="JBM2" s="5" t="s">
        <v>409</v>
      </c>
      <c r="JBN2" s="5" t="s">
        <v>409</v>
      </c>
      <c r="JBO2" s="5" t="s">
        <v>409</v>
      </c>
      <c r="JBP2" s="5" t="s">
        <v>409</v>
      </c>
      <c r="JBQ2" s="5" t="s">
        <v>409</v>
      </c>
      <c r="JBR2" s="5" t="s">
        <v>409</v>
      </c>
      <c r="JBS2" s="5" t="s">
        <v>409</v>
      </c>
      <c r="JBT2" s="5" t="s">
        <v>409</v>
      </c>
      <c r="JBU2" s="5" t="s">
        <v>409</v>
      </c>
      <c r="JBV2" s="5" t="s">
        <v>409</v>
      </c>
      <c r="JBW2" s="5" t="s">
        <v>409</v>
      </c>
      <c r="JBX2" s="5" t="s">
        <v>409</v>
      </c>
      <c r="JBY2" s="5" t="s">
        <v>409</v>
      </c>
      <c r="JBZ2" s="5" t="s">
        <v>409</v>
      </c>
      <c r="JCA2" s="5" t="s">
        <v>409</v>
      </c>
      <c r="JCB2" s="5" t="s">
        <v>409</v>
      </c>
      <c r="JCC2" s="5" t="s">
        <v>409</v>
      </c>
      <c r="JCD2" s="5" t="s">
        <v>409</v>
      </c>
      <c r="JCE2" s="5" t="s">
        <v>409</v>
      </c>
      <c r="JCF2" s="5" t="s">
        <v>409</v>
      </c>
      <c r="JCG2" s="5" t="s">
        <v>409</v>
      </c>
      <c r="JCH2" s="5" t="s">
        <v>409</v>
      </c>
      <c r="JCI2" s="5" t="s">
        <v>409</v>
      </c>
      <c r="JCJ2" s="5" t="s">
        <v>409</v>
      </c>
      <c r="JCK2" s="5" t="s">
        <v>409</v>
      </c>
      <c r="JCL2" s="5" t="s">
        <v>409</v>
      </c>
      <c r="JCM2" s="5" t="s">
        <v>409</v>
      </c>
      <c r="JCN2" s="5" t="s">
        <v>409</v>
      </c>
      <c r="JCO2" s="5" t="s">
        <v>409</v>
      </c>
      <c r="JCP2" s="5" t="s">
        <v>409</v>
      </c>
      <c r="JCQ2" s="5" t="s">
        <v>409</v>
      </c>
      <c r="JCR2" s="5" t="s">
        <v>409</v>
      </c>
      <c r="JCS2" s="5" t="s">
        <v>409</v>
      </c>
      <c r="JCT2" s="5" t="s">
        <v>409</v>
      </c>
      <c r="JCU2" s="5" t="s">
        <v>409</v>
      </c>
      <c r="JCV2" s="5" t="s">
        <v>409</v>
      </c>
      <c r="JCW2" s="5" t="s">
        <v>409</v>
      </c>
      <c r="JCX2" s="5" t="s">
        <v>409</v>
      </c>
      <c r="JCY2" s="5" t="s">
        <v>409</v>
      </c>
      <c r="JCZ2" s="5" t="s">
        <v>409</v>
      </c>
      <c r="JDA2" s="5" t="s">
        <v>409</v>
      </c>
      <c r="JDB2" s="5" t="s">
        <v>409</v>
      </c>
      <c r="JDC2" s="5" t="s">
        <v>409</v>
      </c>
      <c r="JDD2" s="5" t="s">
        <v>409</v>
      </c>
      <c r="JDE2" s="5" t="s">
        <v>409</v>
      </c>
      <c r="JDF2" s="5" t="s">
        <v>409</v>
      </c>
      <c r="JDG2" s="5" t="s">
        <v>409</v>
      </c>
      <c r="JDH2" s="5" t="s">
        <v>409</v>
      </c>
      <c r="JDI2" s="5" t="s">
        <v>409</v>
      </c>
      <c r="JDJ2" s="5" t="s">
        <v>409</v>
      </c>
      <c r="JDK2" s="5" t="s">
        <v>409</v>
      </c>
      <c r="JDL2" s="5" t="s">
        <v>409</v>
      </c>
      <c r="JDM2" s="5" t="s">
        <v>409</v>
      </c>
      <c r="JDN2" s="5" t="s">
        <v>409</v>
      </c>
      <c r="JDO2" s="5" t="s">
        <v>409</v>
      </c>
      <c r="JDP2" s="5" t="s">
        <v>409</v>
      </c>
      <c r="JDQ2" s="5" t="s">
        <v>409</v>
      </c>
      <c r="JDR2" s="5" t="s">
        <v>409</v>
      </c>
      <c r="JDS2" s="5" t="s">
        <v>409</v>
      </c>
      <c r="JDT2" s="5" t="s">
        <v>409</v>
      </c>
      <c r="JDU2" s="5" t="s">
        <v>409</v>
      </c>
      <c r="JDV2" s="5" t="s">
        <v>409</v>
      </c>
      <c r="JDW2" s="5" t="s">
        <v>409</v>
      </c>
      <c r="JDX2" s="5" t="s">
        <v>409</v>
      </c>
      <c r="JDY2" s="5" t="s">
        <v>409</v>
      </c>
      <c r="JDZ2" s="5" t="s">
        <v>409</v>
      </c>
      <c r="JEA2" s="5" t="s">
        <v>409</v>
      </c>
      <c r="JEB2" s="5" t="s">
        <v>409</v>
      </c>
      <c r="JEC2" s="5" t="s">
        <v>409</v>
      </c>
      <c r="JED2" s="5" t="s">
        <v>409</v>
      </c>
      <c r="JEE2" s="5" t="s">
        <v>409</v>
      </c>
      <c r="JEF2" s="5" t="s">
        <v>409</v>
      </c>
      <c r="JEG2" s="5" t="s">
        <v>409</v>
      </c>
      <c r="JEH2" s="5" t="s">
        <v>409</v>
      </c>
      <c r="JEI2" s="5" t="s">
        <v>409</v>
      </c>
      <c r="JEJ2" s="5" t="s">
        <v>409</v>
      </c>
      <c r="JEK2" s="5" t="s">
        <v>409</v>
      </c>
      <c r="JEL2" s="5" t="s">
        <v>409</v>
      </c>
      <c r="JEM2" s="5" t="s">
        <v>409</v>
      </c>
      <c r="JEN2" s="5" t="s">
        <v>409</v>
      </c>
      <c r="JEO2" s="5" t="s">
        <v>409</v>
      </c>
      <c r="JEP2" s="5" t="s">
        <v>409</v>
      </c>
      <c r="JEQ2" s="5" t="s">
        <v>409</v>
      </c>
      <c r="JER2" s="5" t="s">
        <v>409</v>
      </c>
      <c r="JES2" s="5" t="s">
        <v>409</v>
      </c>
      <c r="JET2" s="5" t="s">
        <v>409</v>
      </c>
      <c r="JEU2" s="5" t="s">
        <v>409</v>
      </c>
      <c r="JEV2" s="5" t="s">
        <v>409</v>
      </c>
      <c r="JEW2" s="5" t="s">
        <v>409</v>
      </c>
      <c r="JEX2" s="5" t="s">
        <v>409</v>
      </c>
      <c r="JEY2" s="5" t="s">
        <v>409</v>
      </c>
      <c r="JEZ2" s="5" t="s">
        <v>409</v>
      </c>
      <c r="JFA2" s="5" t="s">
        <v>409</v>
      </c>
      <c r="JFB2" s="5" t="s">
        <v>409</v>
      </c>
      <c r="JFC2" s="5" t="s">
        <v>409</v>
      </c>
      <c r="JFD2" s="5" t="s">
        <v>409</v>
      </c>
      <c r="JFE2" s="5" t="s">
        <v>409</v>
      </c>
      <c r="JFF2" s="5" t="s">
        <v>409</v>
      </c>
      <c r="JFG2" s="5" t="s">
        <v>409</v>
      </c>
      <c r="JFH2" s="5" t="s">
        <v>409</v>
      </c>
      <c r="JFI2" s="5" t="s">
        <v>409</v>
      </c>
      <c r="JFJ2" s="5" t="s">
        <v>409</v>
      </c>
      <c r="JFK2" s="5" t="s">
        <v>409</v>
      </c>
      <c r="JFL2" s="5" t="s">
        <v>409</v>
      </c>
      <c r="JFM2" s="5" t="s">
        <v>409</v>
      </c>
      <c r="JFN2" s="5" t="s">
        <v>409</v>
      </c>
      <c r="JFO2" s="5" t="s">
        <v>409</v>
      </c>
      <c r="JFP2" s="5" t="s">
        <v>409</v>
      </c>
      <c r="JFQ2" s="5" t="s">
        <v>409</v>
      </c>
      <c r="JFR2" s="5" t="s">
        <v>409</v>
      </c>
      <c r="JFS2" s="5" t="s">
        <v>409</v>
      </c>
      <c r="JFT2" s="5" t="s">
        <v>409</v>
      </c>
      <c r="JFU2" s="5" t="s">
        <v>409</v>
      </c>
      <c r="JFV2" s="5" t="s">
        <v>409</v>
      </c>
      <c r="JFW2" s="5" t="s">
        <v>409</v>
      </c>
      <c r="JFX2" s="5" t="s">
        <v>409</v>
      </c>
      <c r="JFY2" s="5" t="s">
        <v>409</v>
      </c>
      <c r="JFZ2" s="5" t="s">
        <v>409</v>
      </c>
      <c r="JGA2" s="5" t="s">
        <v>409</v>
      </c>
      <c r="JGB2" s="5" t="s">
        <v>409</v>
      </c>
      <c r="JGC2" s="5" t="s">
        <v>409</v>
      </c>
      <c r="JGD2" s="5" t="s">
        <v>409</v>
      </c>
      <c r="JGE2" s="5" t="s">
        <v>409</v>
      </c>
      <c r="JGF2" s="5" t="s">
        <v>409</v>
      </c>
      <c r="JGG2" s="5" t="s">
        <v>409</v>
      </c>
      <c r="JGH2" s="5" t="s">
        <v>409</v>
      </c>
      <c r="JGI2" s="5" t="s">
        <v>409</v>
      </c>
      <c r="JGJ2" s="5" t="s">
        <v>409</v>
      </c>
      <c r="JGK2" s="5" t="s">
        <v>409</v>
      </c>
      <c r="JGL2" s="5" t="s">
        <v>409</v>
      </c>
      <c r="JGM2" s="5" t="s">
        <v>409</v>
      </c>
      <c r="JGN2" s="5" t="s">
        <v>409</v>
      </c>
      <c r="JGO2" s="5" t="s">
        <v>409</v>
      </c>
      <c r="JGP2" s="5" t="s">
        <v>409</v>
      </c>
      <c r="JGQ2" s="5" t="s">
        <v>409</v>
      </c>
      <c r="JGR2" s="5" t="s">
        <v>409</v>
      </c>
      <c r="JGS2" s="5" t="s">
        <v>409</v>
      </c>
      <c r="JGT2" s="5" t="s">
        <v>409</v>
      </c>
      <c r="JGU2" s="5" t="s">
        <v>409</v>
      </c>
      <c r="JGV2" s="5" t="s">
        <v>409</v>
      </c>
      <c r="JGW2" s="5" t="s">
        <v>409</v>
      </c>
      <c r="JGX2" s="5" t="s">
        <v>409</v>
      </c>
      <c r="JGY2" s="5" t="s">
        <v>409</v>
      </c>
      <c r="JGZ2" s="5" t="s">
        <v>409</v>
      </c>
      <c r="JHA2" s="5" t="s">
        <v>409</v>
      </c>
      <c r="JHB2" s="5" t="s">
        <v>409</v>
      </c>
      <c r="JHC2" s="5" t="s">
        <v>409</v>
      </c>
      <c r="JHD2" s="5" t="s">
        <v>409</v>
      </c>
      <c r="JHE2" s="5" t="s">
        <v>409</v>
      </c>
      <c r="JHF2" s="5" t="s">
        <v>409</v>
      </c>
      <c r="JHG2" s="5" t="s">
        <v>409</v>
      </c>
      <c r="JHH2" s="5" t="s">
        <v>409</v>
      </c>
      <c r="JHI2" s="5" t="s">
        <v>409</v>
      </c>
      <c r="JHJ2" s="5" t="s">
        <v>409</v>
      </c>
      <c r="JHK2" s="5" t="s">
        <v>409</v>
      </c>
      <c r="JHL2" s="5" t="s">
        <v>409</v>
      </c>
      <c r="JHM2" s="5" t="s">
        <v>409</v>
      </c>
      <c r="JHN2" s="5" t="s">
        <v>409</v>
      </c>
      <c r="JHO2" s="5" t="s">
        <v>409</v>
      </c>
      <c r="JHP2" s="5" t="s">
        <v>409</v>
      </c>
      <c r="JHQ2" s="5" t="s">
        <v>409</v>
      </c>
      <c r="JHR2" s="5" t="s">
        <v>409</v>
      </c>
      <c r="JHS2" s="5" t="s">
        <v>409</v>
      </c>
      <c r="JHT2" s="5" t="s">
        <v>409</v>
      </c>
      <c r="JHU2" s="5" t="s">
        <v>409</v>
      </c>
      <c r="JHV2" s="5" t="s">
        <v>409</v>
      </c>
      <c r="JHW2" s="5" t="s">
        <v>409</v>
      </c>
      <c r="JHX2" s="5" t="s">
        <v>409</v>
      </c>
      <c r="JHY2" s="5" t="s">
        <v>409</v>
      </c>
      <c r="JHZ2" s="5" t="s">
        <v>409</v>
      </c>
      <c r="JIA2" s="5" t="s">
        <v>409</v>
      </c>
      <c r="JIB2" s="5" t="s">
        <v>409</v>
      </c>
      <c r="JIC2" s="5" t="s">
        <v>409</v>
      </c>
      <c r="JID2" s="5" t="s">
        <v>409</v>
      </c>
      <c r="JIE2" s="5" t="s">
        <v>409</v>
      </c>
      <c r="JIF2" s="5" t="s">
        <v>409</v>
      </c>
      <c r="JIG2" s="5" t="s">
        <v>409</v>
      </c>
      <c r="JIH2" s="5" t="s">
        <v>409</v>
      </c>
      <c r="JII2" s="5" t="s">
        <v>409</v>
      </c>
      <c r="JIJ2" s="5" t="s">
        <v>409</v>
      </c>
      <c r="JIK2" s="5" t="s">
        <v>409</v>
      </c>
      <c r="JIL2" s="5" t="s">
        <v>409</v>
      </c>
      <c r="JIM2" s="5" t="s">
        <v>409</v>
      </c>
      <c r="JIN2" s="5" t="s">
        <v>409</v>
      </c>
      <c r="JIO2" s="5" t="s">
        <v>409</v>
      </c>
      <c r="JIP2" s="5" t="s">
        <v>409</v>
      </c>
      <c r="JIQ2" s="5" t="s">
        <v>409</v>
      </c>
      <c r="JIR2" s="5" t="s">
        <v>409</v>
      </c>
      <c r="JIS2" s="5" t="s">
        <v>409</v>
      </c>
      <c r="JIT2" s="5" t="s">
        <v>409</v>
      </c>
      <c r="JIU2" s="5" t="s">
        <v>409</v>
      </c>
      <c r="JIV2" s="5" t="s">
        <v>409</v>
      </c>
      <c r="JIW2" s="5" t="s">
        <v>409</v>
      </c>
      <c r="JIX2" s="5" t="s">
        <v>409</v>
      </c>
      <c r="JIY2" s="5" t="s">
        <v>409</v>
      </c>
      <c r="JIZ2" s="5" t="s">
        <v>409</v>
      </c>
      <c r="JJA2" s="5" t="s">
        <v>409</v>
      </c>
      <c r="JJB2" s="5" t="s">
        <v>409</v>
      </c>
      <c r="JJC2" s="5" t="s">
        <v>409</v>
      </c>
      <c r="JJD2" s="5" t="s">
        <v>409</v>
      </c>
      <c r="JJE2" s="5" t="s">
        <v>409</v>
      </c>
      <c r="JJF2" s="5" t="s">
        <v>409</v>
      </c>
      <c r="JJG2" s="5" t="s">
        <v>409</v>
      </c>
      <c r="JJH2" s="5" t="s">
        <v>409</v>
      </c>
      <c r="JJI2" s="5" t="s">
        <v>409</v>
      </c>
      <c r="JJJ2" s="5" t="s">
        <v>409</v>
      </c>
      <c r="JJK2" s="5" t="s">
        <v>409</v>
      </c>
      <c r="JJL2" s="5" t="s">
        <v>409</v>
      </c>
      <c r="JJM2" s="5" t="s">
        <v>409</v>
      </c>
      <c r="JJN2" s="5" t="s">
        <v>409</v>
      </c>
      <c r="JJO2" s="5" t="s">
        <v>409</v>
      </c>
      <c r="JJP2" s="5" t="s">
        <v>409</v>
      </c>
      <c r="JJQ2" s="5" t="s">
        <v>409</v>
      </c>
      <c r="JJR2" s="5" t="s">
        <v>409</v>
      </c>
      <c r="JJS2" s="5" t="s">
        <v>409</v>
      </c>
      <c r="JJT2" s="5" t="s">
        <v>409</v>
      </c>
      <c r="JJU2" s="5" t="s">
        <v>409</v>
      </c>
      <c r="JJV2" s="5" t="s">
        <v>409</v>
      </c>
      <c r="JJW2" s="5" t="s">
        <v>409</v>
      </c>
      <c r="JJX2" s="5" t="s">
        <v>409</v>
      </c>
      <c r="JJY2" s="5" t="s">
        <v>409</v>
      </c>
      <c r="JJZ2" s="5" t="s">
        <v>409</v>
      </c>
      <c r="JKA2" s="5" t="s">
        <v>409</v>
      </c>
      <c r="JKB2" s="5" t="s">
        <v>409</v>
      </c>
      <c r="JKC2" s="5" t="s">
        <v>409</v>
      </c>
      <c r="JKD2" s="5" t="s">
        <v>409</v>
      </c>
      <c r="JKE2" s="5" t="s">
        <v>409</v>
      </c>
      <c r="JKF2" s="5" t="s">
        <v>409</v>
      </c>
      <c r="JKG2" s="5" t="s">
        <v>409</v>
      </c>
      <c r="JKH2" s="5" t="s">
        <v>409</v>
      </c>
      <c r="JKI2" s="5" t="s">
        <v>409</v>
      </c>
      <c r="JKJ2" s="5" t="s">
        <v>409</v>
      </c>
      <c r="JKK2" s="5" t="s">
        <v>409</v>
      </c>
      <c r="JKL2" s="5" t="s">
        <v>409</v>
      </c>
      <c r="JKM2" s="5" t="s">
        <v>409</v>
      </c>
      <c r="JKN2" s="5" t="s">
        <v>409</v>
      </c>
      <c r="JKO2" s="5" t="s">
        <v>409</v>
      </c>
      <c r="JKP2" s="5" t="s">
        <v>409</v>
      </c>
      <c r="JKQ2" s="5" t="s">
        <v>409</v>
      </c>
      <c r="JKR2" s="5" t="s">
        <v>409</v>
      </c>
      <c r="JKS2" s="5" t="s">
        <v>409</v>
      </c>
      <c r="JKT2" s="5" t="s">
        <v>409</v>
      </c>
      <c r="JKU2" s="5" t="s">
        <v>409</v>
      </c>
      <c r="JKV2" s="5" t="s">
        <v>409</v>
      </c>
      <c r="JKW2" s="5" t="s">
        <v>409</v>
      </c>
      <c r="JKX2" s="5" t="s">
        <v>409</v>
      </c>
      <c r="JKY2" s="5" t="s">
        <v>409</v>
      </c>
      <c r="JKZ2" s="5" t="s">
        <v>409</v>
      </c>
      <c r="JLA2" s="5" t="s">
        <v>409</v>
      </c>
      <c r="JLB2" s="5" t="s">
        <v>409</v>
      </c>
      <c r="JLC2" s="5" t="s">
        <v>409</v>
      </c>
      <c r="JLD2" s="5" t="s">
        <v>409</v>
      </c>
      <c r="JLE2" s="5" t="s">
        <v>409</v>
      </c>
      <c r="JLF2" s="5" t="s">
        <v>409</v>
      </c>
      <c r="JLG2" s="5" t="s">
        <v>409</v>
      </c>
      <c r="JLH2" s="5" t="s">
        <v>409</v>
      </c>
      <c r="JLI2" s="5" t="s">
        <v>409</v>
      </c>
      <c r="JLJ2" s="5" t="s">
        <v>409</v>
      </c>
      <c r="JLK2" s="5" t="s">
        <v>409</v>
      </c>
      <c r="JLL2" s="5" t="s">
        <v>409</v>
      </c>
      <c r="JLM2" s="5" t="s">
        <v>409</v>
      </c>
      <c r="JLN2" s="5" t="s">
        <v>409</v>
      </c>
      <c r="JLO2" s="5" t="s">
        <v>409</v>
      </c>
      <c r="JLP2" s="5" t="s">
        <v>409</v>
      </c>
      <c r="JLQ2" s="5" t="s">
        <v>409</v>
      </c>
      <c r="JLR2" s="5" t="s">
        <v>409</v>
      </c>
      <c r="JLS2" s="5" t="s">
        <v>409</v>
      </c>
      <c r="JLT2" s="5" t="s">
        <v>409</v>
      </c>
      <c r="JLU2" s="5" t="s">
        <v>409</v>
      </c>
      <c r="JLV2" s="5" t="s">
        <v>409</v>
      </c>
      <c r="JLW2" s="5" t="s">
        <v>409</v>
      </c>
      <c r="JLX2" s="5" t="s">
        <v>409</v>
      </c>
      <c r="JLY2" s="5" t="s">
        <v>409</v>
      </c>
      <c r="JLZ2" s="5" t="s">
        <v>409</v>
      </c>
      <c r="JMA2" s="5" t="s">
        <v>409</v>
      </c>
      <c r="JMB2" s="5" t="s">
        <v>409</v>
      </c>
      <c r="JMC2" s="5" t="s">
        <v>409</v>
      </c>
      <c r="JMD2" s="5" t="s">
        <v>409</v>
      </c>
      <c r="JME2" s="5" t="s">
        <v>409</v>
      </c>
      <c r="JMF2" s="5" t="s">
        <v>409</v>
      </c>
      <c r="JMG2" s="5" t="s">
        <v>409</v>
      </c>
      <c r="JMH2" s="5" t="s">
        <v>409</v>
      </c>
      <c r="JMI2" s="5" t="s">
        <v>409</v>
      </c>
      <c r="JMJ2" s="5" t="s">
        <v>409</v>
      </c>
      <c r="JMK2" s="5" t="s">
        <v>409</v>
      </c>
      <c r="JML2" s="5" t="s">
        <v>409</v>
      </c>
      <c r="JMM2" s="5" t="s">
        <v>409</v>
      </c>
      <c r="JMN2" s="5" t="s">
        <v>409</v>
      </c>
      <c r="JMO2" s="5" t="s">
        <v>409</v>
      </c>
      <c r="JMP2" s="5" t="s">
        <v>409</v>
      </c>
      <c r="JMQ2" s="5" t="s">
        <v>409</v>
      </c>
      <c r="JMR2" s="5" t="s">
        <v>409</v>
      </c>
      <c r="JMS2" s="5" t="s">
        <v>409</v>
      </c>
      <c r="JMT2" s="5" t="s">
        <v>409</v>
      </c>
      <c r="JMU2" s="5" t="s">
        <v>409</v>
      </c>
      <c r="JMV2" s="5" t="s">
        <v>409</v>
      </c>
      <c r="JMW2" s="5" t="s">
        <v>409</v>
      </c>
      <c r="JMX2" s="5" t="s">
        <v>409</v>
      </c>
      <c r="JMY2" s="5" t="s">
        <v>409</v>
      </c>
      <c r="JMZ2" s="5" t="s">
        <v>409</v>
      </c>
      <c r="JNA2" s="5" t="s">
        <v>409</v>
      </c>
      <c r="JNB2" s="5" t="s">
        <v>409</v>
      </c>
      <c r="JNC2" s="5" t="s">
        <v>409</v>
      </c>
      <c r="JND2" s="5" t="s">
        <v>409</v>
      </c>
      <c r="JNE2" s="5" t="s">
        <v>409</v>
      </c>
      <c r="JNF2" s="5" t="s">
        <v>409</v>
      </c>
      <c r="JNG2" s="5" t="s">
        <v>409</v>
      </c>
      <c r="JNH2" s="5" t="s">
        <v>409</v>
      </c>
      <c r="JNI2" s="5" t="s">
        <v>409</v>
      </c>
      <c r="JNJ2" s="5" t="s">
        <v>409</v>
      </c>
      <c r="JNK2" s="5" t="s">
        <v>409</v>
      </c>
      <c r="JNL2" s="5" t="s">
        <v>409</v>
      </c>
      <c r="JNM2" s="5" t="s">
        <v>409</v>
      </c>
      <c r="JNN2" s="5" t="s">
        <v>409</v>
      </c>
      <c r="JNO2" s="5" t="s">
        <v>409</v>
      </c>
      <c r="JNP2" s="5" t="s">
        <v>409</v>
      </c>
      <c r="JNQ2" s="5" t="s">
        <v>409</v>
      </c>
      <c r="JNR2" s="5" t="s">
        <v>409</v>
      </c>
      <c r="JNS2" s="5" t="s">
        <v>409</v>
      </c>
      <c r="JNT2" s="5" t="s">
        <v>409</v>
      </c>
      <c r="JNU2" s="5" t="s">
        <v>409</v>
      </c>
      <c r="JNV2" s="5" t="s">
        <v>409</v>
      </c>
      <c r="JNW2" s="5" t="s">
        <v>409</v>
      </c>
      <c r="JNX2" s="5" t="s">
        <v>409</v>
      </c>
      <c r="JNY2" s="5" t="s">
        <v>409</v>
      </c>
      <c r="JNZ2" s="5" t="s">
        <v>409</v>
      </c>
      <c r="JOA2" s="5" t="s">
        <v>409</v>
      </c>
      <c r="JOB2" s="5" t="s">
        <v>409</v>
      </c>
      <c r="JOC2" s="5" t="s">
        <v>409</v>
      </c>
      <c r="JOD2" s="5" t="s">
        <v>409</v>
      </c>
      <c r="JOE2" s="5" t="s">
        <v>409</v>
      </c>
      <c r="JOF2" s="5" t="s">
        <v>409</v>
      </c>
      <c r="JOG2" s="5" t="s">
        <v>409</v>
      </c>
      <c r="JOH2" s="5" t="s">
        <v>409</v>
      </c>
      <c r="JOI2" s="5" t="s">
        <v>409</v>
      </c>
      <c r="JOJ2" s="5" t="s">
        <v>409</v>
      </c>
      <c r="JOK2" s="5" t="s">
        <v>409</v>
      </c>
      <c r="JOL2" s="5" t="s">
        <v>409</v>
      </c>
      <c r="JOM2" s="5" t="s">
        <v>409</v>
      </c>
      <c r="JON2" s="5" t="s">
        <v>409</v>
      </c>
      <c r="JOO2" s="5" t="s">
        <v>409</v>
      </c>
      <c r="JOP2" s="5" t="s">
        <v>409</v>
      </c>
      <c r="JOQ2" s="5" t="s">
        <v>409</v>
      </c>
      <c r="JOR2" s="5" t="s">
        <v>409</v>
      </c>
      <c r="JOS2" s="5" t="s">
        <v>409</v>
      </c>
      <c r="JOT2" s="5" t="s">
        <v>409</v>
      </c>
      <c r="JOU2" s="5" t="s">
        <v>409</v>
      </c>
      <c r="JOV2" s="5" t="s">
        <v>409</v>
      </c>
      <c r="JOW2" s="5" t="s">
        <v>409</v>
      </c>
      <c r="JOX2" s="5" t="s">
        <v>409</v>
      </c>
      <c r="JOY2" s="5" t="s">
        <v>409</v>
      </c>
      <c r="JOZ2" s="5" t="s">
        <v>409</v>
      </c>
      <c r="JPA2" s="5" t="s">
        <v>409</v>
      </c>
      <c r="JPB2" s="5" t="s">
        <v>409</v>
      </c>
      <c r="JPC2" s="5" t="s">
        <v>409</v>
      </c>
      <c r="JPD2" s="5" t="s">
        <v>409</v>
      </c>
      <c r="JPE2" s="5" t="s">
        <v>409</v>
      </c>
      <c r="JPF2" s="5" t="s">
        <v>409</v>
      </c>
      <c r="JPG2" s="5" t="s">
        <v>409</v>
      </c>
      <c r="JPH2" s="5" t="s">
        <v>409</v>
      </c>
      <c r="JPI2" s="5" t="s">
        <v>409</v>
      </c>
      <c r="JPJ2" s="5" t="s">
        <v>409</v>
      </c>
      <c r="JPK2" s="5" t="s">
        <v>409</v>
      </c>
      <c r="JPL2" s="5" t="s">
        <v>409</v>
      </c>
      <c r="JPM2" s="5" t="s">
        <v>409</v>
      </c>
      <c r="JPN2" s="5" t="s">
        <v>409</v>
      </c>
      <c r="JPO2" s="5" t="s">
        <v>409</v>
      </c>
      <c r="JPP2" s="5" t="s">
        <v>409</v>
      </c>
      <c r="JPQ2" s="5" t="s">
        <v>409</v>
      </c>
      <c r="JPR2" s="5" t="s">
        <v>409</v>
      </c>
      <c r="JPS2" s="5" t="s">
        <v>409</v>
      </c>
      <c r="JPT2" s="5" t="s">
        <v>409</v>
      </c>
      <c r="JPU2" s="5" t="s">
        <v>409</v>
      </c>
      <c r="JPV2" s="5" t="s">
        <v>409</v>
      </c>
      <c r="JPW2" s="5" t="s">
        <v>409</v>
      </c>
      <c r="JPX2" s="5" t="s">
        <v>409</v>
      </c>
      <c r="JPY2" s="5" t="s">
        <v>409</v>
      </c>
      <c r="JPZ2" s="5" t="s">
        <v>409</v>
      </c>
      <c r="JQA2" s="5" t="s">
        <v>409</v>
      </c>
      <c r="JQB2" s="5" t="s">
        <v>409</v>
      </c>
      <c r="JQC2" s="5" t="s">
        <v>409</v>
      </c>
      <c r="JQD2" s="5" t="s">
        <v>409</v>
      </c>
      <c r="JQE2" s="5" t="s">
        <v>409</v>
      </c>
      <c r="JQF2" s="5" t="s">
        <v>409</v>
      </c>
      <c r="JQG2" s="5" t="s">
        <v>409</v>
      </c>
      <c r="JQH2" s="5" t="s">
        <v>409</v>
      </c>
      <c r="JQI2" s="5" t="s">
        <v>409</v>
      </c>
      <c r="JQJ2" s="5" t="s">
        <v>409</v>
      </c>
      <c r="JQK2" s="5" t="s">
        <v>409</v>
      </c>
      <c r="JQL2" s="5" t="s">
        <v>409</v>
      </c>
      <c r="JQM2" s="5" t="s">
        <v>409</v>
      </c>
      <c r="JQN2" s="5" t="s">
        <v>409</v>
      </c>
      <c r="JQO2" s="5" t="s">
        <v>409</v>
      </c>
      <c r="JQP2" s="5" t="s">
        <v>409</v>
      </c>
      <c r="JQQ2" s="5" t="s">
        <v>409</v>
      </c>
      <c r="JQR2" s="5" t="s">
        <v>409</v>
      </c>
      <c r="JQS2" s="5" t="s">
        <v>409</v>
      </c>
      <c r="JQT2" s="5" t="s">
        <v>409</v>
      </c>
      <c r="JQU2" s="5" t="s">
        <v>409</v>
      </c>
      <c r="JQV2" s="5" t="s">
        <v>409</v>
      </c>
      <c r="JQW2" s="5" t="s">
        <v>409</v>
      </c>
      <c r="JQX2" s="5" t="s">
        <v>409</v>
      </c>
      <c r="JQY2" s="5" t="s">
        <v>409</v>
      </c>
      <c r="JQZ2" s="5" t="s">
        <v>409</v>
      </c>
      <c r="JRA2" s="5" t="s">
        <v>409</v>
      </c>
      <c r="JRB2" s="5" t="s">
        <v>409</v>
      </c>
      <c r="JRC2" s="5" t="s">
        <v>409</v>
      </c>
      <c r="JRD2" s="5" t="s">
        <v>409</v>
      </c>
      <c r="JRE2" s="5" t="s">
        <v>409</v>
      </c>
      <c r="JRF2" s="5" t="s">
        <v>409</v>
      </c>
      <c r="JRG2" s="5" t="s">
        <v>409</v>
      </c>
      <c r="JRH2" s="5" t="s">
        <v>409</v>
      </c>
      <c r="JRI2" s="5" t="s">
        <v>409</v>
      </c>
      <c r="JRJ2" s="5" t="s">
        <v>409</v>
      </c>
      <c r="JRK2" s="5" t="s">
        <v>409</v>
      </c>
      <c r="JRL2" s="5" t="s">
        <v>409</v>
      </c>
      <c r="JRM2" s="5" t="s">
        <v>409</v>
      </c>
      <c r="JRN2" s="5" t="s">
        <v>409</v>
      </c>
      <c r="JRO2" s="5" t="s">
        <v>409</v>
      </c>
      <c r="JRP2" s="5" t="s">
        <v>409</v>
      </c>
      <c r="JRQ2" s="5" t="s">
        <v>409</v>
      </c>
      <c r="JRR2" s="5" t="s">
        <v>409</v>
      </c>
      <c r="JRS2" s="5" t="s">
        <v>409</v>
      </c>
      <c r="JRT2" s="5" t="s">
        <v>409</v>
      </c>
      <c r="JRU2" s="5" t="s">
        <v>409</v>
      </c>
      <c r="JRV2" s="5" t="s">
        <v>409</v>
      </c>
      <c r="JRW2" s="5" t="s">
        <v>409</v>
      </c>
      <c r="JRX2" s="5" t="s">
        <v>409</v>
      </c>
      <c r="JRY2" s="5" t="s">
        <v>409</v>
      </c>
      <c r="JRZ2" s="5" t="s">
        <v>409</v>
      </c>
      <c r="JSA2" s="5" t="s">
        <v>409</v>
      </c>
      <c r="JSB2" s="5" t="s">
        <v>409</v>
      </c>
      <c r="JSC2" s="5" t="s">
        <v>409</v>
      </c>
      <c r="JSD2" s="5" t="s">
        <v>409</v>
      </c>
      <c r="JSE2" s="5" t="s">
        <v>409</v>
      </c>
      <c r="JSF2" s="5" t="s">
        <v>409</v>
      </c>
      <c r="JSG2" s="5" t="s">
        <v>409</v>
      </c>
      <c r="JSH2" s="5" t="s">
        <v>409</v>
      </c>
      <c r="JSI2" s="5" t="s">
        <v>409</v>
      </c>
      <c r="JSJ2" s="5" t="s">
        <v>409</v>
      </c>
      <c r="JSK2" s="5" t="s">
        <v>409</v>
      </c>
      <c r="JSL2" s="5" t="s">
        <v>409</v>
      </c>
      <c r="JSM2" s="5" t="s">
        <v>409</v>
      </c>
      <c r="JSN2" s="5" t="s">
        <v>409</v>
      </c>
      <c r="JSO2" s="5" t="s">
        <v>409</v>
      </c>
      <c r="JSP2" s="5" t="s">
        <v>409</v>
      </c>
      <c r="JSQ2" s="5" t="s">
        <v>409</v>
      </c>
      <c r="JSR2" s="5" t="s">
        <v>409</v>
      </c>
      <c r="JSS2" s="5" t="s">
        <v>409</v>
      </c>
      <c r="JST2" s="5" t="s">
        <v>409</v>
      </c>
      <c r="JSU2" s="5" t="s">
        <v>409</v>
      </c>
      <c r="JSV2" s="5" t="s">
        <v>409</v>
      </c>
      <c r="JSW2" s="5" t="s">
        <v>409</v>
      </c>
      <c r="JSX2" s="5" t="s">
        <v>409</v>
      </c>
      <c r="JSY2" s="5" t="s">
        <v>409</v>
      </c>
      <c r="JSZ2" s="5" t="s">
        <v>409</v>
      </c>
      <c r="JTA2" s="5" t="s">
        <v>409</v>
      </c>
      <c r="JTB2" s="5" t="s">
        <v>409</v>
      </c>
      <c r="JTC2" s="5" t="s">
        <v>409</v>
      </c>
      <c r="JTD2" s="5" t="s">
        <v>409</v>
      </c>
      <c r="JTE2" s="5" t="s">
        <v>409</v>
      </c>
      <c r="JTF2" s="5" t="s">
        <v>409</v>
      </c>
      <c r="JTG2" s="5" t="s">
        <v>409</v>
      </c>
      <c r="JTH2" s="5" t="s">
        <v>409</v>
      </c>
      <c r="JTI2" s="5" t="s">
        <v>409</v>
      </c>
      <c r="JTJ2" s="5" t="s">
        <v>409</v>
      </c>
      <c r="JTK2" s="5" t="s">
        <v>409</v>
      </c>
      <c r="JTL2" s="5" t="s">
        <v>409</v>
      </c>
      <c r="JTM2" s="5" t="s">
        <v>409</v>
      </c>
      <c r="JTN2" s="5" t="s">
        <v>409</v>
      </c>
      <c r="JTO2" s="5" t="s">
        <v>409</v>
      </c>
      <c r="JTP2" s="5" t="s">
        <v>409</v>
      </c>
      <c r="JTQ2" s="5" t="s">
        <v>409</v>
      </c>
      <c r="JTR2" s="5" t="s">
        <v>409</v>
      </c>
      <c r="JTS2" s="5" t="s">
        <v>409</v>
      </c>
      <c r="JTT2" s="5" t="s">
        <v>409</v>
      </c>
      <c r="JTU2" s="5" t="s">
        <v>409</v>
      </c>
      <c r="JTV2" s="5" t="s">
        <v>409</v>
      </c>
      <c r="JTW2" s="5" t="s">
        <v>409</v>
      </c>
      <c r="JTX2" s="5" t="s">
        <v>409</v>
      </c>
      <c r="JTY2" s="5" t="s">
        <v>409</v>
      </c>
      <c r="JTZ2" s="5" t="s">
        <v>409</v>
      </c>
      <c r="JUA2" s="5" t="s">
        <v>409</v>
      </c>
      <c r="JUB2" s="5" t="s">
        <v>409</v>
      </c>
      <c r="JUC2" s="5" t="s">
        <v>409</v>
      </c>
      <c r="JUD2" s="5" t="s">
        <v>409</v>
      </c>
      <c r="JUE2" s="5" t="s">
        <v>409</v>
      </c>
      <c r="JUF2" s="5" t="s">
        <v>409</v>
      </c>
      <c r="JUG2" s="5" t="s">
        <v>409</v>
      </c>
      <c r="JUH2" s="5" t="s">
        <v>409</v>
      </c>
      <c r="JUI2" s="5" t="s">
        <v>409</v>
      </c>
      <c r="JUJ2" s="5" t="s">
        <v>409</v>
      </c>
      <c r="JUK2" s="5" t="s">
        <v>409</v>
      </c>
      <c r="JUL2" s="5" t="s">
        <v>409</v>
      </c>
      <c r="JUM2" s="5" t="s">
        <v>409</v>
      </c>
      <c r="JUN2" s="5" t="s">
        <v>409</v>
      </c>
      <c r="JUO2" s="5" t="s">
        <v>409</v>
      </c>
      <c r="JUP2" s="5" t="s">
        <v>409</v>
      </c>
      <c r="JUQ2" s="5" t="s">
        <v>409</v>
      </c>
      <c r="JUR2" s="5" t="s">
        <v>409</v>
      </c>
      <c r="JUS2" s="5" t="s">
        <v>409</v>
      </c>
      <c r="JUT2" s="5" t="s">
        <v>409</v>
      </c>
      <c r="JUU2" s="5" t="s">
        <v>409</v>
      </c>
      <c r="JUV2" s="5" t="s">
        <v>409</v>
      </c>
      <c r="JUW2" s="5" t="s">
        <v>409</v>
      </c>
      <c r="JUX2" s="5" t="s">
        <v>409</v>
      </c>
      <c r="JUY2" s="5" t="s">
        <v>409</v>
      </c>
      <c r="JUZ2" s="5" t="s">
        <v>409</v>
      </c>
      <c r="JVA2" s="5" t="s">
        <v>409</v>
      </c>
      <c r="JVB2" s="5" t="s">
        <v>409</v>
      </c>
      <c r="JVC2" s="5" t="s">
        <v>409</v>
      </c>
      <c r="JVD2" s="5" t="s">
        <v>409</v>
      </c>
      <c r="JVE2" s="5" t="s">
        <v>409</v>
      </c>
      <c r="JVF2" s="5" t="s">
        <v>409</v>
      </c>
      <c r="JVG2" s="5" t="s">
        <v>409</v>
      </c>
      <c r="JVH2" s="5" t="s">
        <v>409</v>
      </c>
      <c r="JVI2" s="5" t="s">
        <v>409</v>
      </c>
      <c r="JVJ2" s="5" t="s">
        <v>409</v>
      </c>
      <c r="JVK2" s="5" t="s">
        <v>409</v>
      </c>
      <c r="JVL2" s="5" t="s">
        <v>409</v>
      </c>
      <c r="JVM2" s="5" t="s">
        <v>409</v>
      </c>
      <c r="JVN2" s="5" t="s">
        <v>409</v>
      </c>
      <c r="JVO2" s="5" t="s">
        <v>409</v>
      </c>
      <c r="JVP2" s="5" t="s">
        <v>409</v>
      </c>
      <c r="JVQ2" s="5" t="s">
        <v>409</v>
      </c>
      <c r="JVR2" s="5" t="s">
        <v>409</v>
      </c>
      <c r="JVS2" s="5" t="s">
        <v>409</v>
      </c>
      <c r="JVT2" s="5" t="s">
        <v>409</v>
      </c>
      <c r="JVU2" s="5" t="s">
        <v>409</v>
      </c>
      <c r="JVV2" s="5" t="s">
        <v>409</v>
      </c>
      <c r="JVW2" s="5" t="s">
        <v>409</v>
      </c>
      <c r="JVX2" s="5" t="s">
        <v>409</v>
      </c>
      <c r="JVY2" s="5" t="s">
        <v>409</v>
      </c>
      <c r="JVZ2" s="5" t="s">
        <v>409</v>
      </c>
      <c r="JWA2" s="5" t="s">
        <v>409</v>
      </c>
      <c r="JWB2" s="5" t="s">
        <v>409</v>
      </c>
      <c r="JWC2" s="5" t="s">
        <v>409</v>
      </c>
      <c r="JWD2" s="5" t="s">
        <v>409</v>
      </c>
      <c r="JWE2" s="5" t="s">
        <v>409</v>
      </c>
      <c r="JWF2" s="5" t="s">
        <v>409</v>
      </c>
      <c r="JWG2" s="5" t="s">
        <v>409</v>
      </c>
      <c r="JWH2" s="5" t="s">
        <v>409</v>
      </c>
      <c r="JWI2" s="5" t="s">
        <v>409</v>
      </c>
      <c r="JWJ2" s="5" t="s">
        <v>409</v>
      </c>
      <c r="JWK2" s="5" t="s">
        <v>409</v>
      </c>
      <c r="JWL2" s="5" t="s">
        <v>409</v>
      </c>
      <c r="JWM2" s="5" t="s">
        <v>409</v>
      </c>
      <c r="JWN2" s="5" t="s">
        <v>409</v>
      </c>
      <c r="JWO2" s="5" t="s">
        <v>409</v>
      </c>
      <c r="JWP2" s="5" t="s">
        <v>409</v>
      </c>
      <c r="JWQ2" s="5" t="s">
        <v>409</v>
      </c>
      <c r="JWR2" s="5" t="s">
        <v>409</v>
      </c>
      <c r="JWS2" s="5" t="s">
        <v>409</v>
      </c>
      <c r="JWT2" s="5" t="s">
        <v>409</v>
      </c>
      <c r="JWU2" s="5" t="s">
        <v>409</v>
      </c>
      <c r="JWV2" s="5" t="s">
        <v>409</v>
      </c>
      <c r="JWW2" s="5" t="s">
        <v>409</v>
      </c>
      <c r="JWX2" s="5" t="s">
        <v>409</v>
      </c>
      <c r="JWY2" s="5" t="s">
        <v>409</v>
      </c>
      <c r="JWZ2" s="5" t="s">
        <v>409</v>
      </c>
      <c r="JXA2" s="5" t="s">
        <v>409</v>
      </c>
      <c r="JXB2" s="5" t="s">
        <v>409</v>
      </c>
      <c r="JXC2" s="5" t="s">
        <v>409</v>
      </c>
      <c r="JXD2" s="5" t="s">
        <v>409</v>
      </c>
      <c r="JXE2" s="5" t="s">
        <v>409</v>
      </c>
      <c r="JXF2" s="5" t="s">
        <v>409</v>
      </c>
      <c r="JXG2" s="5" t="s">
        <v>409</v>
      </c>
      <c r="JXH2" s="5" t="s">
        <v>409</v>
      </c>
      <c r="JXI2" s="5" t="s">
        <v>409</v>
      </c>
      <c r="JXJ2" s="5" t="s">
        <v>409</v>
      </c>
      <c r="JXK2" s="5" t="s">
        <v>409</v>
      </c>
      <c r="JXL2" s="5" t="s">
        <v>409</v>
      </c>
      <c r="JXM2" s="5" t="s">
        <v>409</v>
      </c>
      <c r="JXN2" s="5" t="s">
        <v>409</v>
      </c>
      <c r="JXO2" s="5" t="s">
        <v>409</v>
      </c>
      <c r="JXP2" s="5" t="s">
        <v>409</v>
      </c>
      <c r="JXQ2" s="5" t="s">
        <v>409</v>
      </c>
      <c r="JXR2" s="5" t="s">
        <v>409</v>
      </c>
      <c r="JXS2" s="5" t="s">
        <v>409</v>
      </c>
      <c r="JXT2" s="5" t="s">
        <v>409</v>
      </c>
      <c r="JXU2" s="5" t="s">
        <v>409</v>
      </c>
      <c r="JXV2" s="5" t="s">
        <v>409</v>
      </c>
      <c r="JXW2" s="5" t="s">
        <v>409</v>
      </c>
      <c r="JXX2" s="5" t="s">
        <v>409</v>
      </c>
      <c r="JXY2" s="5" t="s">
        <v>409</v>
      </c>
      <c r="JXZ2" s="5" t="s">
        <v>409</v>
      </c>
      <c r="JYA2" s="5" t="s">
        <v>409</v>
      </c>
      <c r="JYB2" s="5" t="s">
        <v>409</v>
      </c>
      <c r="JYC2" s="5" t="s">
        <v>409</v>
      </c>
      <c r="JYD2" s="5" t="s">
        <v>409</v>
      </c>
      <c r="JYE2" s="5" t="s">
        <v>409</v>
      </c>
      <c r="JYF2" s="5" t="s">
        <v>409</v>
      </c>
      <c r="JYG2" s="5" t="s">
        <v>409</v>
      </c>
      <c r="JYH2" s="5" t="s">
        <v>409</v>
      </c>
      <c r="JYI2" s="5" t="s">
        <v>409</v>
      </c>
      <c r="JYJ2" s="5" t="s">
        <v>409</v>
      </c>
      <c r="JYK2" s="5" t="s">
        <v>409</v>
      </c>
      <c r="JYL2" s="5" t="s">
        <v>409</v>
      </c>
      <c r="JYM2" s="5" t="s">
        <v>409</v>
      </c>
      <c r="JYN2" s="5" t="s">
        <v>409</v>
      </c>
      <c r="JYO2" s="5" t="s">
        <v>409</v>
      </c>
      <c r="JYP2" s="5" t="s">
        <v>409</v>
      </c>
      <c r="JYQ2" s="5" t="s">
        <v>409</v>
      </c>
      <c r="JYR2" s="5" t="s">
        <v>409</v>
      </c>
      <c r="JYS2" s="5" t="s">
        <v>409</v>
      </c>
      <c r="JYT2" s="5" t="s">
        <v>409</v>
      </c>
      <c r="JYU2" s="5" t="s">
        <v>409</v>
      </c>
      <c r="JYV2" s="5" t="s">
        <v>409</v>
      </c>
      <c r="JYW2" s="5" t="s">
        <v>409</v>
      </c>
      <c r="JYX2" s="5" t="s">
        <v>409</v>
      </c>
      <c r="JYY2" s="5" t="s">
        <v>409</v>
      </c>
      <c r="JYZ2" s="5" t="s">
        <v>409</v>
      </c>
      <c r="JZA2" s="5" t="s">
        <v>409</v>
      </c>
      <c r="JZB2" s="5" t="s">
        <v>409</v>
      </c>
      <c r="JZC2" s="5" t="s">
        <v>409</v>
      </c>
      <c r="JZD2" s="5" t="s">
        <v>409</v>
      </c>
      <c r="JZE2" s="5" t="s">
        <v>409</v>
      </c>
      <c r="JZF2" s="5" t="s">
        <v>409</v>
      </c>
      <c r="JZG2" s="5" t="s">
        <v>409</v>
      </c>
      <c r="JZH2" s="5" t="s">
        <v>409</v>
      </c>
      <c r="JZI2" s="5" t="s">
        <v>409</v>
      </c>
      <c r="JZJ2" s="5" t="s">
        <v>409</v>
      </c>
      <c r="JZK2" s="5" t="s">
        <v>409</v>
      </c>
      <c r="JZL2" s="5" t="s">
        <v>409</v>
      </c>
      <c r="JZM2" s="5" t="s">
        <v>409</v>
      </c>
      <c r="JZN2" s="5" t="s">
        <v>409</v>
      </c>
      <c r="JZO2" s="5" t="s">
        <v>409</v>
      </c>
      <c r="JZP2" s="5" t="s">
        <v>409</v>
      </c>
      <c r="JZQ2" s="5" t="s">
        <v>409</v>
      </c>
      <c r="JZR2" s="5" t="s">
        <v>409</v>
      </c>
      <c r="JZS2" s="5" t="s">
        <v>409</v>
      </c>
      <c r="JZT2" s="5" t="s">
        <v>409</v>
      </c>
      <c r="JZU2" s="5" t="s">
        <v>409</v>
      </c>
      <c r="JZV2" s="5" t="s">
        <v>409</v>
      </c>
      <c r="JZW2" s="5" t="s">
        <v>409</v>
      </c>
      <c r="JZX2" s="5" t="s">
        <v>409</v>
      </c>
      <c r="JZY2" s="5" t="s">
        <v>409</v>
      </c>
      <c r="JZZ2" s="5" t="s">
        <v>409</v>
      </c>
      <c r="KAA2" s="5" t="s">
        <v>409</v>
      </c>
      <c r="KAB2" s="5" t="s">
        <v>409</v>
      </c>
      <c r="KAC2" s="5" t="s">
        <v>409</v>
      </c>
      <c r="KAD2" s="5" t="s">
        <v>409</v>
      </c>
      <c r="KAE2" s="5" t="s">
        <v>409</v>
      </c>
      <c r="KAF2" s="5" t="s">
        <v>409</v>
      </c>
      <c r="KAG2" s="5" t="s">
        <v>409</v>
      </c>
      <c r="KAH2" s="5" t="s">
        <v>409</v>
      </c>
      <c r="KAI2" s="5" t="s">
        <v>409</v>
      </c>
      <c r="KAJ2" s="5" t="s">
        <v>409</v>
      </c>
      <c r="KAK2" s="5" t="s">
        <v>409</v>
      </c>
      <c r="KAL2" s="5" t="s">
        <v>409</v>
      </c>
      <c r="KAM2" s="5" t="s">
        <v>409</v>
      </c>
      <c r="KAN2" s="5" t="s">
        <v>409</v>
      </c>
      <c r="KAO2" s="5" t="s">
        <v>409</v>
      </c>
      <c r="KAP2" s="5" t="s">
        <v>409</v>
      </c>
      <c r="KAQ2" s="5" t="s">
        <v>409</v>
      </c>
      <c r="KAR2" s="5" t="s">
        <v>409</v>
      </c>
      <c r="KAS2" s="5" t="s">
        <v>409</v>
      </c>
      <c r="KAT2" s="5" t="s">
        <v>409</v>
      </c>
      <c r="KAU2" s="5" t="s">
        <v>409</v>
      </c>
      <c r="KAV2" s="5" t="s">
        <v>409</v>
      </c>
      <c r="KAW2" s="5" t="s">
        <v>409</v>
      </c>
      <c r="KAX2" s="5" t="s">
        <v>409</v>
      </c>
      <c r="KAY2" s="5" t="s">
        <v>409</v>
      </c>
      <c r="KAZ2" s="5" t="s">
        <v>409</v>
      </c>
      <c r="KBA2" s="5" t="s">
        <v>409</v>
      </c>
      <c r="KBB2" s="5" t="s">
        <v>409</v>
      </c>
      <c r="KBC2" s="5" t="s">
        <v>409</v>
      </c>
      <c r="KBD2" s="5" t="s">
        <v>409</v>
      </c>
      <c r="KBE2" s="5" t="s">
        <v>409</v>
      </c>
      <c r="KBF2" s="5" t="s">
        <v>409</v>
      </c>
      <c r="KBG2" s="5" t="s">
        <v>409</v>
      </c>
      <c r="KBH2" s="5" t="s">
        <v>409</v>
      </c>
      <c r="KBI2" s="5" t="s">
        <v>409</v>
      </c>
      <c r="KBJ2" s="5" t="s">
        <v>409</v>
      </c>
      <c r="KBK2" s="5" t="s">
        <v>409</v>
      </c>
      <c r="KBL2" s="5" t="s">
        <v>409</v>
      </c>
      <c r="KBM2" s="5" t="s">
        <v>409</v>
      </c>
      <c r="KBN2" s="5" t="s">
        <v>409</v>
      </c>
      <c r="KBO2" s="5" t="s">
        <v>409</v>
      </c>
      <c r="KBP2" s="5" t="s">
        <v>409</v>
      </c>
      <c r="KBQ2" s="5" t="s">
        <v>409</v>
      </c>
      <c r="KBR2" s="5" t="s">
        <v>409</v>
      </c>
      <c r="KBS2" s="5" t="s">
        <v>409</v>
      </c>
      <c r="KBT2" s="5" t="s">
        <v>409</v>
      </c>
      <c r="KBU2" s="5" t="s">
        <v>409</v>
      </c>
      <c r="KBV2" s="5" t="s">
        <v>409</v>
      </c>
      <c r="KBW2" s="5" t="s">
        <v>409</v>
      </c>
      <c r="KBX2" s="5" t="s">
        <v>409</v>
      </c>
      <c r="KBY2" s="5" t="s">
        <v>409</v>
      </c>
      <c r="KBZ2" s="5" t="s">
        <v>409</v>
      </c>
      <c r="KCA2" s="5" t="s">
        <v>409</v>
      </c>
      <c r="KCB2" s="5" t="s">
        <v>409</v>
      </c>
      <c r="KCC2" s="5" t="s">
        <v>409</v>
      </c>
      <c r="KCD2" s="5" t="s">
        <v>409</v>
      </c>
      <c r="KCE2" s="5" t="s">
        <v>409</v>
      </c>
      <c r="KCF2" s="5" t="s">
        <v>409</v>
      </c>
      <c r="KCG2" s="5" t="s">
        <v>409</v>
      </c>
      <c r="KCH2" s="5" t="s">
        <v>409</v>
      </c>
      <c r="KCI2" s="5" t="s">
        <v>409</v>
      </c>
      <c r="KCJ2" s="5" t="s">
        <v>409</v>
      </c>
      <c r="KCK2" s="5" t="s">
        <v>409</v>
      </c>
      <c r="KCL2" s="5" t="s">
        <v>409</v>
      </c>
      <c r="KCM2" s="5" t="s">
        <v>409</v>
      </c>
      <c r="KCN2" s="5" t="s">
        <v>409</v>
      </c>
      <c r="KCO2" s="5" t="s">
        <v>409</v>
      </c>
      <c r="KCP2" s="5" t="s">
        <v>409</v>
      </c>
      <c r="KCQ2" s="5" t="s">
        <v>409</v>
      </c>
      <c r="KCR2" s="5" t="s">
        <v>409</v>
      </c>
      <c r="KCS2" s="5" t="s">
        <v>409</v>
      </c>
      <c r="KCT2" s="5" t="s">
        <v>409</v>
      </c>
      <c r="KCU2" s="5" t="s">
        <v>409</v>
      </c>
      <c r="KCV2" s="5" t="s">
        <v>409</v>
      </c>
      <c r="KCW2" s="5" t="s">
        <v>409</v>
      </c>
      <c r="KCX2" s="5" t="s">
        <v>409</v>
      </c>
      <c r="KCY2" s="5" t="s">
        <v>409</v>
      </c>
      <c r="KCZ2" s="5" t="s">
        <v>409</v>
      </c>
      <c r="KDA2" s="5" t="s">
        <v>409</v>
      </c>
      <c r="KDB2" s="5" t="s">
        <v>409</v>
      </c>
      <c r="KDC2" s="5" t="s">
        <v>409</v>
      </c>
      <c r="KDD2" s="5" t="s">
        <v>409</v>
      </c>
      <c r="KDE2" s="5" t="s">
        <v>409</v>
      </c>
      <c r="KDF2" s="5" t="s">
        <v>409</v>
      </c>
      <c r="KDG2" s="5" t="s">
        <v>409</v>
      </c>
      <c r="KDH2" s="5" t="s">
        <v>409</v>
      </c>
      <c r="KDI2" s="5" t="s">
        <v>409</v>
      </c>
      <c r="KDJ2" s="5" t="s">
        <v>409</v>
      </c>
      <c r="KDK2" s="5" t="s">
        <v>409</v>
      </c>
      <c r="KDL2" s="5" t="s">
        <v>409</v>
      </c>
      <c r="KDM2" s="5" t="s">
        <v>409</v>
      </c>
      <c r="KDN2" s="5" t="s">
        <v>409</v>
      </c>
      <c r="KDO2" s="5" t="s">
        <v>409</v>
      </c>
      <c r="KDP2" s="5" t="s">
        <v>409</v>
      </c>
      <c r="KDQ2" s="5" t="s">
        <v>409</v>
      </c>
      <c r="KDR2" s="5" t="s">
        <v>409</v>
      </c>
      <c r="KDS2" s="5" t="s">
        <v>409</v>
      </c>
      <c r="KDT2" s="5" t="s">
        <v>409</v>
      </c>
      <c r="KDU2" s="5" t="s">
        <v>409</v>
      </c>
      <c r="KDV2" s="5" t="s">
        <v>409</v>
      </c>
      <c r="KDW2" s="5" t="s">
        <v>409</v>
      </c>
      <c r="KDX2" s="5" t="s">
        <v>409</v>
      </c>
      <c r="KDY2" s="5" t="s">
        <v>409</v>
      </c>
      <c r="KDZ2" s="5" t="s">
        <v>409</v>
      </c>
      <c r="KEA2" s="5" t="s">
        <v>409</v>
      </c>
      <c r="KEB2" s="5" t="s">
        <v>409</v>
      </c>
      <c r="KEC2" s="5" t="s">
        <v>409</v>
      </c>
      <c r="KED2" s="5" t="s">
        <v>409</v>
      </c>
      <c r="KEE2" s="5" t="s">
        <v>409</v>
      </c>
      <c r="KEF2" s="5" t="s">
        <v>409</v>
      </c>
      <c r="KEG2" s="5" t="s">
        <v>409</v>
      </c>
      <c r="KEH2" s="5" t="s">
        <v>409</v>
      </c>
      <c r="KEI2" s="5" t="s">
        <v>409</v>
      </c>
      <c r="KEJ2" s="5" t="s">
        <v>409</v>
      </c>
      <c r="KEK2" s="5" t="s">
        <v>409</v>
      </c>
      <c r="KEL2" s="5" t="s">
        <v>409</v>
      </c>
      <c r="KEM2" s="5" t="s">
        <v>409</v>
      </c>
      <c r="KEN2" s="5" t="s">
        <v>409</v>
      </c>
      <c r="KEO2" s="5" t="s">
        <v>409</v>
      </c>
      <c r="KEP2" s="5" t="s">
        <v>409</v>
      </c>
      <c r="KEQ2" s="5" t="s">
        <v>409</v>
      </c>
      <c r="KER2" s="5" t="s">
        <v>409</v>
      </c>
      <c r="KES2" s="5" t="s">
        <v>409</v>
      </c>
      <c r="KET2" s="5" t="s">
        <v>409</v>
      </c>
      <c r="KEU2" s="5" t="s">
        <v>409</v>
      </c>
      <c r="KEV2" s="5" t="s">
        <v>409</v>
      </c>
      <c r="KEW2" s="5" t="s">
        <v>409</v>
      </c>
      <c r="KEX2" s="5" t="s">
        <v>409</v>
      </c>
      <c r="KEY2" s="5" t="s">
        <v>409</v>
      </c>
      <c r="KEZ2" s="5" t="s">
        <v>409</v>
      </c>
      <c r="KFA2" s="5" t="s">
        <v>409</v>
      </c>
      <c r="KFB2" s="5" t="s">
        <v>409</v>
      </c>
      <c r="KFC2" s="5" t="s">
        <v>409</v>
      </c>
      <c r="KFD2" s="5" t="s">
        <v>409</v>
      </c>
      <c r="KFE2" s="5" t="s">
        <v>409</v>
      </c>
      <c r="KFF2" s="5" t="s">
        <v>409</v>
      </c>
      <c r="KFG2" s="5" t="s">
        <v>409</v>
      </c>
      <c r="KFH2" s="5" t="s">
        <v>409</v>
      </c>
      <c r="KFI2" s="5" t="s">
        <v>409</v>
      </c>
      <c r="KFJ2" s="5" t="s">
        <v>409</v>
      </c>
      <c r="KFK2" s="5" t="s">
        <v>409</v>
      </c>
      <c r="KFL2" s="5" t="s">
        <v>409</v>
      </c>
      <c r="KFM2" s="5" t="s">
        <v>409</v>
      </c>
      <c r="KFN2" s="5" t="s">
        <v>409</v>
      </c>
      <c r="KFO2" s="5" t="s">
        <v>409</v>
      </c>
      <c r="KFP2" s="5" t="s">
        <v>409</v>
      </c>
      <c r="KFQ2" s="5" t="s">
        <v>409</v>
      </c>
      <c r="KFR2" s="5" t="s">
        <v>409</v>
      </c>
      <c r="KFS2" s="5" t="s">
        <v>409</v>
      </c>
      <c r="KFT2" s="5" t="s">
        <v>409</v>
      </c>
      <c r="KFU2" s="5" t="s">
        <v>409</v>
      </c>
      <c r="KFV2" s="5" t="s">
        <v>409</v>
      </c>
      <c r="KFW2" s="5" t="s">
        <v>409</v>
      </c>
      <c r="KFX2" s="5" t="s">
        <v>409</v>
      </c>
      <c r="KFY2" s="5" t="s">
        <v>409</v>
      </c>
      <c r="KFZ2" s="5" t="s">
        <v>409</v>
      </c>
      <c r="KGA2" s="5" t="s">
        <v>409</v>
      </c>
      <c r="KGB2" s="5" t="s">
        <v>409</v>
      </c>
      <c r="KGC2" s="5" t="s">
        <v>409</v>
      </c>
      <c r="KGD2" s="5" t="s">
        <v>409</v>
      </c>
      <c r="KGE2" s="5" t="s">
        <v>409</v>
      </c>
      <c r="KGF2" s="5" t="s">
        <v>409</v>
      </c>
      <c r="KGG2" s="5" t="s">
        <v>409</v>
      </c>
      <c r="KGH2" s="5" t="s">
        <v>409</v>
      </c>
      <c r="KGI2" s="5" t="s">
        <v>409</v>
      </c>
      <c r="KGJ2" s="5" t="s">
        <v>409</v>
      </c>
      <c r="KGK2" s="5" t="s">
        <v>409</v>
      </c>
      <c r="KGL2" s="5" t="s">
        <v>409</v>
      </c>
      <c r="KGM2" s="5" t="s">
        <v>409</v>
      </c>
      <c r="KGN2" s="5" t="s">
        <v>409</v>
      </c>
      <c r="KGO2" s="5" t="s">
        <v>409</v>
      </c>
      <c r="KGP2" s="5" t="s">
        <v>409</v>
      </c>
      <c r="KGQ2" s="5" t="s">
        <v>409</v>
      </c>
      <c r="KGR2" s="5" t="s">
        <v>409</v>
      </c>
      <c r="KGS2" s="5" t="s">
        <v>409</v>
      </c>
      <c r="KGT2" s="5" t="s">
        <v>409</v>
      </c>
      <c r="KGU2" s="5" t="s">
        <v>409</v>
      </c>
      <c r="KGV2" s="5" t="s">
        <v>409</v>
      </c>
      <c r="KGW2" s="5" t="s">
        <v>409</v>
      </c>
      <c r="KGX2" s="5" t="s">
        <v>409</v>
      </c>
      <c r="KGY2" s="5" t="s">
        <v>409</v>
      </c>
      <c r="KGZ2" s="5" t="s">
        <v>409</v>
      </c>
      <c r="KHA2" s="5" t="s">
        <v>409</v>
      </c>
      <c r="KHB2" s="5" t="s">
        <v>409</v>
      </c>
      <c r="KHC2" s="5" t="s">
        <v>409</v>
      </c>
      <c r="KHD2" s="5" t="s">
        <v>409</v>
      </c>
      <c r="KHE2" s="5" t="s">
        <v>409</v>
      </c>
      <c r="KHF2" s="5" t="s">
        <v>409</v>
      </c>
      <c r="KHG2" s="5" t="s">
        <v>409</v>
      </c>
      <c r="KHH2" s="5" t="s">
        <v>409</v>
      </c>
      <c r="KHI2" s="5" t="s">
        <v>409</v>
      </c>
      <c r="KHJ2" s="5" t="s">
        <v>409</v>
      </c>
      <c r="KHK2" s="5" t="s">
        <v>409</v>
      </c>
      <c r="KHL2" s="5" t="s">
        <v>409</v>
      </c>
      <c r="KHM2" s="5" t="s">
        <v>409</v>
      </c>
      <c r="KHN2" s="5" t="s">
        <v>409</v>
      </c>
      <c r="KHO2" s="5" t="s">
        <v>409</v>
      </c>
      <c r="KHP2" s="5" t="s">
        <v>409</v>
      </c>
      <c r="KHQ2" s="5" t="s">
        <v>409</v>
      </c>
      <c r="KHR2" s="5" t="s">
        <v>409</v>
      </c>
      <c r="KHS2" s="5" t="s">
        <v>409</v>
      </c>
      <c r="KHT2" s="5" t="s">
        <v>409</v>
      </c>
      <c r="KHU2" s="5" t="s">
        <v>409</v>
      </c>
      <c r="KHV2" s="5" t="s">
        <v>409</v>
      </c>
      <c r="KHW2" s="5" t="s">
        <v>409</v>
      </c>
      <c r="KHX2" s="5" t="s">
        <v>409</v>
      </c>
      <c r="KHY2" s="5" t="s">
        <v>409</v>
      </c>
      <c r="KHZ2" s="5" t="s">
        <v>409</v>
      </c>
      <c r="KIA2" s="5" t="s">
        <v>409</v>
      </c>
      <c r="KIB2" s="5" t="s">
        <v>409</v>
      </c>
      <c r="KIC2" s="5" t="s">
        <v>409</v>
      </c>
      <c r="KID2" s="5" t="s">
        <v>409</v>
      </c>
      <c r="KIE2" s="5" t="s">
        <v>409</v>
      </c>
      <c r="KIF2" s="5" t="s">
        <v>409</v>
      </c>
      <c r="KIG2" s="5" t="s">
        <v>409</v>
      </c>
      <c r="KIH2" s="5" t="s">
        <v>409</v>
      </c>
      <c r="KII2" s="5" t="s">
        <v>409</v>
      </c>
      <c r="KIJ2" s="5" t="s">
        <v>409</v>
      </c>
      <c r="KIK2" s="5" t="s">
        <v>409</v>
      </c>
      <c r="KIL2" s="5" t="s">
        <v>409</v>
      </c>
      <c r="KIM2" s="5" t="s">
        <v>409</v>
      </c>
      <c r="KIN2" s="5" t="s">
        <v>409</v>
      </c>
      <c r="KIO2" s="5" t="s">
        <v>409</v>
      </c>
      <c r="KIP2" s="5" t="s">
        <v>409</v>
      </c>
      <c r="KIQ2" s="5" t="s">
        <v>409</v>
      </c>
      <c r="KIR2" s="5" t="s">
        <v>409</v>
      </c>
      <c r="KIS2" s="5" t="s">
        <v>409</v>
      </c>
      <c r="KIT2" s="5" t="s">
        <v>409</v>
      </c>
      <c r="KIU2" s="5" t="s">
        <v>409</v>
      </c>
      <c r="KIV2" s="5" t="s">
        <v>409</v>
      </c>
      <c r="KIW2" s="5" t="s">
        <v>409</v>
      </c>
      <c r="KIX2" s="5" t="s">
        <v>409</v>
      </c>
      <c r="KIY2" s="5" t="s">
        <v>409</v>
      </c>
      <c r="KIZ2" s="5" t="s">
        <v>409</v>
      </c>
      <c r="KJA2" s="5" t="s">
        <v>409</v>
      </c>
      <c r="KJB2" s="5" t="s">
        <v>409</v>
      </c>
      <c r="KJC2" s="5" t="s">
        <v>409</v>
      </c>
      <c r="KJD2" s="5" t="s">
        <v>409</v>
      </c>
      <c r="KJE2" s="5" t="s">
        <v>409</v>
      </c>
      <c r="KJF2" s="5" t="s">
        <v>409</v>
      </c>
      <c r="KJG2" s="5" t="s">
        <v>409</v>
      </c>
      <c r="KJH2" s="5" t="s">
        <v>409</v>
      </c>
      <c r="KJI2" s="5" t="s">
        <v>409</v>
      </c>
      <c r="KJJ2" s="5" t="s">
        <v>409</v>
      </c>
      <c r="KJK2" s="5" t="s">
        <v>409</v>
      </c>
      <c r="KJL2" s="5" t="s">
        <v>409</v>
      </c>
      <c r="KJM2" s="5" t="s">
        <v>409</v>
      </c>
      <c r="KJN2" s="5" t="s">
        <v>409</v>
      </c>
      <c r="KJO2" s="5" t="s">
        <v>409</v>
      </c>
      <c r="KJP2" s="5" t="s">
        <v>409</v>
      </c>
      <c r="KJQ2" s="5" t="s">
        <v>409</v>
      </c>
      <c r="KJR2" s="5" t="s">
        <v>409</v>
      </c>
      <c r="KJS2" s="5" t="s">
        <v>409</v>
      </c>
      <c r="KJT2" s="5" t="s">
        <v>409</v>
      </c>
      <c r="KJU2" s="5" t="s">
        <v>409</v>
      </c>
      <c r="KJV2" s="5" t="s">
        <v>409</v>
      </c>
      <c r="KJW2" s="5" t="s">
        <v>409</v>
      </c>
      <c r="KJX2" s="5" t="s">
        <v>409</v>
      </c>
      <c r="KJY2" s="5" t="s">
        <v>409</v>
      </c>
      <c r="KJZ2" s="5" t="s">
        <v>409</v>
      </c>
      <c r="KKA2" s="5" t="s">
        <v>409</v>
      </c>
      <c r="KKB2" s="5" t="s">
        <v>409</v>
      </c>
      <c r="KKC2" s="5" t="s">
        <v>409</v>
      </c>
      <c r="KKD2" s="5" t="s">
        <v>409</v>
      </c>
      <c r="KKE2" s="5" t="s">
        <v>409</v>
      </c>
      <c r="KKF2" s="5" t="s">
        <v>409</v>
      </c>
      <c r="KKG2" s="5" t="s">
        <v>409</v>
      </c>
      <c r="KKH2" s="5" t="s">
        <v>409</v>
      </c>
      <c r="KKI2" s="5" t="s">
        <v>409</v>
      </c>
      <c r="KKJ2" s="5" t="s">
        <v>409</v>
      </c>
      <c r="KKK2" s="5" t="s">
        <v>409</v>
      </c>
      <c r="KKL2" s="5" t="s">
        <v>409</v>
      </c>
      <c r="KKM2" s="5" t="s">
        <v>409</v>
      </c>
      <c r="KKN2" s="5" t="s">
        <v>409</v>
      </c>
      <c r="KKO2" s="5" t="s">
        <v>409</v>
      </c>
      <c r="KKP2" s="5" t="s">
        <v>409</v>
      </c>
      <c r="KKQ2" s="5" t="s">
        <v>409</v>
      </c>
      <c r="KKR2" s="5" t="s">
        <v>409</v>
      </c>
      <c r="KKS2" s="5" t="s">
        <v>409</v>
      </c>
      <c r="KKT2" s="5" t="s">
        <v>409</v>
      </c>
      <c r="KKU2" s="5" t="s">
        <v>409</v>
      </c>
      <c r="KKV2" s="5" t="s">
        <v>409</v>
      </c>
      <c r="KKW2" s="5" t="s">
        <v>409</v>
      </c>
      <c r="KKX2" s="5" t="s">
        <v>409</v>
      </c>
      <c r="KKY2" s="5" t="s">
        <v>409</v>
      </c>
      <c r="KKZ2" s="5" t="s">
        <v>409</v>
      </c>
      <c r="KLA2" s="5" t="s">
        <v>409</v>
      </c>
      <c r="KLB2" s="5" t="s">
        <v>409</v>
      </c>
      <c r="KLC2" s="5" t="s">
        <v>409</v>
      </c>
      <c r="KLD2" s="5" t="s">
        <v>409</v>
      </c>
      <c r="KLE2" s="5" t="s">
        <v>409</v>
      </c>
      <c r="KLF2" s="5" t="s">
        <v>409</v>
      </c>
      <c r="KLG2" s="5" t="s">
        <v>409</v>
      </c>
      <c r="KLH2" s="5" t="s">
        <v>409</v>
      </c>
      <c r="KLI2" s="5" t="s">
        <v>409</v>
      </c>
      <c r="KLJ2" s="5" t="s">
        <v>409</v>
      </c>
      <c r="KLK2" s="5" t="s">
        <v>409</v>
      </c>
      <c r="KLL2" s="5" t="s">
        <v>409</v>
      </c>
      <c r="KLM2" s="5" t="s">
        <v>409</v>
      </c>
      <c r="KLN2" s="5" t="s">
        <v>409</v>
      </c>
      <c r="KLO2" s="5" t="s">
        <v>409</v>
      </c>
      <c r="KLP2" s="5" t="s">
        <v>409</v>
      </c>
      <c r="KLQ2" s="5" t="s">
        <v>409</v>
      </c>
      <c r="KLR2" s="5" t="s">
        <v>409</v>
      </c>
      <c r="KLS2" s="5" t="s">
        <v>409</v>
      </c>
      <c r="KLT2" s="5" t="s">
        <v>409</v>
      </c>
      <c r="KLU2" s="5" t="s">
        <v>409</v>
      </c>
      <c r="KLV2" s="5" t="s">
        <v>409</v>
      </c>
      <c r="KLW2" s="5" t="s">
        <v>409</v>
      </c>
      <c r="KLX2" s="5" t="s">
        <v>409</v>
      </c>
      <c r="KLY2" s="5" t="s">
        <v>409</v>
      </c>
      <c r="KLZ2" s="5" t="s">
        <v>409</v>
      </c>
      <c r="KMA2" s="5" t="s">
        <v>409</v>
      </c>
      <c r="KMB2" s="5" t="s">
        <v>409</v>
      </c>
      <c r="KMC2" s="5" t="s">
        <v>409</v>
      </c>
      <c r="KMD2" s="5" t="s">
        <v>409</v>
      </c>
      <c r="KME2" s="5" t="s">
        <v>409</v>
      </c>
      <c r="KMF2" s="5" t="s">
        <v>409</v>
      </c>
      <c r="KMG2" s="5" t="s">
        <v>409</v>
      </c>
      <c r="KMH2" s="5" t="s">
        <v>409</v>
      </c>
      <c r="KMI2" s="5" t="s">
        <v>409</v>
      </c>
      <c r="KMJ2" s="5" t="s">
        <v>409</v>
      </c>
      <c r="KMK2" s="5" t="s">
        <v>409</v>
      </c>
      <c r="KML2" s="5" t="s">
        <v>409</v>
      </c>
      <c r="KMM2" s="5" t="s">
        <v>409</v>
      </c>
      <c r="KMN2" s="5" t="s">
        <v>409</v>
      </c>
      <c r="KMO2" s="5" t="s">
        <v>409</v>
      </c>
      <c r="KMP2" s="5" t="s">
        <v>409</v>
      </c>
      <c r="KMQ2" s="5" t="s">
        <v>409</v>
      </c>
      <c r="KMR2" s="5" t="s">
        <v>409</v>
      </c>
      <c r="KMS2" s="5" t="s">
        <v>409</v>
      </c>
      <c r="KMT2" s="5" t="s">
        <v>409</v>
      </c>
      <c r="KMU2" s="5" t="s">
        <v>409</v>
      </c>
      <c r="KMV2" s="5" t="s">
        <v>409</v>
      </c>
      <c r="KMW2" s="5" t="s">
        <v>409</v>
      </c>
      <c r="KMX2" s="5" t="s">
        <v>409</v>
      </c>
      <c r="KMY2" s="5" t="s">
        <v>409</v>
      </c>
      <c r="KMZ2" s="5" t="s">
        <v>409</v>
      </c>
      <c r="KNA2" s="5" t="s">
        <v>409</v>
      </c>
      <c r="KNB2" s="5" t="s">
        <v>409</v>
      </c>
      <c r="KNC2" s="5" t="s">
        <v>409</v>
      </c>
      <c r="KND2" s="5" t="s">
        <v>409</v>
      </c>
      <c r="KNE2" s="5" t="s">
        <v>409</v>
      </c>
      <c r="KNF2" s="5" t="s">
        <v>409</v>
      </c>
      <c r="KNG2" s="5" t="s">
        <v>409</v>
      </c>
      <c r="KNH2" s="5" t="s">
        <v>409</v>
      </c>
      <c r="KNI2" s="5" t="s">
        <v>409</v>
      </c>
      <c r="KNJ2" s="5" t="s">
        <v>409</v>
      </c>
      <c r="KNK2" s="5" t="s">
        <v>409</v>
      </c>
      <c r="KNL2" s="5" t="s">
        <v>409</v>
      </c>
      <c r="KNM2" s="5" t="s">
        <v>409</v>
      </c>
      <c r="KNN2" s="5" t="s">
        <v>409</v>
      </c>
      <c r="KNO2" s="5" t="s">
        <v>409</v>
      </c>
      <c r="KNP2" s="5" t="s">
        <v>409</v>
      </c>
      <c r="KNQ2" s="5" t="s">
        <v>409</v>
      </c>
      <c r="KNR2" s="5" t="s">
        <v>409</v>
      </c>
      <c r="KNS2" s="5" t="s">
        <v>409</v>
      </c>
      <c r="KNT2" s="5" t="s">
        <v>409</v>
      </c>
      <c r="KNU2" s="5" t="s">
        <v>409</v>
      </c>
      <c r="KNV2" s="5" t="s">
        <v>409</v>
      </c>
      <c r="KNW2" s="5" t="s">
        <v>409</v>
      </c>
      <c r="KNX2" s="5" t="s">
        <v>409</v>
      </c>
      <c r="KNY2" s="5" t="s">
        <v>409</v>
      </c>
      <c r="KNZ2" s="5" t="s">
        <v>409</v>
      </c>
      <c r="KOA2" s="5" t="s">
        <v>409</v>
      </c>
      <c r="KOB2" s="5" t="s">
        <v>409</v>
      </c>
      <c r="KOC2" s="5" t="s">
        <v>409</v>
      </c>
      <c r="KOD2" s="5" t="s">
        <v>409</v>
      </c>
      <c r="KOE2" s="5" t="s">
        <v>409</v>
      </c>
      <c r="KOF2" s="5" t="s">
        <v>409</v>
      </c>
      <c r="KOG2" s="5" t="s">
        <v>409</v>
      </c>
      <c r="KOH2" s="5" t="s">
        <v>409</v>
      </c>
      <c r="KOI2" s="5" t="s">
        <v>409</v>
      </c>
      <c r="KOJ2" s="5" t="s">
        <v>409</v>
      </c>
      <c r="KOK2" s="5" t="s">
        <v>409</v>
      </c>
      <c r="KOL2" s="5" t="s">
        <v>409</v>
      </c>
      <c r="KOM2" s="5" t="s">
        <v>409</v>
      </c>
      <c r="KON2" s="5" t="s">
        <v>409</v>
      </c>
      <c r="KOO2" s="5" t="s">
        <v>409</v>
      </c>
      <c r="KOP2" s="5" t="s">
        <v>409</v>
      </c>
      <c r="KOQ2" s="5" t="s">
        <v>409</v>
      </c>
      <c r="KOR2" s="5" t="s">
        <v>409</v>
      </c>
      <c r="KOS2" s="5" t="s">
        <v>409</v>
      </c>
      <c r="KOT2" s="5" t="s">
        <v>409</v>
      </c>
      <c r="KOU2" s="5" t="s">
        <v>409</v>
      </c>
      <c r="KOV2" s="5" t="s">
        <v>409</v>
      </c>
      <c r="KOW2" s="5" t="s">
        <v>409</v>
      </c>
      <c r="KOX2" s="5" t="s">
        <v>409</v>
      </c>
      <c r="KOY2" s="5" t="s">
        <v>409</v>
      </c>
      <c r="KOZ2" s="5" t="s">
        <v>409</v>
      </c>
      <c r="KPA2" s="5" t="s">
        <v>409</v>
      </c>
      <c r="KPB2" s="5" t="s">
        <v>409</v>
      </c>
      <c r="KPC2" s="5" t="s">
        <v>409</v>
      </c>
      <c r="KPD2" s="5" t="s">
        <v>409</v>
      </c>
      <c r="KPE2" s="5" t="s">
        <v>409</v>
      </c>
      <c r="KPF2" s="5" t="s">
        <v>409</v>
      </c>
      <c r="KPG2" s="5" t="s">
        <v>409</v>
      </c>
      <c r="KPH2" s="5" t="s">
        <v>409</v>
      </c>
      <c r="KPI2" s="5" t="s">
        <v>409</v>
      </c>
      <c r="KPJ2" s="5" t="s">
        <v>409</v>
      </c>
      <c r="KPK2" s="5" t="s">
        <v>409</v>
      </c>
      <c r="KPL2" s="5" t="s">
        <v>409</v>
      </c>
      <c r="KPM2" s="5" t="s">
        <v>409</v>
      </c>
      <c r="KPN2" s="5" t="s">
        <v>409</v>
      </c>
      <c r="KPO2" s="5" t="s">
        <v>409</v>
      </c>
      <c r="KPP2" s="5" t="s">
        <v>409</v>
      </c>
      <c r="KPQ2" s="5" t="s">
        <v>409</v>
      </c>
      <c r="KPR2" s="5" t="s">
        <v>409</v>
      </c>
      <c r="KPS2" s="5" t="s">
        <v>409</v>
      </c>
      <c r="KPT2" s="5" t="s">
        <v>409</v>
      </c>
      <c r="KPU2" s="5" t="s">
        <v>409</v>
      </c>
      <c r="KPV2" s="5" t="s">
        <v>409</v>
      </c>
      <c r="KPW2" s="5" t="s">
        <v>409</v>
      </c>
      <c r="KPX2" s="5" t="s">
        <v>409</v>
      </c>
      <c r="KPY2" s="5" t="s">
        <v>409</v>
      </c>
      <c r="KPZ2" s="5" t="s">
        <v>409</v>
      </c>
      <c r="KQA2" s="5" t="s">
        <v>409</v>
      </c>
      <c r="KQB2" s="5" t="s">
        <v>409</v>
      </c>
      <c r="KQC2" s="5" t="s">
        <v>409</v>
      </c>
      <c r="KQD2" s="5" t="s">
        <v>409</v>
      </c>
      <c r="KQE2" s="5" t="s">
        <v>409</v>
      </c>
      <c r="KQF2" s="5" t="s">
        <v>409</v>
      </c>
      <c r="KQG2" s="5" t="s">
        <v>409</v>
      </c>
      <c r="KQH2" s="5" t="s">
        <v>409</v>
      </c>
      <c r="KQI2" s="5" t="s">
        <v>409</v>
      </c>
      <c r="KQJ2" s="5" t="s">
        <v>409</v>
      </c>
      <c r="KQK2" s="5" t="s">
        <v>409</v>
      </c>
      <c r="KQL2" s="5" t="s">
        <v>409</v>
      </c>
      <c r="KQM2" s="5" t="s">
        <v>409</v>
      </c>
      <c r="KQN2" s="5" t="s">
        <v>409</v>
      </c>
      <c r="KQO2" s="5" t="s">
        <v>409</v>
      </c>
      <c r="KQP2" s="5" t="s">
        <v>409</v>
      </c>
      <c r="KQQ2" s="5" t="s">
        <v>409</v>
      </c>
      <c r="KQR2" s="5" t="s">
        <v>409</v>
      </c>
      <c r="KQS2" s="5" t="s">
        <v>409</v>
      </c>
      <c r="KQT2" s="5" t="s">
        <v>409</v>
      </c>
      <c r="KQU2" s="5" t="s">
        <v>409</v>
      </c>
      <c r="KQV2" s="5" t="s">
        <v>409</v>
      </c>
      <c r="KQW2" s="5" t="s">
        <v>409</v>
      </c>
      <c r="KQX2" s="5" t="s">
        <v>409</v>
      </c>
      <c r="KQY2" s="5" t="s">
        <v>409</v>
      </c>
      <c r="KQZ2" s="5" t="s">
        <v>409</v>
      </c>
      <c r="KRA2" s="5" t="s">
        <v>409</v>
      </c>
      <c r="KRB2" s="5" t="s">
        <v>409</v>
      </c>
      <c r="KRC2" s="5" t="s">
        <v>409</v>
      </c>
      <c r="KRD2" s="5" t="s">
        <v>409</v>
      </c>
      <c r="KRE2" s="5" t="s">
        <v>409</v>
      </c>
      <c r="KRF2" s="5" t="s">
        <v>409</v>
      </c>
      <c r="KRG2" s="5" t="s">
        <v>409</v>
      </c>
      <c r="KRH2" s="5" t="s">
        <v>409</v>
      </c>
      <c r="KRI2" s="5" t="s">
        <v>409</v>
      </c>
      <c r="KRJ2" s="5" t="s">
        <v>409</v>
      </c>
      <c r="KRK2" s="5" t="s">
        <v>409</v>
      </c>
      <c r="KRL2" s="5" t="s">
        <v>409</v>
      </c>
      <c r="KRM2" s="5" t="s">
        <v>409</v>
      </c>
      <c r="KRN2" s="5" t="s">
        <v>409</v>
      </c>
      <c r="KRO2" s="5" t="s">
        <v>409</v>
      </c>
      <c r="KRP2" s="5" t="s">
        <v>409</v>
      </c>
      <c r="KRQ2" s="5" t="s">
        <v>409</v>
      </c>
      <c r="KRR2" s="5" t="s">
        <v>409</v>
      </c>
      <c r="KRS2" s="5" t="s">
        <v>409</v>
      </c>
      <c r="KRT2" s="5" t="s">
        <v>409</v>
      </c>
      <c r="KRU2" s="5" t="s">
        <v>409</v>
      </c>
      <c r="KRV2" s="5" t="s">
        <v>409</v>
      </c>
      <c r="KRW2" s="5" t="s">
        <v>409</v>
      </c>
      <c r="KRX2" s="5" t="s">
        <v>409</v>
      </c>
      <c r="KRY2" s="5" t="s">
        <v>409</v>
      </c>
      <c r="KRZ2" s="5" t="s">
        <v>409</v>
      </c>
      <c r="KSA2" s="5" t="s">
        <v>409</v>
      </c>
      <c r="KSB2" s="5" t="s">
        <v>409</v>
      </c>
      <c r="KSC2" s="5" t="s">
        <v>409</v>
      </c>
      <c r="KSD2" s="5" t="s">
        <v>409</v>
      </c>
      <c r="KSE2" s="5" t="s">
        <v>409</v>
      </c>
      <c r="KSF2" s="5" t="s">
        <v>409</v>
      </c>
      <c r="KSG2" s="5" t="s">
        <v>409</v>
      </c>
      <c r="KSH2" s="5" t="s">
        <v>409</v>
      </c>
      <c r="KSI2" s="5" t="s">
        <v>409</v>
      </c>
      <c r="KSJ2" s="5" t="s">
        <v>409</v>
      </c>
      <c r="KSK2" s="5" t="s">
        <v>409</v>
      </c>
      <c r="KSL2" s="5" t="s">
        <v>409</v>
      </c>
      <c r="KSM2" s="5" t="s">
        <v>409</v>
      </c>
      <c r="KSN2" s="5" t="s">
        <v>409</v>
      </c>
      <c r="KSO2" s="5" t="s">
        <v>409</v>
      </c>
      <c r="KSP2" s="5" t="s">
        <v>409</v>
      </c>
      <c r="KSQ2" s="5" t="s">
        <v>409</v>
      </c>
      <c r="KSR2" s="5" t="s">
        <v>409</v>
      </c>
      <c r="KSS2" s="5" t="s">
        <v>409</v>
      </c>
      <c r="KST2" s="5" t="s">
        <v>409</v>
      </c>
      <c r="KSU2" s="5" t="s">
        <v>409</v>
      </c>
      <c r="KSV2" s="5" t="s">
        <v>409</v>
      </c>
      <c r="KSW2" s="5" t="s">
        <v>409</v>
      </c>
      <c r="KSX2" s="5" t="s">
        <v>409</v>
      </c>
      <c r="KSY2" s="5" t="s">
        <v>409</v>
      </c>
      <c r="KSZ2" s="5" t="s">
        <v>409</v>
      </c>
      <c r="KTA2" s="5" t="s">
        <v>409</v>
      </c>
      <c r="KTB2" s="5" t="s">
        <v>409</v>
      </c>
      <c r="KTC2" s="5" t="s">
        <v>409</v>
      </c>
      <c r="KTD2" s="5" t="s">
        <v>409</v>
      </c>
      <c r="KTE2" s="5" t="s">
        <v>409</v>
      </c>
      <c r="KTF2" s="5" t="s">
        <v>409</v>
      </c>
      <c r="KTG2" s="5" t="s">
        <v>409</v>
      </c>
      <c r="KTH2" s="5" t="s">
        <v>409</v>
      </c>
      <c r="KTI2" s="5" t="s">
        <v>409</v>
      </c>
      <c r="KTJ2" s="5" t="s">
        <v>409</v>
      </c>
      <c r="KTK2" s="5" t="s">
        <v>409</v>
      </c>
      <c r="KTL2" s="5" t="s">
        <v>409</v>
      </c>
      <c r="KTM2" s="5" t="s">
        <v>409</v>
      </c>
      <c r="KTN2" s="5" t="s">
        <v>409</v>
      </c>
      <c r="KTO2" s="5" t="s">
        <v>409</v>
      </c>
      <c r="KTP2" s="5" t="s">
        <v>409</v>
      </c>
      <c r="KTQ2" s="5" t="s">
        <v>409</v>
      </c>
      <c r="KTR2" s="5" t="s">
        <v>409</v>
      </c>
      <c r="KTS2" s="5" t="s">
        <v>409</v>
      </c>
      <c r="KTT2" s="5" t="s">
        <v>409</v>
      </c>
      <c r="KTU2" s="5" t="s">
        <v>409</v>
      </c>
      <c r="KTV2" s="5" t="s">
        <v>409</v>
      </c>
      <c r="KTW2" s="5" t="s">
        <v>409</v>
      </c>
      <c r="KTX2" s="5" t="s">
        <v>409</v>
      </c>
      <c r="KTY2" s="5" t="s">
        <v>409</v>
      </c>
      <c r="KTZ2" s="5" t="s">
        <v>409</v>
      </c>
      <c r="KUA2" s="5" t="s">
        <v>409</v>
      </c>
      <c r="KUB2" s="5" t="s">
        <v>409</v>
      </c>
      <c r="KUC2" s="5" t="s">
        <v>409</v>
      </c>
      <c r="KUD2" s="5" t="s">
        <v>409</v>
      </c>
      <c r="KUE2" s="5" t="s">
        <v>409</v>
      </c>
      <c r="KUF2" s="5" t="s">
        <v>409</v>
      </c>
      <c r="KUG2" s="5" t="s">
        <v>409</v>
      </c>
      <c r="KUH2" s="5" t="s">
        <v>409</v>
      </c>
      <c r="KUI2" s="5" t="s">
        <v>409</v>
      </c>
      <c r="KUJ2" s="5" t="s">
        <v>409</v>
      </c>
      <c r="KUK2" s="5" t="s">
        <v>409</v>
      </c>
      <c r="KUL2" s="5" t="s">
        <v>409</v>
      </c>
      <c r="KUM2" s="5" t="s">
        <v>409</v>
      </c>
      <c r="KUN2" s="5" t="s">
        <v>409</v>
      </c>
      <c r="KUO2" s="5" t="s">
        <v>409</v>
      </c>
      <c r="KUP2" s="5" t="s">
        <v>409</v>
      </c>
      <c r="KUQ2" s="5" t="s">
        <v>409</v>
      </c>
      <c r="KUR2" s="5" t="s">
        <v>409</v>
      </c>
      <c r="KUS2" s="5" t="s">
        <v>409</v>
      </c>
      <c r="KUT2" s="5" t="s">
        <v>409</v>
      </c>
      <c r="KUU2" s="5" t="s">
        <v>409</v>
      </c>
      <c r="KUV2" s="5" t="s">
        <v>409</v>
      </c>
      <c r="KUW2" s="5" t="s">
        <v>409</v>
      </c>
      <c r="KUX2" s="5" t="s">
        <v>409</v>
      </c>
      <c r="KUY2" s="5" t="s">
        <v>409</v>
      </c>
      <c r="KUZ2" s="5" t="s">
        <v>409</v>
      </c>
      <c r="KVA2" s="5" t="s">
        <v>409</v>
      </c>
      <c r="KVB2" s="5" t="s">
        <v>409</v>
      </c>
      <c r="KVC2" s="5" t="s">
        <v>409</v>
      </c>
      <c r="KVD2" s="5" t="s">
        <v>409</v>
      </c>
      <c r="KVE2" s="5" t="s">
        <v>409</v>
      </c>
      <c r="KVF2" s="5" t="s">
        <v>409</v>
      </c>
      <c r="KVG2" s="5" t="s">
        <v>409</v>
      </c>
      <c r="KVH2" s="5" t="s">
        <v>409</v>
      </c>
      <c r="KVI2" s="5" t="s">
        <v>409</v>
      </c>
      <c r="KVJ2" s="5" t="s">
        <v>409</v>
      </c>
      <c r="KVK2" s="5" t="s">
        <v>409</v>
      </c>
      <c r="KVL2" s="5" t="s">
        <v>409</v>
      </c>
      <c r="KVM2" s="5" t="s">
        <v>409</v>
      </c>
      <c r="KVN2" s="5" t="s">
        <v>409</v>
      </c>
      <c r="KVO2" s="5" t="s">
        <v>409</v>
      </c>
      <c r="KVP2" s="5" t="s">
        <v>409</v>
      </c>
      <c r="KVQ2" s="5" t="s">
        <v>409</v>
      </c>
      <c r="KVR2" s="5" t="s">
        <v>409</v>
      </c>
      <c r="KVS2" s="5" t="s">
        <v>409</v>
      </c>
      <c r="KVT2" s="5" t="s">
        <v>409</v>
      </c>
      <c r="KVU2" s="5" t="s">
        <v>409</v>
      </c>
      <c r="KVV2" s="5" t="s">
        <v>409</v>
      </c>
      <c r="KVW2" s="5" t="s">
        <v>409</v>
      </c>
      <c r="KVX2" s="5" t="s">
        <v>409</v>
      </c>
      <c r="KVY2" s="5" t="s">
        <v>409</v>
      </c>
      <c r="KVZ2" s="5" t="s">
        <v>409</v>
      </c>
      <c r="KWA2" s="5" t="s">
        <v>409</v>
      </c>
      <c r="KWB2" s="5" t="s">
        <v>409</v>
      </c>
      <c r="KWC2" s="5" t="s">
        <v>409</v>
      </c>
      <c r="KWD2" s="5" t="s">
        <v>409</v>
      </c>
      <c r="KWE2" s="5" t="s">
        <v>409</v>
      </c>
      <c r="KWF2" s="5" t="s">
        <v>409</v>
      </c>
      <c r="KWG2" s="5" t="s">
        <v>409</v>
      </c>
      <c r="KWH2" s="5" t="s">
        <v>409</v>
      </c>
      <c r="KWI2" s="5" t="s">
        <v>409</v>
      </c>
      <c r="KWJ2" s="5" t="s">
        <v>409</v>
      </c>
      <c r="KWK2" s="5" t="s">
        <v>409</v>
      </c>
      <c r="KWL2" s="5" t="s">
        <v>409</v>
      </c>
      <c r="KWM2" s="5" t="s">
        <v>409</v>
      </c>
      <c r="KWN2" s="5" t="s">
        <v>409</v>
      </c>
      <c r="KWO2" s="5" t="s">
        <v>409</v>
      </c>
      <c r="KWP2" s="5" t="s">
        <v>409</v>
      </c>
      <c r="KWQ2" s="5" t="s">
        <v>409</v>
      </c>
      <c r="KWR2" s="5" t="s">
        <v>409</v>
      </c>
      <c r="KWS2" s="5" t="s">
        <v>409</v>
      </c>
      <c r="KWT2" s="5" t="s">
        <v>409</v>
      </c>
      <c r="KWU2" s="5" t="s">
        <v>409</v>
      </c>
      <c r="KWV2" s="5" t="s">
        <v>409</v>
      </c>
      <c r="KWW2" s="5" t="s">
        <v>409</v>
      </c>
      <c r="KWX2" s="5" t="s">
        <v>409</v>
      </c>
      <c r="KWY2" s="5" t="s">
        <v>409</v>
      </c>
      <c r="KWZ2" s="5" t="s">
        <v>409</v>
      </c>
      <c r="KXA2" s="5" t="s">
        <v>409</v>
      </c>
      <c r="KXB2" s="5" t="s">
        <v>409</v>
      </c>
      <c r="KXC2" s="5" t="s">
        <v>409</v>
      </c>
      <c r="KXD2" s="5" t="s">
        <v>409</v>
      </c>
      <c r="KXE2" s="5" t="s">
        <v>409</v>
      </c>
      <c r="KXF2" s="5" t="s">
        <v>409</v>
      </c>
      <c r="KXG2" s="5" t="s">
        <v>409</v>
      </c>
      <c r="KXH2" s="5" t="s">
        <v>409</v>
      </c>
      <c r="KXI2" s="5" t="s">
        <v>409</v>
      </c>
      <c r="KXJ2" s="5" t="s">
        <v>409</v>
      </c>
      <c r="KXK2" s="5" t="s">
        <v>409</v>
      </c>
      <c r="KXL2" s="5" t="s">
        <v>409</v>
      </c>
      <c r="KXM2" s="5" t="s">
        <v>409</v>
      </c>
      <c r="KXN2" s="5" t="s">
        <v>409</v>
      </c>
      <c r="KXO2" s="5" t="s">
        <v>409</v>
      </c>
      <c r="KXP2" s="5" t="s">
        <v>409</v>
      </c>
      <c r="KXQ2" s="5" t="s">
        <v>409</v>
      </c>
      <c r="KXR2" s="5" t="s">
        <v>409</v>
      </c>
      <c r="KXS2" s="5" t="s">
        <v>409</v>
      </c>
      <c r="KXT2" s="5" t="s">
        <v>409</v>
      </c>
      <c r="KXU2" s="5" t="s">
        <v>409</v>
      </c>
      <c r="KXV2" s="5" t="s">
        <v>409</v>
      </c>
      <c r="KXW2" s="5" t="s">
        <v>409</v>
      </c>
      <c r="KXX2" s="5" t="s">
        <v>409</v>
      </c>
      <c r="KXY2" s="5" t="s">
        <v>409</v>
      </c>
      <c r="KXZ2" s="5" t="s">
        <v>409</v>
      </c>
      <c r="KYA2" s="5" t="s">
        <v>409</v>
      </c>
      <c r="KYB2" s="5" t="s">
        <v>409</v>
      </c>
      <c r="KYC2" s="5" t="s">
        <v>409</v>
      </c>
      <c r="KYD2" s="5" t="s">
        <v>409</v>
      </c>
      <c r="KYE2" s="5" t="s">
        <v>409</v>
      </c>
      <c r="KYF2" s="5" t="s">
        <v>409</v>
      </c>
      <c r="KYG2" s="5" t="s">
        <v>409</v>
      </c>
      <c r="KYH2" s="5" t="s">
        <v>409</v>
      </c>
      <c r="KYI2" s="5" t="s">
        <v>409</v>
      </c>
      <c r="KYJ2" s="5" t="s">
        <v>409</v>
      </c>
      <c r="KYK2" s="5" t="s">
        <v>409</v>
      </c>
      <c r="KYL2" s="5" t="s">
        <v>409</v>
      </c>
      <c r="KYM2" s="5" t="s">
        <v>409</v>
      </c>
      <c r="KYN2" s="5" t="s">
        <v>409</v>
      </c>
      <c r="KYO2" s="5" t="s">
        <v>409</v>
      </c>
      <c r="KYP2" s="5" t="s">
        <v>409</v>
      </c>
      <c r="KYQ2" s="5" t="s">
        <v>409</v>
      </c>
      <c r="KYR2" s="5" t="s">
        <v>409</v>
      </c>
      <c r="KYS2" s="5" t="s">
        <v>409</v>
      </c>
      <c r="KYT2" s="5" t="s">
        <v>409</v>
      </c>
      <c r="KYU2" s="5" t="s">
        <v>409</v>
      </c>
      <c r="KYV2" s="5" t="s">
        <v>409</v>
      </c>
      <c r="KYW2" s="5" t="s">
        <v>409</v>
      </c>
      <c r="KYX2" s="5" t="s">
        <v>409</v>
      </c>
      <c r="KYY2" s="5" t="s">
        <v>409</v>
      </c>
      <c r="KYZ2" s="5" t="s">
        <v>409</v>
      </c>
      <c r="KZA2" s="5" t="s">
        <v>409</v>
      </c>
      <c r="KZB2" s="5" t="s">
        <v>409</v>
      </c>
      <c r="KZC2" s="5" t="s">
        <v>409</v>
      </c>
      <c r="KZD2" s="5" t="s">
        <v>409</v>
      </c>
      <c r="KZE2" s="5" t="s">
        <v>409</v>
      </c>
      <c r="KZF2" s="5" t="s">
        <v>409</v>
      </c>
      <c r="KZG2" s="5" t="s">
        <v>409</v>
      </c>
      <c r="KZH2" s="5" t="s">
        <v>409</v>
      </c>
      <c r="KZI2" s="5" t="s">
        <v>409</v>
      </c>
      <c r="KZJ2" s="5" t="s">
        <v>409</v>
      </c>
      <c r="KZK2" s="5" t="s">
        <v>409</v>
      </c>
      <c r="KZL2" s="5" t="s">
        <v>409</v>
      </c>
      <c r="KZM2" s="5" t="s">
        <v>409</v>
      </c>
      <c r="KZN2" s="5" t="s">
        <v>409</v>
      </c>
      <c r="KZO2" s="5" t="s">
        <v>409</v>
      </c>
      <c r="KZP2" s="5" t="s">
        <v>409</v>
      </c>
      <c r="KZQ2" s="5" t="s">
        <v>409</v>
      </c>
      <c r="KZR2" s="5" t="s">
        <v>409</v>
      </c>
      <c r="KZS2" s="5" t="s">
        <v>409</v>
      </c>
      <c r="KZT2" s="5" t="s">
        <v>409</v>
      </c>
      <c r="KZU2" s="5" t="s">
        <v>409</v>
      </c>
      <c r="KZV2" s="5" t="s">
        <v>409</v>
      </c>
      <c r="KZW2" s="5" t="s">
        <v>409</v>
      </c>
      <c r="KZX2" s="5" t="s">
        <v>409</v>
      </c>
      <c r="KZY2" s="5" t="s">
        <v>409</v>
      </c>
      <c r="KZZ2" s="5" t="s">
        <v>409</v>
      </c>
      <c r="LAA2" s="5" t="s">
        <v>409</v>
      </c>
      <c r="LAB2" s="5" t="s">
        <v>409</v>
      </c>
      <c r="LAC2" s="5" t="s">
        <v>409</v>
      </c>
      <c r="LAD2" s="5" t="s">
        <v>409</v>
      </c>
      <c r="LAE2" s="5" t="s">
        <v>409</v>
      </c>
      <c r="LAF2" s="5" t="s">
        <v>409</v>
      </c>
      <c r="LAG2" s="5" t="s">
        <v>409</v>
      </c>
      <c r="LAH2" s="5" t="s">
        <v>409</v>
      </c>
      <c r="LAI2" s="5" t="s">
        <v>409</v>
      </c>
      <c r="LAJ2" s="5" t="s">
        <v>409</v>
      </c>
      <c r="LAK2" s="5" t="s">
        <v>409</v>
      </c>
      <c r="LAL2" s="5" t="s">
        <v>409</v>
      </c>
      <c r="LAM2" s="5" t="s">
        <v>409</v>
      </c>
      <c r="LAN2" s="5" t="s">
        <v>409</v>
      </c>
      <c r="LAO2" s="5" t="s">
        <v>409</v>
      </c>
      <c r="LAP2" s="5" t="s">
        <v>409</v>
      </c>
      <c r="LAQ2" s="5" t="s">
        <v>409</v>
      </c>
      <c r="LAR2" s="5" t="s">
        <v>409</v>
      </c>
      <c r="LAS2" s="5" t="s">
        <v>409</v>
      </c>
      <c r="LAT2" s="5" t="s">
        <v>409</v>
      </c>
      <c r="LAU2" s="5" t="s">
        <v>409</v>
      </c>
      <c r="LAV2" s="5" t="s">
        <v>409</v>
      </c>
      <c r="LAW2" s="5" t="s">
        <v>409</v>
      </c>
      <c r="LAX2" s="5" t="s">
        <v>409</v>
      </c>
      <c r="LAY2" s="5" t="s">
        <v>409</v>
      </c>
      <c r="LAZ2" s="5" t="s">
        <v>409</v>
      </c>
      <c r="LBA2" s="5" t="s">
        <v>409</v>
      </c>
      <c r="LBB2" s="5" t="s">
        <v>409</v>
      </c>
      <c r="LBC2" s="5" t="s">
        <v>409</v>
      </c>
      <c r="LBD2" s="5" t="s">
        <v>409</v>
      </c>
      <c r="LBE2" s="5" t="s">
        <v>409</v>
      </c>
      <c r="LBF2" s="5" t="s">
        <v>409</v>
      </c>
      <c r="LBG2" s="5" t="s">
        <v>409</v>
      </c>
      <c r="LBH2" s="5" t="s">
        <v>409</v>
      </c>
      <c r="LBI2" s="5" t="s">
        <v>409</v>
      </c>
      <c r="LBJ2" s="5" t="s">
        <v>409</v>
      </c>
      <c r="LBK2" s="5" t="s">
        <v>409</v>
      </c>
      <c r="LBL2" s="5" t="s">
        <v>409</v>
      </c>
      <c r="LBM2" s="5" t="s">
        <v>409</v>
      </c>
      <c r="LBN2" s="5" t="s">
        <v>409</v>
      </c>
      <c r="LBO2" s="5" t="s">
        <v>409</v>
      </c>
      <c r="LBP2" s="5" t="s">
        <v>409</v>
      </c>
      <c r="LBQ2" s="5" t="s">
        <v>409</v>
      </c>
      <c r="LBR2" s="5" t="s">
        <v>409</v>
      </c>
      <c r="LBS2" s="5" t="s">
        <v>409</v>
      </c>
      <c r="LBT2" s="5" t="s">
        <v>409</v>
      </c>
      <c r="LBU2" s="5" t="s">
        <v>409</v>
      </c>
      <c r="LBV2" s="5" t="s">
        <v>409</v>
      </c>
      <c r="LBW2" s="5" t="s">
        <v>409</v>
      </c>
      <c r="LBX2" s="5" t="s">
        <v>409</v>
      </c>
      <c r="LBY2" s="5" t="s">
        <v>409</v>
      </c>
      <c r="LBZ2" s="5" t="s">
        <v>409</v>
      </c>
      <c r="LCA2" s="5" t="s">
        <v>409</v>
      </c>
      <c r="LCB2" s="5" t="s">
        <v>409</v>
      </c>
      <c r="LCC2" s="5" t="s">
        <v>409</v>
      </c>
      <c r="LCD2" s="5" t="s">
        <v>409</v>
      </c>
      <c r="LCE2" s="5" t="s">
        <v>409</v>
      </c>
      <c r="LCF2" s="5" t="s">
        <v>409</v>
      </c>
      <c r="LCG2" s="5" t="s">
        <v>409</v>
      </c>
      <c r="LCH2" s="5" t="s">
        <v>409</v>
      </c>
      <c r="LCI2" s="5" t="s">
        <v>409</v>
      </c>
      <c r="LCJ2" s="5" t="s">
        <v>409</v>
      </c>
      <c r="LCK2" s="5" t="s">
        <v>409</v>
      </c>
      <c r="LCL2" s="5" t="s">
        <v>409</v>
      </c>
      <c r="LCM2" s="5" t="s">
        <v>409</v>
      </c>
      <c r="LCN2" s="5" t="s">
        <v>409</v>
      </c>
      <c r="LCO2" s="5" t="s">
        <v>409</v>
      </c>
      <c r="LCP2" s="5" t="s">
        <v>409</v>
      </c>
      <c r="LCQ2" s="5" t="s">
        <v>409</v>
      </c>
      <c r="LCR2" s="5" t="s">
        <v>409</v>
      </c>
      <c r="LCS2" s="5" t="s">
        <v>409</v>
      </c>
      <c r="LCT2" s="5" t="s">
        <v>409</v>
      </c>
      <c r="LCU2" s="5" t="s">
        <v>409</v>
      </c>
      <c r="LCV2" s="5" t="s">
        <v>409</v>
      </c>
      <c r="LCW2" s="5" t="s">
        <v>409</v>
      </c>
      <c r="LCX2" s="5" t="s">
        <v>409</v>
      </c>
      <c r="LCY2" s="5" t="s">
        <v>409</v>
      </c>
      <c r="LCZ2" s="5" t="s">
        <v>409</v>
      </c>
      <c r="LDA2" s="5" t="s">
        <v>409</v>
      </c>
      <c r="LDB2" s="5" t="s">
        <v>409</v>
      </c>
      <c r="LDC2" s="5" t="s">
        <v>409</v>
      </c>
      <c r="LDD2" s="5" t="s">
        <v>409</v>
      </c>
      <c r="LDE2" s="5" t="s">
        <v>409</v>
      </c>
      <c r="LDF2" s="5" t="s">
        <v>409</v>
      </c>
      <c r="LDG2" s="5" t="s">
        <v>409</v>
      </c>
      <c r="LDH2" s="5" t="s">
        <v>409</v>
      </c>
      <c r="LDI2" s="5" t="s">
        <v>409</v>
      </c>
      <c r="LDJ2" s="5" t="s">
        <v>409</v>
      </c>
      <c r="LDK2" s="5" t="s">
        <v>409</v>
      </c>
      <c r="LDL2" s="5" t="s">
        <v>409</v>
      </c>
      <c r="LDM2" s="5" t="s">
        <v>409</v>
      </c>
      <c r="LDN2" s="5" t="s">
        <v>409</v>
      </c>
      <c r="LDO2" s="5" t="s">
        <v>409</v>
      </c>
      <c r="LDP2" s="5" t="s">
        <v>409</v>
      </c>
      <c r="LDQ2" s="5" t="s">
        <v>409</v>
      </c>
      <c r="LDR2" s="5" t="s">
        <v>409</v>
      </c>
      <c r="LDS2" s="5" t="s">
        <v>409</v>
      </c>
      <c r="LDT2" s="5" t="s">
        <v>409</v>
      </c>
      <c r="LDU2" s="5" t="s">
        <v>409</v>
      </c>
      <c r="LDV2" s="5" t="s">
        <v>409</v>
      </c>
      <c r="LDW2" s="5" t="s">
        <v>409</v>
      </c>
      <c r="LDX2" s="5" t="s">
        <v>409</v>
      </c>
      <c r="LDY2" s="5" t="s">
        <v>409</v>
      </c>
      <c r="LDZ2" s="5" t="s">
        <v>409</v>
      </c>
      <c r="LEA2" s="5" t="s">
        <v>409</v>
      </c>
      <c r="LEB2" s="5" t="s">
        <v>409</v>
      </c>
      <c r="LEC2" s="5" t="s">
        <v>409</v>
      </c>
      <c r="LED2" s="5" t="s">
        <v>409</v>
      </c>
      <c r="LEE2" s="5" t="s">
        <v>409</v>
      </c>
      <c r="LEF2" s="5" t="s">
        <v>409</v>
      </c>
      <c r="LEG2" s="5" t="s">
        <v>409</v>
      </c>
      <c r="LEH2" s="5" t="s">
        <v>409</v>
      </c>
      <c r="LEI2" s="5" t="s">
        <v>409</v>
      </c>
      <c r="LEJ2" s="5" t="s">
        <v>409</v>
      </c>
      <c r="LEK2" s="5" t="s">
        <v>409</v>
      </c>
      <c r="LEL2" s="5" t="s">
        <v>409</v>
      </c>
      <c r="LEM2" s="5" t="s">
        <v>409</v>
      </c>
      <c r="LEN2" s="5" t="s">
        <v>409</v>
      </c>
      <c r="LEO2" s="5" t="s">
        <v>409</v>
      </c>
      <c r="LEP2" s="5" t="s">
        <v>409</v>
      </c>
      <c r="LEQ2" s="5" t="s">
        <v>409</v>
      </c>
      <c r="LER2" s="5" t="s">
        <v>409</v>
      </c>
      <c r="LES2" s="5" t="s">
        <v>409</v>
      </c>
      <c r="LET2" s="5" t="s">
        <v>409</v>
      </c>
      <c r="LEU2" s="5" t="s">
        <v>409</v>
      </c>
      <c r="LEV2" s="5" t="s">
        <v>409</v>
      </c>
      <c r="LEW2" s="5" t="s">
        <v>409</v>
      </c>
      <c r="LEX2" s="5" t="s">
        <v>409</v>
      </c>
      <c r="LEY2" s="5" t="s">
        <v>409</v>
      </c>
      <c r="LEZ2" s="5" t="s">
        <v>409</v>
      </c>
      <c r="LFA2" s="5" t="s">
        <v>409</v>
      </c>
      <c r="LFB2" s="5" t="s">
        <v>409</v>
      </c>
      <c r="LFC2" s="5" t="s">
        <v>409</v>
      </c>
      <c r="LFD2" s="5" t="s">
        <v>409</v>
      </c>
      <c r="LFE2" s="5" t="s">
        <v>409</v>
      </c>
      <c r="LFF2" s="5" t="s">
        <v>409</v>
      </c>
      <c r="LFG2" s="5" t="s">
        <v>409</v>
      </c>
      <c r="LFH2" s="5" t="s">
        <v>409</v>
      </c>
      <c r="LFI2" s="5" t="s">
        <v>409</v>
      </c>
      <c r="LFJ2" s="5" t="s">
        <v>409</v>
      </c>
      <c r="LFK2" s="5" t="s">
        <v>409</v>
      </c>
      <c r="LFL2" s="5" t="s">
        <v>409</v>
      </c>
      <c r="LFM2" s="5" t="s">
        <v>409</v>
      </c>
      <c r="LFN2" s="5" t="s">
        <v>409</v>
      </c>
      <c r="LFO2" s="5" t="s">
        <v>409</v>
      </c>
      <c r="LFP2" s="5" t="s">
        <v>409</v>
      </c>
      <c r="LFQ2" s="5" t="s">
        <v>409</v>
      </c>
      <c r="LFR2" s="5" t="s">
        <v>409</v>
      </c>
      <c r="LFS2" s="5" t="s">
        <v>409</v>
      </c>
      <c r="LFT2" s="5" t="s">
        <v>409</v>
      </c>
      <c r="LFU2" s="5" t="s">
        <v>409</v>
      </c>
      <c r="LFV2" s="5" t="s">
        <v>409</v>
      </c>
      <c r="LFW2" s="5" t="s">
        <v>409</v>
      </c>
      <c r="LFX2" s="5" t="s">
        <v>409</v>
      </c>
      <c r="LFY2" s="5" t="s">
        <v>409</v>
      </c>
      <c r="LFZ2" s="5" t="s">
        <v>409</v>
      </c>
      <c r="LGA2" s="5" t="s">
        <v>409</v>
      </c>
      <c r="LGB2" s="5" t="s">
        <v>409</v>
      </c>
      <c r="LGC2" s="5" t="s">
        <v>409</v>
      </c>
      <c r="LGD2" s="5" t="s">
        <v>409</v>
      </c>
      <c r="LGE2" s="5" t="s">
        <v>409</v>
      </c>
      <c r="LGF2" s="5" t="s">
        <v>409</v>
      </c>
      <c r="LGG2" s="5" t="s">
        <v>409</v>
      </c>
      <c r="LGH2" s="5" t="s">
        <v>409</v>
      </c>
      <c r="LGI2" s="5" t="s">
        <v>409</v>
      </c>
      <c r="LGJ2" s="5" t="s">
        <v>409</v>
      </c>
      <c r="LGK2" s="5" t="s">
        <v>409</v>
      </c>
      <c r="LGL2" s="5" t="s">
        <v>409</v>
      </c>
      <c r="LGM2" s="5" t="s">
        <v>409</v>
      </c>
      <c r="LGN2" s="5" t="s">
        <v>409</v>
      </c>
      <c r="LGO2" s="5" t="s">
        <v>409</v>
      </c>
      <c r="LGP2" s="5" t="s">
        <v>409</v>
      </c>
      <c r="LGQ2" s="5" t="s">
        <v>409</v>
      </c>
      <c r="LGR2" s="5" t="s">
        <v>409</v>
      </c>
      <c r="LGS2" s="5" t="s">
        <v>409</v>
      </c>
      <c r="LGT2" s="5" t="s">
        <v>409</v>
      </c>
      <c r="LGU2" s="5" t="s">
        <v>409</v>
      </c>
      <c r="LGV2" s="5" t="s">
        <v>409</v>
      </c>
      <c r="LGW2" s="5" t="s">
        <v>409</v>
      </c>
      <c r="LGX2" s="5" t="s">
        <v>409</v>
      </c>
      <c r="LGY2" s="5" t="s">
        <v>409</v>
      </c>
      <c r="LGZ2" s="5" t="s">
        <v>409</v>
      </c>
      <c r="LHA2" s="5" t="s">
        <v>409</v>
      </c>
      <c r="LHB2" s="5" t="s">
        <v>409</v>
      </c>
      <c r="LHC2" s="5" t="s">
        <v>409</v>
      </c>
      <c r="LHD2" s="5" t="s">
        <v>409</v>
      </c>
      <c r="LHE2" s="5" t="s">
        <v>409</v>
      </c>
      <c r="LHF2" s="5" t="s">
        <v>409</v>
      </c>
      <c r="LHG2" s="5" t="s">
        <v>409</v>
      </c>
      <c r="LHH2" s="5" t="s">
        <v>409</v>
      </c>
      <c r="LHI2" s="5" t="s">
        <v>409</v>
      </c>
      <c r="LHJ2" s="5" t="s">
        <v>409</v>
      </c>
      <c r="LHK2" s="5" t="s">
        <v>409</v>
      </c>
      <c r="LHL2" s="5" t="s">
        <v>409</v>
      </c>
      <c r="LHM2" s="5" t="s">
        <v>409</v>
      </c>
      <c r="LHN2" s="5" t="s">
        <v>409</v>
      </c>
      <c r="LHO2" s="5" t="s">
        <v>409</v>
      </c>
      <c r="LHP2" s="5" t="s">
        <v>409</v>
      </c>
      <c r="LHQ2" s="5" t="s">
        <v>409</v>
      </c>
      <c r="LHR2" s="5" t="s">
        <v>409</v>
      </c>
      <c r="LHS2" s="5" t="s">
        <v>409</v>
      </c>
      <c r="LHT2" s="5" t="s">
        <v>409</v>
      </c>
      <c r="LHU2" s="5" t="s">
        <v>409</v>
      </c>
      <c r="LHV2" s="5" t="s">
        <v>409</v>
      </c>
      <c r="LHW2" s="5" t="s">
        <v>409</v>
      </c>
      <c r="LHX2" s="5" t="s">
        <v>409</v>
      </c>
      <c r="LHY2" s="5" t="s">
        <v>409</v>
      </c>
      <c r="LHZ2" s="5" t="s">
        <v>409</v>
      </c>
      <c r="LIA2" s="5" t="s">
        <v>409</v>
      </c>
      <c r="LIB2" s="5" t="s">
        <v>409</v>
      </c>
      <c r="LIC2" s="5" t="s">
        <v>409</v>
      </c>
      <c r="LID2" s="5" t="s">
        <v>409</v>
      </c>
      <c r="LIE2" s="5" t="s">
        <v>409</v>
      </c>
      <c r="LIF2" s="5" t="s">
        <v>409</v>
      </c>
      <c r="LIG2" s="5" t="s">
        <v>409</v>
      </c>
      <c r="LIH2" s="5" t="s">
        <v>409</v>
      </c>
      <c r="LII2" s="5" t="s">
        <v>409</v>
      </c>
      <c r="LIJ2" s="5" t="s">
        <v>409</v>
      </c>
      <c r="LIK2" s="5" t="s">
        <v>409</v>
      </c>
      <c r="LIL2" s="5" t="s">
        <v>409</v>
      </c>
      <c r="LIM2" s="5" t="s">
        <v>409</v>
      </c>
      <c r="LIN2" s="5" t="s">
        <v>409</v>
      </c>
      <c r="LIO2" s="5" t="s">
        <v>409</v>
      </c>
      <c r="LIP2" s="5" t="s">
        <v>409</v>
      </c>
      <c r="LIQ2" s="5" t="s">
        <v>409</v>
      </c>
      <c r="LIR2" s="5" t="s">
        <v>409</v>
      </c>
      <c r="LIS2" s="5" t="s">
        <v>409</v>
      </c>
      <c r="LIT2" s="5" t="s">
        <v>409</v>
      </c>
      <c r="LIU2" s="5" t="s">
        <v>409</v>
      </c>
      <c r="LIV2" s="5" t="s">
        <v>409</v>
      </c>
      <c r="LIW2" s="5" t="s">
        <v>409</v>
      </c>
      <c r="LIX2" s="5" t="s">
        <v>409</v>
      </c>
      <c r="LIY2" s="5" t="s">
        <v>409</v>
      </c>
      <c r="LIZ2" s="5" t="s">
        <v>409</v>
      </c>
      <c r="LJA2" s="5" t="s">
        <v>409</v>
      </c>
      <c r="LJB2" s="5" t="s">
        <v>409</v>
      </c>
      <c r="LJC2" s="5" t="s">
        <v>409</v>
      </c>
      <c r="LJD2" s="5" t="s">
        <v>409</v>
      </c>
      <c r="LJE2" s="5" t="s">
        <v>409</v>
      </c>
      <c r="LJF2" s="5" t="s">
        <v>409</v>
      </c>
      <c r="LJG2" s="5" t="s">
        <v>409</v>
      </c>
      <c r="LJH2" s="5" t="s">
        <v>409</v>
      </c>
      <c r="LJI2" s="5" t="s">
        <v>409</v>
      </c>
      <c r="LJJ2" s="5" t="s">
        <v>409</v>
      </c>
      <c r="LJK2" s="5" t="s">
        <v>409</v>
      </c>
      <c r="LJL2" s="5" t="s">
        <v>409</v>
      </c>
      <c r="LJM2" s="5" t="s">
        <v>409</v>
      </c>
      <c r="LJN2" s="5" t="s">
        <v>409</v>
      </c>
      <c r="LJO2" s="5" t="s">
        <v>409</v>
      </c>
      <c r="LJP2" s="5" t="s">
        <v>409</v>
      </c>
      <c r="LJQ2" s="5" t="s">
        <v>409</v>
      </c>
      <c r="LJR2" s="5" t="s">
        <v>409</v>
      </c>
      <c r="LJS2" s="5" t="s">
        <v>409</v>
      </c>
      <c r="LJT2" s="5" t="s">
        <v>409</v>
      </c>
      <c r="LJU2" s="5" t="s">
        <v>409</v>
      </c>
      <c r="LJV2" s="5" t="s">
        <v>409</v>
      </c>
      <c r="LJW2" s="5" t="s">
        <v>409</v>
      </c>
      <c r="LJX2" s="5" t="s">
        <v>409</v>
      </c>
      <c r="LJY2" s="5" t="s">
        <v>409</v>
      </c>
      <c r="LJZ2" s="5" t="s">
        <v>409</v>
      </c>
      <c r="LKA2" s="5" t="s">
        <v>409</v>
      </c>
      <c r="LKB2" s="5" t="s">
        <v>409</v>
      </c>
      <c r="LKC2" s="5" t="s">
        <v>409</v>
      </c>
      <c r="LKD2" s="5" t="s">
        <v>409</v>
      </c>
      <c r="LKE2" s="5" t="s">
        <v>409</v>
      </c>
      <c r="LKF2" s="5" t="s">
        <v>409</v>
      </c>
      <c r="LKG2" s="5" t="s">
        <v>409</v>
      </c>
      <c r="LKH2" s="5" t="s">
        <v>409</v>
      </c>
      <c r="LKI2" s="5" t="s">
        <v>409</v>
      </c>
      <c r="LKJ2" s="5" t="s">
        <v>409</v>
      </c>
      <c r="LKK2" s="5" t="s">
        <v>409</v>
      </c>
      <c r="LKL2" s="5" t="s">
        <v>409</v>
      </c>
      <c r="LKM2" s="5" t="s">
        <v>409</v>
      </c>
      <c r="LKN2" s="5" t="s">
        <v>409</v>
      </c>
      <c r="LKO2" s="5" t="s">
        <v>409</v>
      </c>
      <c r="LKP2" s="5" t="s">
        <v>409</v>
      </c>
      <c r="LKQ2" s="5" t="s">
        <v>409</v>
      </c>
      <c r="LKR2" s="5" t="s">
        <v>409</v>
      </c>
      <c r="LKS2" s="5" t="s">
        <v>409</v>
      </c>
      <c r="LKT2" s="5" t="s">
        <v>409</v>
      </c>
      <c r="LKU2" s="5" t="s">
        <v>409</v>
      </c>
      <c r="LKV2" s="5" t="s">
        <v>409</v>
      </c>
      <c r="LKW2" s="5" t="s">
        <v>409</v>
      </c>
      <c r="LKX2" s="5" t="s">
        <v>409</v>
      </c>
      <c r="LKY2" s="5" t="s">
        <v>409</v>
      </c>
      <c r="LKZ2" s="5" t="s">
        <v>409</v>
      </c>
      <c r="LLA2" s="5" t="s">
        <v>409</v>
      </c>
      <c r="LLB2" s="5" t="s">
        <v>409</v>
      </c>
      <c r="LLC2" s="5" t="s">
        <v>409</v>
      </c>
      <c r="LLD2" s="5" t="s">
        <v>409</v>
      </c>
      <c r="LLE2" s="5" t="s">
        <v>409</v>
      </c>
      <c r="LLF2" s="5" t="s">
        <v>409</v>
      </c>
      <c r="LLG2" s="5" t="s">
        <v>409</v>
      </c>
      <c r="LLH2" s="5" t="s">
        <v>409</v>
      </c>
      <c r="LLI2" s="5" t="s">
        <v>409</v>
      </c>
      <c r="LLJ2" s="5" t="s">
        <v>409</v>
      </c>
      <c r="LLK2" s="5" t="s">
        <v>409</v>
      </c>
      <c r="LLL2" s="5" t="s">
        <v>409</v>
      </c>
      <c r="LLM2" s="5" t="s">
        <v>409</v>
      </c>
      <c r="LLN2" s="5" t="s">
        <v>409</v>
      </c>
      <c r="LLO2" s="5" t="s">
        <v>409</v>
      </c>
      <c r="LLP2" s="5" t="s">
        <v>409</v>
      </c>
      <c r="LLQ2" s="5" t="s">
        <v>409</v>
      </c>
      <c r="LLR2" s="5" t="s">
        <v>409</v>
      </c>
      <c r="LLS2" s="5" t="s">
        <v>409</v>
      </c>
      <c r="LLT2" s="5" t="s">
        <v>409</v>
      </c>
      <c r="LLU2" s="5" t="s">
        <v>409</v>
      </c>
      <c r="LLV2" s="5" t="s">
        <v>409</v>
      </c>
      <c r="LLW2" s="5" t="s">
        <v>409</v>
      </c>
      <c r="LLX2" s="5" t="s">
        <v>409</v>
      </c>
      <c r="LLY2" s="5" t="s">
        <v>409</v>
      </c>
      <c r="LLZ2" s="5" t="s">
        <v>409</v>
      </c>
      <c r="LMA2" s="5" t="s">
        <v>409</v>
      </c>
      <c r="LMB2" s="5" t="s">
        <v>409</v>
      </c>
      <c r="LMC2" s="5" t="s">
        <v>409</v>
      </c>
      <c r="LMD2" s="5" t="s">
        <v>409</v>
      </c>
      <c r="LME2" s="5" t="s">
        <v>409</v>
      </c>
      <c r="LMF2" s="5" t="s">
        <v>409</v>
      </c>
      <c r="LMG2" s="5" t="s">
        <v>409</v>
      </c>
      <c r="LMH2" s="5" t="s">
        <v>409</v>
      </c>
      <c r="LMI2" s="5" t="s">
        <v>409</v>
      </c>
      <c r="LMJ2" s="5" t="s">
        <v>409</v>
      </c>
      <c r="LMK2" s="5" t="s">
        <v>409</v>
      </c>
      <c r="LML2" s="5" t="s">
        <v>409</v>
      </c>
      <c r="LMM2" s="5" t="s">
        <v>409</v>
      </c>
      <c r="LMN2" s="5" t="s">
        <v>409</v>
      </c>
      <c r="LMO2" s="5" t="s">
        <v>409</v>
      </c>
      <c r="LMP2" s="5" t="s">
        <v>409</v>
      </c>
      <c r="LMQ2" s="5" t="s">
        <v>409</v>
      </c>
      <c r="LMR2" s="5" t="s">
        <v>409</v>
      </c>
      <c r="LMS2" s="5" t="s">
        <v>409</v>
      </c>
      <c r="LMT2" s="5" t="s">
        <v>409</v>
      </c>
      <c r="LMU2" s="5" t="s">
        <v>409</v>
      </c>
      <c r="LMV2" s="5" t="s">
        <v>409</v>
      </c>
      <c r="LMW2" s="5" t="s">
        <v>409</v>
      </c>
      <c r="LMX2" s="5" t="s">
        <v>409</v>
      </c>
      <c r="LMY2" s="5" t="s">
        <v>409</v>
      </c>
      <c r="LMZ2" s="5" t="s">
        <v>409</v>
      </c>
      <c r="LNA2" s="5" t="s">
        <v>409</v>
      </c>
      <c r="LNB2" s="5" t="s">
        <v>409</v>
      </c>
      <c r="LNC2" s="5" t="s">
        <v>409</v>
      </c>
      <c r="LND2" s="5" t="s">
        <v>409</v>
      </c>
      <c r="LNE2" s="5" t="s">
        <v>409</v>
      </c>
      <c r="LNF2" s="5" t="s">
        <v>409</v>
      </c>
      <c r="LNG2" s="5" t="s">
        <v>409</v>
      </c>
      <c r="LNH2" s="5" t="s">
        <v>409</v>
      </c>
      <c r="LNI2" s="5" t="s">
        <v>409</v>
      </c>
      <c r="LNJ2" s="5" t="s">
        <v>409</v>
      </c>
      <c r="LNK2" s="5" t="s">
        <v>409</v>
      </c>
      <c r="LNL2" s="5" t="s">
        <v>409</v>
      </c>
      <c r="LNM2" s="5" t="s">
        <v>409</v>
      </c>
      <c r="LNN2" s="5" t="s">
        <v>409</v>
      </c>
      <c r="LNO2" s="5" t="s">
        <v>409</v>
      </c>
      <c r="LNP2" s="5" t="s">
        <v>409</v>
      </c>
      <c r="LNQ2" s="5" t="s">
        <v>409</v>
      </c>
      <c r="LNR2" s="5" t="s">
        <v>409</v>
      </c>
      <c r="LNS2" s="5" t="s">
        <v>409</v>
      </c>
      <c r="LNT2" s="5" t="s">
        <v>409</v>
      </c>
      <c r="LNU2" s="5" t="s">
        <v>409</v>
      </c>
      <c r="LNV2" s="5" t="s">
        <v>409</v>
      </c>
      <c r="LNW2" s="5" t="s">
        <v>409</v>
      </c>
      <c r="LNX2" s="5" t="s">
        <v>409</v>
      </c>
      <c r="LNY2" s="5" t="s">
        <v>409</v>
      </c>
      <c r="LNZ2" s="5" t="s">
        <v>409</v>
      </c>
      <c r="LOA2" s="5" t="s">
        <v>409</v>
      </c>
      <c r="LOB2" s="5" t="s">
        <v>409</v>
      </c>
      <c r="LOC2" s="5" t="s">
        <v>409</v>
      </c>
      <c r="LOD2" s="5" t="s">
        <v>409</v>
      </c>
      <c r="LOE2" s="5" t="s">
        <v>409</v>
      </c>
      <c r="LOF2" s="5" t="s">
        <v>409</v>
      </c>
      <c r="LOG2" s="5" t="s">
        <v>409</v>
      </c>
      <c r="LOH2" s="5" t="s">
        <v>409</v>
      </c>
      <c r="LOI2" s="5" t="s">
        <v>409</v>
      </c>
      <c r="LOJ2" s="5" t="s">
        <v>409</v>
      </c>
      <c r="LOK2" s="5" t="s">
        <v>409</v>
      </c>
      <c r="LOL2" s="5" t="s">
        <v>409</v>
      </c>
      <c r="LOM2" s="5" t="s">
        <v>409</v>
      </c>
      <c r="LON2" s="5" t="s">
        <v>409</v>
      </c>
      <c r="LOO2" s="5" t="s">
        <v>409</v>
      </c>
      <c r="LOP2" s="5" t="s">
        <v>409</v>
      </c>
      <c r="LOQ2" s="5" t="s">
        <v>409</v>
      </c>
      <c r="LOR2" s="5" t="s">
        <v>409</v>
      </c>
      <c r="LOS2" s="5" t="s">
        <v>409</v>
      </c>
      <c r="LOT2" s="5" t="s">
        <v>409</v>
      </c>
      <c r="LOU2" s="5" t="s">
        <v>409</v>
      </c>
      <c r="LOV2" s="5" t="s">
        <v>409</v>
      </c>
      <c r="LOW2" s="5" t="s">
        <v>409</v>
      </c>
      <c r="LOX2" s="5" t="s">
        <v>409</v>
      </c>
      <c r="LOY2" s="5" t="s">
        <v>409</v>
      </c>
      <c r="LOZ2" s="5" t="s">
        <v>409</v>
      </c>
      <c r="LPA2" s="5" t="s">
        <v>409</v>
      </c>
      <c r="LPB2" s="5" t="s">
        <v>409</v>
      </c>
      <c r="LPC2" s="5" t="s">
        <v>409</v>
      </c>
      <c r="LPD2" s="5" t="s">
        <v>409</v>
      </c>
      <c r="LPE2" s="5" t="s">
        <v>409</v>
      </c>
      <c r="LPF2" s="5" t="s">
        <v>409</v>
      </c>
      <c r="LPG2" s="5" t="s">
        <v>409</v>
      </c>
      <c r="LPH2" s="5" t="s">
        <v>409</v>
      </c>
      <c r="LPI2" s="5" t="s">
        <v>409</v>
      </c>
      <c r="LPJ2" s="5" t="s">
        <v>409</v>
      </c>
      <c r="LPK2" s="5" t="s">
        <v>409</v>
      </c>
      <c r="LPL2" s="5" t="s">
        <v>409</v>
      </c>
      <c r="LPM2" s="5" t="s">
        <v>409</v>
      </c>
      <c r="LPN2" s="5" t="s">
        <v>409</v>
      </c>
      <c r="LPO2" s="5" t="s">
        <v>409</v>
      </c>
      <c r="LPP2" s="5" t="s">
        <v>409</v>
      </c>
      <c r="LPQ2" s="5" t="s">
        <v>409</v>
      </c>
      <c r="LPR2" s="5" t="s">
        <v>409</v>
      </c>
      <c r="LPS2" s="5" t="s">
        <v>409</v>
      </c>
      <c r="LPT2" s="5" t="s">
        <v>409</v>
      </c>
      <c r="LPU2" s="5" t="s">
        <v>409</v>
      </c>
      <c r="LPV2" s="5" t="s">
        <v>409</v>
      </c>
      <c r="LPW2" s="5" t="s">
        <v>409</v>
      </c>
      <c r="LPX2" s="5" t="s">
        <v>409</v>
      </c>
      <c r="LPY2" s="5" t="s">
        <v>409</v>
      </c>
      <c r="LPZ2" s="5" t="s">
        <v>409</v>
      </c>
      <c r="LQA2" s="5" t="s">
        <v>409</v>
      </c>
      <c r="LQB2" s="5" t="s">
        <v>409</v>
      </c>
      <c r="LQC2" s="5" t="s">
        <v>409</v>
      </c>
      <c r="LQD2" s="5" t="s">
        <v>409</v>
      </c>
      <c r="LQE2" s="5" t="s">
        <v>409</v>
      </c>
      <c r="LQF2" s="5" t="s">
        <v>409</v>
      </c>
      <c r="LQG2" s="5" t="s">
        <v>409</v>
      </c>
      <c r="LQH2" s="5" t="s">
        <v>409</v>
      </c>
      <c r="LQI2" s="5" t="s">
        <v>409</v>
      </c>
      <c r="LQJ2" s="5" t="s">
        <v>409</v>
      </c>
      <c r="LQK2" s="5" t="s">
        <v>409</v>
      </c>
      <c r="LQL2" s="5" t="s">
        <v>409</v>
      </c>
      <c r="LQM2" s="5" t="s">
        <v>409</v>
      </c>
      <c r="LQN2" s="5" t="s">
        <v>409</v>
      </c>
      <c r="LQO2" s="5" t="s">
        <v>409</v>
      </c>
      <c r="LQP2" s="5" t="s">
        <v>409</v>
      </c>
      <c r="LQQ2" s="5" t="s">
        <v>409</v>
      </c>
      <c r="LQR2" s="5" t="s">
        <v>409</v>
      </c>
      <c r="LQS2" s="5" t="s">
        <v>409</v>
      </c>
      <c r="LQT2" s="5" t="s">
        <v>409</v>
      </c>
      <c r="LQU2" s="5" t="s">
        <v>409</v>
      </c>
      <c r="LQV2" s="5" t="s">
        <v>409</v>
      </c>
      <c r="LQW2" s="5" t="s">
        <v>409</v>
      </c>
      <c r="LQX2" s="5" t="s">
        <v>409</v>
      </c>
      <c r="LQY2" s="5" t="s">
        <v>409</v>
      </c>
      <c r="LQZ2" s="5" t="s">
        <v>409</v>
      </c>
      <c r="LRA2" s="5" t="s">
        <v>409</v>
      </c>
      <c r="LRB2" s="5" t="s">
        <v>409</v>
      </c>
      <c r="LRC2" s="5" t="s">
        <v>409</v>
      </c>
      <c r="LRD2" s="5" t="s">
        <v>409</v>
      </c>
      <c r="LRE2" s="5" t="s">
        <v>409</v>
      </c>
      <c r="LRF2" s="5" t="s">
        <v>409</v>
      </c>
      <c r="LRG2" s="5" t="s">
        <v>409</v>
      </c>
      <c r="LRH2" s="5" t="s">
        <v>409</v>
      </c>
      <c r="LRI2" s="5" t="s">
        <v>409</v>
      </c>
      <c r="LRJ2" s="5" t="s">
        <v>409</v>
      </c>
      <c r="LRK2" s="5" t="s">
        <v>409</v>
      </c>
      <c r="LRL2" s="5" t="s">
        <v>409</v>
      </c>
      <c r="LRM2" s="5" t="s">
        <v>409</v>
      </c>
      <c r="LRN2" s="5" t="s">
        <v>409</v>
      </c>
      <c r="LRO2" s="5" t="s">
        <v>409</v>
      </c>
      <c r="LRP2" s="5" t="s">
        <v>409</v>
      </c>
      <c r="LRQ2" s="5" t="s">
        <v>409</v>
      </c>
      <c r="LRR2" s="5" t="s">
        <v>409</v>
      </c>
      <c r="LRS2" s="5" t="s">
        <v>409</v>
      </c>
      <c r="LRT2" s="5" t="s">
        <v>409</v>
      </c>
      <c r="LRU2" s="5" t="s">
        <v>409</v>
      </c>
      <c r="LRV2" s="5" t="s">
        <v>409</v>
      </c>
      <c r="LRW2" s="5" t="s">
        <v>409</v>
      </c>
      <c r="LRX2" s="5" t="s">
        <v>409</v>
      </c>
      <c r="LRY2" s="5" t="s">
        <v>409</v>
      </c>
      <c r="LRZ2" s="5" t="s">
        <v>409</v>
      </c>
      <c r="LSA2" s="5" t="s">
        <v>409</v>
      </c>
      <c r="LSB2" s="5" t="s">
        <v>409</v>
      </c>
      <c r="LSC2" s="5" t="s">
        <v>409</v>
      </c>
      <c r="LSD2" s="5" t="s">
        <v>409</v>
      </c>
      <c r="LSE2" s="5" t="s">
        <v>409</v>
      </c>
      <c r="LSF2" s="5" t="s">
        <v>409</v>
      </c>
      <c r="LSG2" s="5" t="s">
        <v>409</v>
      </c>
      <c r="LSH2" s="5" t="s">
        <v>409</v>
      </c>
      <c r="LSI2" s="5" t="s">
        <v>409</v>
      </c>
      <c r="LSJ2" s="5" t="s">
        <v>409</v>
      </c>
      <c r="LSK2" s="5" t="s">
        <v>409</v>
      </c>
      <c r="LSL2" s="5" t="s">
        <v>409</v>
      </c>
      <c r="LSM2" s="5" t="s">
        <v>409</v>
      </c>
      <c r="LSN2" s="5" t="s">
        <v>409</v>
      </c>
      <c r="LSO2" s="5" t="s">
        <v>409</v>
      </c>
      <c r="LSP2" s="5" t="s">
        <v>409</v>
      </c>
      <c r="LSQ2" s="5" t="s">
        <v>409</v>
      </c>
      <c r="LSR2" s="5" t="s">
        <v>409</v>
      </c>
      <c r="LSS2" s="5" t="s">
        <v>409</v>
      </c>
      <c r="LST2" s="5" t="s">
        <v>409</v>
      </c>
      <c r="LSU2" s="5" t="s">
        <v>409</v>
      </c>
      <c r="LSV2" s="5" t="s">
        <v>409</v>
      </c>
      <c r="LSW2" s="5" t="s">
        <v>409</v>
      </c>
      <c r="LSX2" s="5" t="s">
        <v>409</v>
      </c>
      <c r="LSY2" s="5" t="s">
        <v>409</v>
      </c>
      <c r="LSZ2" s="5" t="s">
        <v>409</v>
      </c>
      <c r="LTA2" s="5" t="s">
        <v>409</v>
      </c>
      <c r="LTB2" s="5" t="s">
        <v>409</v>
      </c>
      <c r="LTC2" s="5" t="s">
        <v>409</v>
      </c>
      <c r="LTD2" s="5" t="s">
        <v>409</v>
      </c>
      <c r="LTE2" s="5" t="s">
        <v>409</v>
      </c>
      <c r="LTF2" s="5" t="s">
        <v>409</v>
      </c>
      <c r="LTG2" s="5" t="s">
        <v>409</v>
      </c>
      <c r="LTH2" s="5" t="s">
        <v>409</v>
      </c>
      <c r="LTI2" s="5" t="s">
        <v>409</v>
      </c>
      <c r="LTJ2" s="5" t="s">
        <v>409</v>
      </c>
      <c r="LTK2" s="5" t="s">
        <v>409</v>
      </c>
      <c r="LTL2" s="5" t="s">
        <v>409</v>
      </c>
      <c r="LTM2" s="5" t="s">
        <v>409</v>
      </c>
      <c r="LTN2" s="5" t="s">
        <v>409</v>
      </c>
      <c r="LTO2" s="5" t="s">
        <v>409</v>
      </c>
      <c r="LTP2" s="5" t="s">
        <v>409</v>
      </c>
      <c r="LTQ2" s="5" t="s">
        <v>409</v>
      </c>
      <c r="LTR2" s="5" t="s">
        <v>409</v>
      </c>
      <c r="LTS2" s="5" t="s">
        <v>409</v>
      </c>
      <c r="LTT2" s="5" t="s">
        <v>409</v>
      </c>
      <c r="LTU2" s="5" t="s">
        <v>409</v>
      </c>
      <c r="LTV2" s="5" t="s">
        <v>409</v>
      </c>
      <c r="LTW2" s="5" t="s">
        <v>409</v>
      </c>
      <c r="LTX2" s="5" t="s">
        <v>409</v>
      </c>
      <c r="LTY2" s="5" t="s">
        <v>409</v>
      </c>
      <c r="LTZ2" s="5" t="s">
        <v>409</v>
      </c>
      <c r="LUA2" s="5" t="s">
        <v>409</v>
      </c>
      <c r="LUB2" s="5" t="s">
        <v>409</v>
      </c>
      <c r="LUC2" s="5" t="s">
        <v>409</v>
      </c>
      <c r="LUD2" s="5" t="s">
        <v>409</v>
      </c>
      <c r="LUE2" s="5" t="s">
        <v>409</v>
      </c>
      <c r="LUF2" s="5" t="s">
        <v>409</v>
      </c>
      <c r="LUG2" s="5" t="s">
        <v>409</v>
      </c>
      <c r="LUH2" s="5" t="s">
        <v>409</v>
      </c>
      <c r="LUI2" s="5" t="s">
        <v>409</v>
      </c>
      <c r="LUJ2" s="5" t="s">
        <v>409</v>
      </c>
      <c r="LUK2" s="5" t="s">
        <v>409</v>
      </c>
      <c r="LUL2" s="5" t="s">
        <v>409</v>
      </c>
      <c r="LUM2" s="5" t="s">
        <v>409</v>
      </c>
      <c r="LUN2" s="5" t="s">
        <v>409</v>
      </c>
      <c r="LUO2" s="5" t="s">
        <v>409</v>
      </c>
      <c r="LUP2" s="5" t="s">
        <v>409</v>
      </c>
      <c r="LUQ2" s="5" t="s">
        <v>409</v>
      </c>
      <c r="LUR2" s="5" t="s">
        <v>409</v>
      </c>
      <c r="LUS2" s="5" t="s">
        <v>409</v>
      </c>
      <c r="LUT2" s="5" t="s">
        <v>409</v>
      </c>
      <c r="LUU2" s="5" t="s">
        <v>409</v>
      </c>
      <c r="LUV2" s="5" t="s">
        <v>409</v>
      </c>
      <c r="LUW2" s="5" t="s">
        <v>409</v>
      </c>
      <c r="LUX2" s="5" t="s">
        <v>409</v>
      </c>
      <c r="LUY2" s="5" t="s">
        <v>409</v>
      </c>
      <c r="LUZ2" s="5" t="s">
        <v>409</v>
      </c>
      <c r="LVA2" s="5" t="s">
        <v>409</v>
      </c>
      <c r="LVB2" s="5" t="s">
        <v>409</v>
      </c>
      <c r="LVC2" s="5" t="s">
        <v>409</v>
      </c>
      <c r="LVD2" s="5" t="s">
        <v>409</v>
      </c>
      <c r="LVE2" s="5" t="s">
        <v>409</v>
      </c>
      <c r="LVF2" s="5" t="s">
        <v>409</v>
      </c>
      <c r="LVG2" s="5" t="s">
        <v>409</v>
      </c>
      <c r="LVH2" s="5" t="s">
        <v>409</v>
      </c>
      <c r="LVI2" s="5" t="s">
        <v>409</v>
      </c>
      <c r="LVJ2" s="5" t="s">
        <v>409</v>
      </c>
      <c r="LVK2" s="5" t="s">
        <v>409</v>
      </c>
      <c r="LVL2" s="5" t="s">
        <v>409</v>
      </c>
      <c r="LVM2" s="5" t="s">
        <v>409</v>
      </c>
      <c r="LVN2" s="5" t="s">
        <v>409</v>
      </c>
      <c r="LVO2" s="5" t="s">
        <v>409</v>
      </c>
      <c r="LVP2" s="5" t="s">
        <v>409</v>
      </c>
      <c r="LVQ2" s="5" t="s">
        <v>409</v>
      </c>
      <c r="LVR2" s="5" t="s">
        <v>409</v>
      </c>
      <c r="LVS2" s="5" t="s">
        <v>409</v>
      </c>
      <c r="LVT2" s="5" t="s">
        <v>409</v>
      </c>
      <c r="LVU2" s="5" t="s">
        <v>409</v>
      </c>
      <c r="LVV2" s="5" t="s">
        <v>409</v>
      </c>
      <c r="LVW2" s="5" t="s">
        <v>409</v>
      </c>
      <c r="LVX2" s="5" t="s">
        <v>409</v>
      </c>
      <c r="LVY2" s="5" t="s">
        <v>409</v>
      </c>
      <c r="LVZ2" s="5" t="s">
        <v>409</v>
      </c>
      <c r="LWA2" s="5" t="s">
        <v>409</v>
      </c>
      <c r="LWB2" s="5" t="s">
        <v>409</v>
      </c>
      <c r="LWC2" s="5" t="s">
        <v>409</v>
      </c>
      <c r="LWD2" s="5" t="s">
        <v>409</v>
      </c>
      <c r="LWE2" s="5" t="s">
        <v>409</v>
      </c>
      <c r="LWF2" s="5" t="s">
        <v>409</v>
      </c>
      <c r="LWG2" s="5" t="s">
        <v>409</v>
      </c>
      <c r="LWH2" s="5" t="s">
        <v>409</v>
      </c>
      <c r="LWI2" s="5" t="s">
        <v>409</v>
      </c>
      <c r="LWJ2" s="5" t="s">
        <v>409</v>
      </c>
      <c r="LWK2" s="5" t="s">
        <v>409</v>
      </c>
      <c r="LWL2" s="5" t="s">
        <v>409</v>
      </c>
      <c r="LWM2" s="5" t="s">
        <v>409</v>
      </c>
      <c r="LWN2" s="5" t="s">
        <v>409</v>
      </c>
      <c r="LWO2" s="5" t="s">
        <v>409</v>
      </c>
      <c r="LWP2" s="5" t="s">
        <v>409</v>
      </c>
      <c r="LWQ2" s="5" t="s">
        <v>409</v>
      </c>
      <c r="LWR2" s="5" t="s">
        <v>409</v>
      </c>
      <c r="LWS2" s="5" t="s">
        <v>409</v>
      </c>
      <c r="LWT2" s="5" t="s">
        <v>409</v>
      </c>
      <c r="LWU2" s="5" t="s">
        <v>409</v>
      </c>
      <c r="LWV2" s="5" t="s">
        <v>409</v>
      </c>
      <c r="LWW2" s="5" t="s">
        <v>409</v>
      </c>
      <c r="LWX2" s="5" t="s">
        <v>409</v>
      </c>
      <c r="LWY2" s="5" t="s">
        <v>409</v>
      </c>
      <c r="LWZ2" s="5" t="s">
        <v>409</v>
      </c>
      <c r="LXA2" s="5" t="s">
        <v>409</v>
      </c>
      <c r="LXB2" s="5" t="s">
        <v>409</v>
      </c>
      <c r="LXC2" s="5" t="s">
        <v>409</v>
      </c>
      <c r="LXD2" s="5" t="s">
        <v>409</v>
      </c>
      <c r="LXE2" s="5" t="s">
        <v>409</v>
      </c>
      <c r="LXF2" s="5" t="s">
        <v>409</v>
      </c>
      <c r="LXG2" s="5" t="s">
        <v>409</v>
      </c>
      <c r="LXH2" s="5" t="s">
        <v>409</v>
      </c>
      <c r="LXI2" s="5" t="s">
        <v>409</v>
      </c>
      <c r="LXJ2" s="5" t="s">
        <v>409</v>
      </c>
      <c r="LXK2" s="5" t="s">
        <v>409</v>
      </c>
      <c r="LXL2" s="5" t="s">
        <v>409</v>
      </c>
      <c r="LXM2" s="5" t="s">
        <v>409</v>
      </c>
      <c r="LXN2" s="5" t="s">
        <v>409</v>
      </c>
      <c r="LXO2" s="5" t="s">
        <v>409</v>
      </c>
      <c r="LXP2" s="5" t="s">
        <v>409</v>
      </c>
      <c r="LXQ2" s="5" t="s">
        <v>409</v>
      </c>
      <c r="LXR2" s="5" t="s">
        <v>409</v>
      </c>
      <c r="LXS2" s="5" t="s">
        <v>409</v>
      </c>
      <c r="LXT2" s="5" t="s">
        <v>409</v>
      </c>
      <c r="LXU2" s="5" t="s">
        <v>409</v>
      </c>
      <c r="LXV2" s="5" t="s">
        <v>409</v>
      </c>
      <c r="LXW2" s="5" t="s">
        <v>409</v>
      </c>
      <c r="LXX2" s="5" t="s">
        <v>409</v>
      </c>
      <c r="LXY2" s="5" t="s">
        <v>409</v>
      </c>
      <c r="LXZ2" s="5" t="s">
        <v>409</v>
      </c>
      <c r="LYA2" s="5" t="s">
        <v>409</v>
      </c>
      <c r="LYB2" s="5" t="s">
        <v>409</v>
      </c>
      <c r="LYC2" s="5" t="s">
        <v>409</v>
      </c>
      <c r="LYD2" s="5" t="s">
        <v>409</v>
      </c>
      <c r="LYE2" s="5" t="s">
        <v>409</v>
      </c>
      <c r="LYF2" s="5" t="s">
        <v>409</v>
      </c>
      <c r="LYG2" s="5" t="s">
        <v>409</v>
      </c>
      <c r="LYH2" s="5" t="s">
        <v>409</v>
      </c>
      <c r="LYI2" s="5" t="s">
        <v>409</v>
      </c>
      <c r="LYJ2" s="5" t="s">
        <v>409</v>
      </c>
      <c r="LYK2" s="5" t="s">
        <v>409</v>
      </c>
      <c r="LYL2" s="5" t="s">
        <v>409</v>
      </c>
      <c r="LYM2" s="5" t="s">
        <v>409</v>
      </c>
      <c r="LYN2" s="5" t="s">
        <v>409</v>
      </c>
      <c r="LYO2" s="5" t="s">
        <v>409</v>
      </c>
      <c r="LYP2" s="5" t="s">
        <v>409</v>
      </c>
      <c r="LYQ2" s="5" t="s">
        <v>409</v>
      </c>
      <c r="LYR2" s="5" t="s">
        <v>409</v>
      </c>
      <c r="LYS2" s="5" t="s">
        <v>409</v>
      </c>
      <c r="LYT2" s="5" t="s">
        <v>409</v>
      </c>
      <c r="LYU2" s="5" t="s">
        <v>409</v>
      </c>
      <c r="LYV2" s="5" t="s">
        <v>409</v>
      </c>
      <c r="LYW2" s="5" t="s">
        <v>409</v>
      </c>
      <c r="LYX2" s="5" t="s">
        <v>409</v>
      </c>
      <c r="LYY2" s="5" t="s">
        <v>409</v>
      </c>
      <c r="LYZ2" s="5" t="s">
        <v>409</v>
      </c>
      <c r="LZA2" s="5" t="s">
        <v>409</v>
      </c>
      <c r="LZB2" s="5" t="s">
        <v>409</v>
      </c>
      <c r="LZC2" s="5" t="s">
        <v>409</v>
      </c>
      <c r="LZD2" s="5" t="s">
        <v>409</v>
      </c>
      <c r="LZE2" s="5" t="s">
        <v>409</v>
      </c>
      <c r="LZF2" s="5" t="s">
        <v>409</v>
      </c>
      <c r="LZG2" s="5" t="s">
        <v>409</v>
      </c>
      <c r="LZH2" s="5" t="s">
        <v>409</v>
      </c>
      <c r="LZI2" s="5" t="s">
        <v>409</v>
      </c>
      <c r="LZJ2" s="5" t="s">
        <v>409</v>
      </c>
      <c r="LZK2" s="5" t="s">
        <v>409</v>
      </c>
      <c r="LZL2" s="5" t="s">
        <v>409</v>
      </c>
      <c r="LZM2" s="5" t="s">
        <v>409</v>
      </c>
      <c r="LZN2" s="5" t="s">
        <v>409</v>
      </c>
      <c r="LZO2" s="5" t="s">
        <v>409</v>
      </c>
      <c r="LZP2" s="5" t="s">
        <v>409</v>
      </c>
      <c r="LZQ2" s="5" t="s">
        <v>409</v>
      </c>
      <c r="LZR2" s="5" t="s">
        <v>409</v>
      </c>
      <c r="LZS2" s="5" t="s">
        <v>409</v>
      </c>
      <c r="LZT2" s="5" t="s">
        <v>409</v>
      </c>
      <c r="LZU2" s="5" t="s">
        <v>409</v>
      </c>
      <c r="LZV2" s="5" t="s">
        <v>409</v>
      </c>
      <c r="LZW2" s="5" t="s">
        <v>409</v>
      </c>
      <c r="LZX2" s="5" t="s">
        <v>409</v>
      </c>
      <c r="LZY2" s="5" t="s">
        <v>409</v>
      </c>
      <c r="LZZ2" s="5" t="s">
        <v>409</v>
      </c>
      <c r="MAA2" s="5" t="s">
        <v>409</v>
      </c>
      <c r="MAB2" s="5" t="s">
        <v>409</v>
      </c>
      <c r="MAC2" s="5" t="s">
        <v>409</v>
      </c>
      <c r="MAD2" s="5" t="s">
        <v>409</v>
      </c>
      <c r="MAE2" s="5" t="s">
        <v>409</v>
      </c>
      <c r="MAF2" s="5" t="s">
        <v>409</v>
      </c>
      <c r="MAG2" s="5" t="s">
        <v>409</v>
      </c>
      <c r="MAH2" s="5" t="s">
        <v>409</v>
      </c>
      <c r="MAI2" s="5" t="s">
        <v>409</v>
      </c>
      <c r="MAJ2" s="5" t="s">
        <v>409</v>
      </c>
      <c r="MAK2" s="5" t="s">
        <v>409</v>
      </c>
      <c r="MAL2" s="5" t="s">
        <v>409</v>
      </c>
      <c r="MAM2" s="5" t="s">
        <v>409</v>
      </c>
      <c r="MAN2" s="5" t="s">
        <v>409</v>
      </c>
      <c r="MAO2" s="5" t="s">
        <v>409</v>
      </c>
      <c r="MAP2" s="5" t="s">
        <v>409</v>
      </c>
      <c r="MAQ2" s="5" t="s">
        <v>409</v>
      </c>
      <c r="MAR2" s="5" t="s">
        <v>409</v>
      </c>
      <c r="MAS2" s="5" t="s">
        <v>409</v>
      </c>
      <c r="MAT2" s="5" t="s">
        <v>409</v>
      </c>
      <c r="MAU2" s="5" t="s">
        <v>409</v>
      </c>
      <c r="MAV2" s="5" t="s">
        <v>409</v>
      </c>
      <c r="MAW2" s="5" t="s">
        <v>409</v>
      </c>
      <c r="MAX2" s="5" t="s">
        <v>409</v>
      </c>
      <c r="MAY2" s="5" t="s">
        <v>409</v>
      </c>
      <c r="MAZ2" s="5" t="s">
        <v>409</v>
      </c>
      <c r="MBA2" s="5" t="s">
        <v>409</v>
      </c>
      <c r="MBB2" s="5" t="s">
        <v>409</v>
      </c>
      <c r="MBC2" s="5" t="s">
        <v>409</v>
      </c>
      <c r="MBD2" s="5" t="s">
        <v>409</v>
      </c>
      <c r="MBE2" s="5" t="s">
        <v>409</v>
      </c>
      <c r="MBF2" s="5" t="s">
        <v>409</v>
      </c>
      <c r="MBG2" s="5" t="s">
        <v>409</v>
      </c>
      <c r="MBH2" s="5" t="s">
        <v>409</v>
      </c>
      <c r="MBI2" s="5" t="s">
        <v>409</v>
      </c>
      <c r="MBJ2" s="5" t="s">
        <v>409</v>
      </c>
      <c r="MBK2" s="5" t="s">
        <v>409</v>
      </c>
      <c r="MBL2" s="5" t="s">
        <v>409</v>
      </c>
      <c r="MBM2" s="5" t="s">
        <v>409</v>
      </c>
      <c r="MBN2" s="5" t="s">
        <v>409</v>
      </c>
      <c r="MBO2" s="5" t="s">
        <v>409</v>
      </c>
      <c r="MBP2" s="5" t="s">
        <v>409</v>
      </c>
      <c r="MBQ2" s="5" t="s">
        <v>409</v>
      </c>
      <c r="MBR2" s="5" t="s">
        <v>409</v>
      </c>
      <c r="MBS2" s="5" t="s">
        <v>409</v>
      </c>
      <c r="MBT2" s="5" t="s">
        <v>409</v>
      </c>
      <c r="MBU2" s="5" t="s">
        <v>409</v>
      </c>
      <c r="MBV2" s="5" t="s">
        <v>409</v>
      </c>
      <c r="MBW2" s="5" t="s">
        <v>409</v>
      </c>
      <c r="MBX2" s="5" t="s">
        <v>409</v>
      </c>
      <c r="MBY2" s="5" t="s">
        <v>409</v>
      </c>
      <c r="MBZ2" s="5" t="s">
        <v>409</v>
      </c>
      <c r="MCA2" s="5" t="s">
        <v>409</v>
      </c>
      <c r="MCB2" s="5" t="s">
        <v>409</v>
      </c>
      <c r="MCC2" s="5" t="s">
        <v>409</v>
      </c>
      <c r="MCD2" s="5" t="s">
        <v>409</v>
      </c>
      <c r="MCE2" s="5" t="s">
        <v>409</v>
      </c>
      <c r="MCF2" s="5" t="s">
        <v>409</v>
      </c>
      <c r="MCG2" s="5" t="s">
        <v>409</v>
      </c>
      <c r="MCH2" s="5" t="s">
        <v>409</v>
      </c>
      <c r="MCI2" s="5" t="s">
        <v>409</v>
      </c>
      <c r="MCJ2" s="5" t="s">
        <v>409</v>
      </c>
      <c r="MCK2" s="5" t="s">
        <v>409</v>
      </c>
      <c r="MCL2" s="5" t="s">
        <v>409</v>
      </c>
      <c r="MCM2" s="5" t="s">
        <v>409</v>
      </c>
      <c r="MCN2" s="5" t="s">
        <v>409</v>
      </c>
      <c r="MCO2" s="5" t="s">
        <v>409</v>
      </c>
      <c r="MCP2" s="5" t="s">
        <v>409</v>
      </c>
      <c r="MCQ2" s="5" t="s">
        <v>409</v>
      </c>
      <c r="MCR2" s="5" t="s">
        <v>409</v>
      </c>
      <c r="MCS2" s="5" t="s">
        <v>409</v>
      </c>
      <c r="MCT2" s="5" t="s">
        <v>409</v>
      </c>
      <c r="MCU2" s="5" t="s">
        <v>409</v>
      </c>
      <c r="MCV2" s="5" t="s">
        <v>409</v>
      </c>
      <c r="MCW2" s="5" t="s">
        <v>409</v>
      </c>
      <c r="MCX2" s="5" t="s">
        <v>409</v>
      </c>
      <c r="MCY2" s="5" t="s">
        <v>409</v>
      </c>
      <c r="MCZ2" s="5" t="s">
        <v>409</v>
      </c>
      <c r="MDA2" s="5" t="s">
        <v>409</v>
      </c>
      <c r="MDB2" s="5" t="s">
        <v>409</v>
      </c>
      <c r="MDC2" s="5" t="s">
        <v>409</v>
      </c>
      <c r="MDD2" s="5" t="s">
        <v>409</v>
      </c>
      <c r="MDE2" s="5" t="s">
        <v>409</v>
      </c>
      <c r="MDF2" s="5" t="s">
        <v>409</v>
      </c>
      <c r="MDG2" s="5" t="s">
        <v>409</v>
      </c>
      <c r="MDH2" s="5" t="s">
        <v>409</v>
      </c>
      <c r="MDI2" s="5" t="s">
        <v>409</v>
      </c>
      <c r="MDJ2" s="5" t="s">
        <v>409</v>
      </c>
      <c r="MDK2" s="5" t="s">
        <v>409</v>
      </c>
      <c r="MDL2" s="5" t="s">
        <v>409</v>
      </c>
      <c r="MDM2" s="5" t="s">
        <v>409</v>
      </c>
      <c r="MDN2" s="5" t="s">
        <v>409</v>
      </c>
      <c r="MDO2" s="5" t="s">
        <v>409</v>
      </c>
      <c r="MDP2" s="5" t="s">
        <v>409</v>
      </c>
      <c r="MDQ2" s="5" t="s">
        <v>409</v>
      </c>
      <c r="MDR2" s="5" t="s">
        <v>409</v>
      </c>
      <c r="MDS2" s="5" t="s">
        <v>409</v>
      </c>
      <c r="MDT2" s="5" t="s">
        <v>409</v>
      </c>
      <c r="MDU2" s="5" t="s">
        <v>409</v>
      </c>
      <c r="MDV2" s="5" t="s">
        <v>409</v>
      </c>
      <c r="MDW2" s="5" t="s">
        <v>409</v>
      </c>
      <c r="MDX2" s="5" t="s">
        <v>409</v>
      </c>
      <c r="MDY2" s="5" t="s">
        <v>409</v>
      </c>
      <c r="MDZ2" s="5" t="s">
        <v>409</v>
      </c>
      <c r="MEA2" s="5" t="s">
        <v>409</v>
      </c>
      <c r="MEB2" s="5" t="s">
        <v>409</v>
      </c>
      <c r="MEC2" s="5" t="s">
        <v>409</v>
      </c>
      <c r="MED2" s="5" t="s">
        <v>409</v>
      </c>
      <c r="MEE2" s="5" t="s">
        <v>409</v>
      </c>
      <c r="MEF2" s="5" t="s">
        <v>409</v>
      </c>
      <c r="MEG2" s="5" t="s">
        <v>409</v>
      </c>
      <c r="MEH2" s="5" t="s">
        <v>409</v>
      </c>
      <c r="MEI2" s="5" t="s">
        <v>409</v>
      </c>
      <c r="MEJ2" s="5" t="s">
        <v>409</v>
      </c>
      <c r="MEK2" s="5" t="s">
        <v>409</v>
      </c>
      <c r="MEL2" s="5" t="s">
        <v>409</v>
      </c>
      <c r="MEM2" s="5" t="s">
        <v>409</v>
      </c>
      <c r="MEN2" s="5" t="s">
        <v>409</v>
      </c>
      <c r="MEO2" s="5" t="s">
        <v>409</v>
      </c>
      <c r="MEP2" s="5" t="s">
        <v>409</v>
      </c>
      <c r="MEQ2" s="5" t="s">
        <v>409</v>
      </c>
      <c r="MER2" s="5" t="s">
        <v>409</v>
      </c>
      <c r="MES2" s="5" t="s">
        <v>409</v>
      </c>
      <c r="MET2" s="5" t="s">
        <v>409</v>
      </c>
      <c r="MEU2" s="5" t="s">
        <v>409</v>
      </c>
      <c r="MEV2" s="5" t="s">
        <v>409</v>
      </c>
      <c r="MEW2" s="5" t="s">
        <v>409</v>
      </c>
      <c r="MEX2" s="5" t="s">
        <v>409</v>
      </c>
      <c r="MEY2" s="5" t="s">
        <v>409</v>
      </c>
      <c r="MEZ2" s="5" t="s">
        <v>409</v>
      </c>
      <c r="MFA2" s="5" t="s">
        <v>409</v>
      </c>
      <c r="MFB2" s="5" t="s">
        <v>409</v>
      </c>
      <c r="MFC2" s="5" t="s">
        <v>409</v>
      </c>
      <c r="MFD2" s="5" t="s">
        <v>409</v>
      </c>
      <c r="MFE2" s="5" t="s">
        <v>409</v>
      </c>
      <c r="MFF2" s="5" t="s">
        <v>409</v>
      </c>
      <c r="MFG2" s="5" t="s">
        <v>409</v>
      </c>
      <c r="MFH2" s="5" t="s">
        <v>409</v>
      </c>
      <c r="MFI2" s="5" t="s">
        <v>409</v>
      </c>
      <c r="MFJ2" s="5" t="s">
        <v>409</v>
      </c>
      <c r="MFK2" s="5" t="s">
        <v>409</v>
      </c>
      <c r="MFL2" s="5" t="s">
        <v>409</v>
      </c>
      <c r="MFM2" s="5" t="s">
        <v>409</v>
      </c>
      <c r="MFN2" s="5" t="s">
        <v>409</v>
      </c>
      <c r="MFO2" s="5" t="s">
        <v>409</v>
      </c>
      <c r="MFP2" s="5" t="s">
        <v>409</v>
      </c>
      <c r="MFQ2" s="5" t="s">
        <v>409</v>
      </c>
      <c r="MFR2" s="5" t="s">
        <v>409</v>
      </c>
      <c r="MFS2" s="5" t="s">
        <v>409</v>
      </c>
      <c r="MFT2" s="5" t="s">
        <v>409</v>
      </c>
      <c r="MFU2" s="5" t="s">
        <v>409</v>
      </c>
      <c r="MFV2" s="5" t="s">
        <v>409</v>
      </c>
      <c r="MFW2" s="5" t="s">
        <v>409</v>
      </c>
      <c r="MFX2" s="5" t="s">
        <v>409</v>
      </c>
      <c r="MFY2" s="5" t="s">
        <v>409</v>
      </c>
      <c r="MFZ2" s="5" t="s">
        <v>409</v>
      </c>
      <c r="MGA2" s="5" t="s">
        <v>409</v>
      </c>
      <c r="MGB2" s="5" t="s">
        <v>409</v>
      </c>
      <c r="MGC2" s="5" t="s">
        <v>409</v>
      </c>
      <c r="MGD2" s="5" t="s">
        <v>409</v>
      </c>
      <c r="MGE2" s="5" t="s">
        <v>409</v>
      </c>
      <c r="MGF2" s="5" t="s">
        <v>409</v>
      </c>
      <c r="MGG2" s="5" t="s">
        <v>409</v>
      </c>
      <c r="MGH2" s="5" t="s">
        <v>409</v>
      </c>
      <c r="MGI2" s="5" t="s">
        <v>409</v>
      </c>
      <c r="MGJ2" s="5" t="s">
        <v>409</v>
      </c>
      <c r="MGK2" s="5" t="s">
        <v>409</v>
      </c>
      <c r="MGL2" s="5" t="s">
        <v>409</v>
      </c>
      <c r="MGM2" s="5" t="s">
        <v>409</v>
      </c>
      <c r="MGN2" s="5" t="s">
        <v>409</v>
      </c>
      <c r="MGO2" s="5" t="s">
        <v>409</v>
      </c>
      <c r="MGP2" s="5" t="s">
        <v>409</v>
      </c>
      <c r="MGQ2" s="5" t="s">
        <v>409</v>
      </c>
      <c r="MGR2" s="5" t="s">
        <v>409</v>
      </c>
      <c r="MGS2" s="5" t="s">
        <v>409</v>
      </c>
      <c r="MGT2" s="5" t="s">
        <v>409</v>
      </c>
      <c r="MGU2" s="5" t="s">
        <v>409</v>
      </c>
      <c r="MGV2" s="5" t="s">
        <v>409</v>
      </c>
      <c r="MGW2" s="5" t="s">
        <v>409</v>
      </c>
      <c r="MGX2" s="5" t="s">
        <v>409</v>
      </c>
      <c r="MGY2" s="5" t="s">
        <v>409</v>
      </c>
      <c r="MGZ2" s="5" t="s">
        <v>409</v>
      </c>
      <c r="MHA2" s="5" t="s">
        <v>409</v>
      </c>
      <c r="MHB2" s="5" t="s">
        <v>409</v>
      </c>
      <c r="MHC2" s="5" t="s">
        <v>409</v>
      </c>
      <c r="MHD2" s="5" t="s">
        <v>409</v>
      </c>
      <c r="MHE2" s="5" t="s">
        <v>409</v>
      </c>
      <c r="MHF2" s="5" t="s">
        <v>409</v>
      </c>
      <c r="MHG2" s="5" t="s">
        <v>409</v>
      </c>
      <c r="MHH2" s="5" t="s">
        <v>409</v>
      </c>
      <c r="MHI2" s="5" t="s">
        <v>409</v>
      </c>
      <c r="MHJ2" s="5" t="s">
        <v>409</v>
      </c>
      <c r="MHK2" s="5" t="s">
        <v>409</v>
      </c>
      <c r="MHL2" s="5" t="s">
        <v>409</v>
      </c>
      <c r="MHM2" s="5" t="s">
        <v>409</v>
      </c>
      <c r="MHN2" s="5" t="s">
        <v>409</v>
      </c>
      <c r="MHO2" s="5" t="s">
        <v>409</v>
      </c>
      <c r="MHP2" s="5" t="s">
        <v>409</v>
      </c>
      <c r="MHQ2" s="5" t="s">
        <v>409</v>
      </c>
      <c r="MHR2" s="5" t="s">
        <v>409</v>
      </c>
      <c r="MHS2" s="5" t="s">
        <v>409</v>
      </c>
      <c r="MHT2" s="5" t="s">
        <v>409</v>
      </c>
      <c r="MHU2" s="5" t="s">
        <v>409</v>
      </c>
      <c r="MHV2" s="5" t="s">
        <v>409</v>
      </c>
      <c r="MHW2" s="5" t="s">
        <v>409</v>
      </c>
      <c r="MHX2" s="5" t="s">
        <v>409</v>
      </c>
      <c r="MHY2" s="5" t="s">
        <v>409</v>
      </c>
      <c r="MHZ2" s="5" t="s">
        <v>409</v>
      </c>
      <c r="MIA2" s="5" t="s">
        <v>409</v>
      </c>
      <c r="MIB2" s="5" t="s">
        <v>409</v>
      </c>
      <c r="MIC2" s="5" t="s">
        <v>409</v>
      </c>
      <c r="MID2" s="5" t="s">
        <v>409</v>
      </c>
      <c r="MIE2" s="5" t="s">
        <v>409</v>
      </c>
      <c r="MIF2" s="5" t="s">
        <v>409</v>
      </c>
      <c r="MIG2" s="5" t="s">
        <v>409</v>
      </c>
      <c r="MIH2" s="5" t="s">
        <v>409</v>
      </c>
      <c r="MII2" s="5" t="s">
        <v>409</v>
      </c>
      <c r="MIJ2" s="5" t="s">
        <v>409</v>
      </c>
      <c r="MIK2" s="5" t="s">
        <v>409</v>
      </c>
      <c r="MIL2" s="5" t="s">
        <v>409</v>
      </c>
      <c r="MIM2" s="5" t="s">
        <v>409</v>
      </c>
      <c r="MIN2" s="5" t="s">
        <v>409</v>
      </c>
      <c r="MIO2" s="5" t="s">
        <v>409</v>
      </c>
      <c r="MIP2" s="5" t="s">
        <v>409</v>
      </c>
      <c r="MIQ2" s="5" t="s">
        <v>409</v>
      </c>
      <c r="MIR2" s="5" t="s">
        <v>409</v>
      </c>
      <c r="MIS2" s="5" t="s">
        <v>409</v>
      </c>
      <c r="MIT2" s="5" t="s">
        <v>409</v>
      </c>
      <c r="MIU2" s="5" t="s">
        <v>409</v>
      </c>
      <c r="MIV2" s="5" t="s">
        <v>409</v>
      </c>
      <c r="MIW2" s="5" t="s">
        <v>409</v>
      </c>
      <c r="MIX2" s="5" t="s">
        <v>409</v>
      </c>
      <c r="MIY2" s="5" t="s">
        <v>409</v>
      </c>
      <c r="MIZ2" s="5" t="s">
        <v>409</v>
      </c>
      <c r="MJA2" s="5" t="s">
        <v>409</v>
      </c>
      <c r="MJB2" s="5" t="s">
        <v>409</v>
      </c>
      <c r="MJC2" s="5" t="s">
        <v>409</v>
      </c>
      <c r="MJD2" s="5" t="s">
        <v>409</v>
      </c>
      <c r="MJE2" s="5" t="s">
        <v>409</v>
      </c>
      <c r="MJF2" s="5" t="s">
        <v>409</v>
      </c>
      <c r="MJG2" s="5" t="s">
        <v>409</v>
      </c>
      <c r="MJH2" s="5" t="s">
        <v>409</v>
      </c>
      <c r="MJI2" s="5" t="s">
        <v>409</v>
      </c>
      <c r="MJJ2" s="5" t="s">
        <v>409</v>
      </c>
      <c r="MJK2" s="5" t="s">
        <v>409</v>
      </c>
      <c r="MJL2" s="5" t="s">
        <v>409</v>
      </c>
      <c r="MJM2" s="5" t="s">
        <v>409</v>
      </c>
      <c r="MJN2" s="5" t="s">
        <v>409</v>
      </c>
      <c r="MJO2" s="5" t="s">
        <v>409</v>
      </c>
      <c r="MJP2" s="5" t="s">
        <v>409</v>
      </c>
      <c r="MJQ2" s="5" t="s">
        <v>409</v>
      </c>
      <c r="MJR2" s="5" t="s">
        <v>409</v>
      </c>
      <c r="MJS2" s="5" t="s">
        <v>409</v>
      </c>
      <c r="MJT2" s="5" t="s">
        <v>409</v>
      </c>
      <c r="MJU2" s="5" t="s">
        <v>409</v>
      </c>
      <c r="MJV2" s="5" t="s">
        <v>409</v>
      </c>
      <c r="MJW2" s="5" t="s">
        <v>409</v>
      </c>
      <c r="MJX2" s="5" t="s">
        <v>409</v>
      </c>
      <c r="MJY2" s="5" t="s">
        <v>409</v>
      </c>
      <c r="MJZ2" s="5" t="s">
        <v>409</v>
      </c>
      <c r="MKA2" s="5" t="s">
        <v>409</v>
      </c>
      <c r="MKB2" s="5" t="s">
        <v>409</v>
      </c>
      <c r="MKC2" s="5" t="s">
        <v>409</v>
      </c>
      <c r="MKD2" s="5" t="s">
        <v>409</v>
      </c>
      <c r="MKE2" s="5" t="s">
        <v>409</v>
      </c>
      <c r="MKF2" s="5" t="s">
        <v>409</v>
      </c>
      <c r="MKG2" s="5" t="s">
        <v>409</v>
      </c>
      <c r="MKH2" s="5" t="s">
        <v>409</v>
      </c>
      <c r="MKI2" s="5" t="s">
        <v>409</v>
      </c>
      <c r="MKJ2" s="5" t="s">
        <v>409</v>
      </c>
      <c r="MKK2" s="5" t="s">
        <v>409</v>
      </c>
      <c r="MKL2" s="5" t="s">
        <v>409</v>
      </c>
      <c r="MKM2" s="5" t="s">
        <v>409</v>
      </c>
      <c r="MKN2" s="5" t="s">
        <v>409</v>
      </c>
      <c r="MKO2" s="5" t="s">
        <v>409</v>
      </c>
      <c r="MKP2" s="5" t="s">
        <v>409</v>
      </c>
      <c r="MKQ2" s="5" t="s">
        <v>409</v>
      </c>
      <c r="MKR2" s="5" t="s">
        <v>409</v>
      </c>
      <c r="MKS2" s="5" t="s">
        <v>409</v>
      </c>
      <c r="MKT2" s="5" t="s">
        <v>409</v>
      </c>
      <c r="MKU2" s="5" t="s">
        <v>409</v>
      </c>
      <c r="MKV2" s="5" t="s">
        <v>409</v>
      </c>
      <c r="MKW2" s="5" t="s">
        <v>409</v>
      </c>
      <c r="MKX2" s="5" t="s">
        <v>409</v>
      </c>
      <c r="MKY2" s="5" t="s">
        <v>409</v>
      </c>
      <c r="MKZ2" s="5" t="s">
        <v>409</v>
      </c>
      <c r="MLA2" s="5" t="s">
        <v>409</v>
      </c>
      <c r="MLB2" s="5" t="s">
        <v>409</v>
      </c>
      <c r="MLC2" s="5" t="s">
        <v>409</v>
      </c>
      <c r="MLD2" s="5" t="s">
        <v>409</v>
      </c>
      <c r="MLE2" s="5" t="s">
        <v>409</v>
      </c>
      <c r="MLF2" s="5" t="s">
        <v>409</v>
      </c>
      <c r="MLG2" s="5" t="s">
        <v>409</v>
      </c>
      <c r="MLH2" s="5" t="s">
        <v>409</v>
      </c>
      <c r="MLI2" s="5" t="s">
        <v>409</v>
      </c>
      <c r="MLJ2" s="5" t="s">
        <v>409</v>
      </c>
      <c r="MLK2" s="5" t="s">
        <v>409</v>
      </c>
      <c r="MLL2" s="5" t="s">
        <v>409</v>
      </c>
      <c r="MLM2" s="5" t="s">
        <v>409</v>
      </c>
      <c r="MLN2" s="5" t="s">
        <v>409</v>
      </c>
      <c r="MLO2" s="5" t="s">
        <v>409</v>
      </c>
      <c r="MLP2" s="5" t="s">
        <v>409</v>
      </c>
      <c r="MLQ2" s="5" t="s">
        <v>409</v>
      </c>
      <c r="MLR2" s="5" t="s">
        <v>409</v>
      </c>
      <c r="MLS2" s="5" t="s">
        <v>409</v>
      </c>
      <c r="MLT2" s="5" t="s">
        <v>409</v>
      </c>
      <c r="MLU2" s="5" t="s">
        <v>409</v>
      </c>
      <c r="MLV2" s="5" t="s">
        <v>409</v>
      </c>
      <c r="MLW2" s="5" t="s">
        <v>409</v>
      </c>
      <c r="MLX2" s="5" t="s">
        <v>409</v>
      </c>
      <c r="MLY2" s="5" t="s">
        <v>409</v>
      </c>
      <c r="MLZ2" s="5" t="s">
        <v>409</v>
      </c>
      <c r="MMA2" s="5" t="s">
        <v>409</v>
      </c>
      <c r="MMB2" s="5" t="s">
        <v>409</v>
      </c>
      <c r="MMC2" s="5" t="s">
        <v>409</v>
      </c>
      <c r="MMD2" s="5" t="s">
        <v>409</v>
      </c>
      <c r="MME2" s="5" t="s">
        <v>409</v>
      </c>
      <c r="MMF2" s="5" t="s">
        <v>409</v>
      </c>
      <c r="MMG2" s="5" t="s">
        <v>409</v>
      </c>
      <c r="MMH2" s="5" t="s">
        <v>409</v>
      </c>
      <c r="MMI2" s="5" t="s">
        <v>409</v>
      </c>
      <c r="MMJ2" s="5" t="s">
        <v>409</v>
      </c>
      <c r="MMK2" s="5" t="s">
        <v>409</v>
      </c>
      <c r="MML2" s="5" t="s">
        <v>409</v>
      </c>
      <c r="MMM2" s="5" t="s">
        <v>409</v>
      </c>
      <c r="MMN2" s="5" t="s">
        <v>409</v>
      </c>
      <c r="MMO2" s="5" t="s">
        <v>409</v>
      </c>
      <c r="MMP2" s="5" t="s">
        <v>409</v>
      </c>
      <c r="MMQ2" s="5" t="s">
        <v>409</v>
      </c>
      <c r="MMR2" s="5" t="s">
        <v>409</v>
      </c>
      <c r="MMS2" s="5" t="s">
        <v>409</v>
      </c>
      <c r="MMT2" s="5" t="s">
        <v>409</v>
      </c>
      <c r="MMU2" s="5" t="s">
        <v>409</v>
      </c>
      <c r="MMV2" s="5" t="s">
        <v>409</v>
      </c>
      <c r="MMW2" s="5" t="s">
        <v>409</v>
      </c>
      <c r="MMX2" s="5" t="s">
        <v>409</v>
      </c>
      <c r="MMY2" s="5" t="s">
        <v>409</v>
      </c>
      <c r="MMZ2" s="5" t="s">
        <v>409</v>
      </c>
      <c r="MNA2" s="5" t="s">
        <v>409</v>
      </c>
      <c r="MNB2" s="5" t="s">
        <v>409</v>
      </c>
      <c r="MNC2" s="5" t="s">
        <v>409</v>
      </c>
      <c r="MND2" s="5" t="s">
        <v>409</v>
      </c>
      <c r="MNE2" s="5" t="s">
        <v>409</v>
      </c>
      <c r="MNF2" s="5" t="s">
        <v>409</v>
      </c>
      <c r="MNG2" s="5" t="s">
        <v>409</v>
      </c>
      <c r="MNH2" s="5" t="s">
        <v>409</v>
      </c>
      <c r="MNI2" s="5" t="s">
        <v>409</v>
      </c>
      <c r="MNJ2" s="5" t="s">
        <v>409</v>
      </c>
      <c r="MNK2" s="5" t="s">
        <v>409</v>
      </c>
      <c r="MNL2" s="5" t="s">
        <v>409</v>
      </c>
      <c r="MNM2" s="5" t="s">
        <v>409</v>
      </c>
      <c r="MNN2" s="5" t="s">
        <v>409</v>
      </c>
      <c r="MNO2" s="5" t="s">
        <v>409</v>
      </c>
      <c r="MNP2" s="5" t="s">
        <v>409</v>
      </c>
      <c r="MNQ2" s="5" t="s">
        <v>409</v>
      </c>
      <c r="MNR2" s="5" t="s">
        <v>409</v>
      </c>
      <c r="MNS2" s="5" t="s">
        <v>409</v>
      </c>
      <c r="MNT2" s="5" t="s">
        <v>409</v>
      </c>
      <c r="MNU2" s="5" t="s">
        <v>409</v>
      </c>
      <c r="MNV2" s="5" t="s">
        <v>409</v>
      </c>
      <c r="MNW2" s="5" t="s">
        <v>409</v>
      </c>
      <c r="MNX2" s="5" t="s">
        <v>409</v>
      </c>
      <c r="MNY2" s="5" t="s">
        <v>409</v>
      </c>
      <c r="MNZ2" s="5" t="s">
        <v>409</v>
      </c>
      <c r="MOA2" s="5" t="s">
        <v>409</v>
      </c>
      <c r="MOB2" s="5" t="s">
        <v>409</v>
      </c>
      <c r="MOC2" s="5" t="s">
        <v>409</v>
      </c>
      <c r="MOD2" s="5" t="s">
        <v>409</v>
      </c>
      <c r="MOE2" s="5" t="s">
        <v>409</v>
      </c>
      <c r="MOF2" s="5" t="s">
        <v>409</v>
      </c>
      <c r="MOG2" s="5" t="s">
        <v>409</v>
      </c>
      <c r="MOH2" s="5" t="s">
        <v>409</v>
      </c>
      <c r="MOI2" s="5" t="s">
        <v>409</v>
      </c>
      <c r="MOJ2" s="5" t="s">
        <v>409</v>
      </c>
      <c r="MOK2" s="5" t="s">
        <v>409</v>
      </c>
      <c r="MOL2" s="5" t="s">
        <v>409</v>
      </c>
      <c r="MOM2" s="5" t="s">
        <v>409</v>
      </c>
      <c r="MON2" s="5" t="s">
        <v>409</v>
      </c>
      <c r="MOO2" s="5" t="s">
        <v>409</v>
      </c>
      <c r="MOP2" s="5" t="s">
        <v>409</v>
      </c>
      <c r="MOQ2" s="5" t="s">
        <v>409</v>
      </c>
      <c r="MOR2" s="5" t="s">
        <v>409</v>
      </c>
      <c r="MOS2" s="5" t="s">
        <v>409</v>
      </c>
      <c r="MOT2" s="5" t="s">
        <v>409</v>
      </c>
      <c r="MOU2" s="5" t="s">
        <v>409</v>
      </c>
      <c r="MOV2" s="5" t="s">
        <v>409</v>
      </c>
      <c r="MOW2" s="5" t="s">
        <v>409</v>
      </c>
      <c r="MOX2" s="5" t="s">
        <v>409</v>
      </c>
      <c r="MOY2" s="5" t="s">
        <v>409</v>
      </c>
      <c r="MOZ2" s="5" t="s">
        <v>409</v>
      </c>
      <c r="MPA2" s="5" t="s">
        <v>409</v>
      </c>
      <c r="MPB2" s="5" t="s">
        <v>409</v>
      </c>
      <c r="MPC2" s="5" t="s">
        <v>409</v>
      </c>
      <c r="MPD2" s="5" t="s">
        <v>409</v>
      </c>
      <c r="MPE2" s="5" t="s">
        <v>409</v>
      </c>
      <c r="MPF2" s="5" t="s">
        <v>409</v>
      </c>
      <c r="MPG2" s="5" t="s">
        <v>409</v>
      </c>
      <c r="MPH2" s="5" t="s">
        <v>409</v>
      </c>
      <c r="MPI2" s="5" t="s">
        <v>409</v>
      </c>
      <c r="MPJ2" s="5" t="s">
        <v>409</v>
      </c>
      <c r="MPK2" s="5" t="s">
        <v>409</v>
      </c>
      <c r="MPL2" s="5" t="s">
        <v>409</v>
      </c>
      <c r="MPM2" s="5" t="s">
        <v>409</v>
      </c>
      <c r="MPN2" s="5" t="s">
        <v>409</v>
      </c>
      <c r="MPO2" s="5" t="s">
        <v>409</v>
      </c>
      <c r="MPP2" s="5" t="s">
        <v>409</v>
      </c>
      <c r="MPQ2" s="5" t="s">
        <v>409</v>
      </c>
      <c r="MPR2" s="5" t="s">
        <v>409</v>
      </c>
      <c r="MPS2" s="5" t="s">
        <v>409</v>
      </c>
      <c r="MPT2" s="5" t="s">
        <v>409</v>
      </c>
      <c r="MPU2" s="5" t="s">
        <v>409</v>
      </c>
      <c r="MPV2" s="5" t="s">
        <v>409</v>
      </c>
      <c r="MPW2" s="5" t="s">
        <v>409</v>
      </c>
      <c r="MPX2" s="5" t="s">
        <v>409</v>
      </c>
      <c r="MPY2" s="5" t="s">
        <v>409</v>
      </c>
      <c r="MPZ2" s="5" t="s">
        <v>409</v>
      </c>
      <c r="MQA2" s="5" t="s">
        <v>409</v>
      </c>
      <c r="MQB2" s="5" t="s">
        <v>409</v>
      </c>
      <c r="MQC2" s="5" t="s">
        <v>409</v>
      </c>
      <c r="MQD2" s="5" t="s">
        <v>409</v>
      </c>
      <c r="MQE2" s="5" t="s">
        <v>409</v>
      </c>
      <c r="MQF2" s="5" t="s">
        <v>409</v>
      </c>
      <c r="MQG2" s="5" t="s">
        <v>409</v>
      </c>
      <c r="MQH2" s="5" t="s">
        <v>409</v>
      </c>
      <c r="MQI2" s="5" t="s">
        <v>409</v>
      </c>
      <c r="MQJ2" s="5" t="s">
        <v>409</v>
      </c>
      <c r="MQK2" s="5" t="s">
        <v>409</v>
      </c>
      <c r="MQL2" s="5" t="s">
        <v>409</v>
      </c>
      <c r="MQM2" s="5" t="s">
        <v>409</v>
      </c>
      <c r="MQN2" s="5" t="s">
        <v>409</v>
      </c>
      <c r="MQO2" s="5" t="s">
        <v>409</v>
      </c>
      <c r="MQP2" s="5" t="s">
        <v>409</v>
      </c>
      <c r="MQQ2" s="5" t="s">
        <v>409</v>
      </c>
      <c r="MQR2" s="5" t="s">
        <v>409</v>
      </c>
      <c r="MQS2" s="5" t="s">
        <v>409</v>
      </c>
      <c r="MQT2" s="5" t="s">
        <v>409</v>
      </c>
      <c r="MQU2" s="5" t="s">
        <v>409</v>
      </c>
      <c r="MQV2" s="5" t="s">
        <v>409</v>
      </c>
      <c r="MQW2" s="5" t="s">
        <v>409</v>
      </c>
      <c r="MQX2" s="5" t="s">
        <v>409</v>
      </c>
      <c r="MQY2" s="5" t="s">
        <v>409</v>
      </c>
      <c r="MQZ2" s="5" t="s">
        <v>409</v>
      </c>
      <c r="MRA2" s="5" t="s">
        <v>409</v>
      </c>
      <c r="MRB2" s="5" t="s">
        <v>409</v>
      </c>
      <c r="MRC2" s="5" t="s">
        <v>409</v>
      </c>
      <c r="MRD2" s="5" t="s">
        <v>409</v>
      </c>
      <c r="MRE2" s="5" t="s">
        <v>409</v>
      </c>
      <c r="MRF2" s="5" t="s">
        <v>409</v>
      </c>
      <c r="MRG2" s="5" t="s">
        <v>409</v>
      </c>
      <c r="MRH2" s="5" t="s">
        <v>409</v>
      </c>
      <c r="MRI2" s="5" t="s">
        <v>409</v>
      </c>
      <c r="MRJ2" s="5" t="s">
        <v>409</v>
      </c>
      <c r="MRK2" s="5" t="s">
        <v>409</v>
      </c>
      <c r="MRL2" s="5" t="s">
        <v>409</v>
      </c>
      <c r="MRM2" s="5" t="s">
        <v>409</v>
      </c>
      <c r="MRN2" s="5" t="s">
        <v>409</v>
      </c>
      <c r="MRO2" s="5" t="s">
        <v>409</v>
      </c>
      <c r="MRP2" s="5" t="s">
        <v>409</v>
      </c>
      <c r="MRQ2" s="5" t="s">
        <v>409</v>
      </c>
      <c r="MRR2" s="5" t="s">
        <v>409</v>
      </c>
      <c r="MRS2" s="5" t="s">
        <v>409</v>
      </c>
      <c r="MRT2" s="5" t="s">
        <v>409</v>
      </c>
      <c r="MRU2" s="5" t="s">
        <v>409</v>
      </c>
      <c r="MRV2" s="5" t="s">
        <v>409</v>
      </c>
      <c r="MRW2" s="5" t="s">
        <v>409</v>
      </c>
      <c r="MRX2" s="5" t="s">
        <v>409</v>
      </c>
      <c r="MRY2" s="5" t="s">
        <v>409</v>
      </c>
      <c r="MRZ2" s="5" t="s">
        <v>409</v>
      </c>
      <c r="MSA2" s="5" t="s">
        <v>409</v>
      </c>
      <c r="MSB2" s="5" t="s">
        <v>409</v>
      </c>
      <c r="MSC2" s="5" t="s">
        <v>409</v>
      </c>
      <c r="MSD2" s="5" t="s">
        <v>409</v>
      </c>
      <c r="MSE2" s="5" t="s">
        <v>409</v>
      </c>
      <c r="MSF2" s="5" t="s">
        <v>409</v>
      </c>
      <c r="MSG2" s="5" t="s">
        <v>409</v>
      </c>
      <c r="MSH2" s="5" t="s">
        <v>409</v>
      </c>
      <c r="MSI2" s="5" t="s">
        <v>409</v>
      </c>
      <c r="MSJ2" s="5" t="s">
        <v>409</v>
      </c>
      <c r="MSK2" s="5" t="s">
        <v>409</v>
      </c>
      <c r="MSL2" s="5" t="s">
        <v>409</v>
      </c>
      <c r="MSM2" s="5" t="s">
        <v>409</v>
      </c>
      <c r="MSN2" s="5" t="s">
        <v>409</v>
      </c>
      <c r="MSO2" s="5" t="s">
        <v>409</v>
      </c>
      <c r="MSP2" s="5" t="s">
        <v>409</v>
      </c>
      <c r="MSQ2" s="5" t="s">
        <v>409</v>
      </c>
      <c r="MSR2" s="5" t="s">
        <v>409</v>
      </c>
      <c r="MSS2" s="5" t="s">
        <v>409</v>
      </c>
      <c r="MST2" s="5" t="s">
        <v>409</v>
      </c>
      <c r="MSU2" s="5" t="s">
        <v>409</v>
      </c>
      <c r="MSV2" s="5" t="s">
        <v>409</v>
      </c>
      <c r="MSW2" s="5" t="s">
        <v>409</v>
      </c>
      <c r="MSX2" s="5" t="s">
        <v>409</v>
      </c>
      <c r="MSY2" s="5" t="s">
        <v>409</v>
      </c>
      <c r="MSZ2" s="5" t="s">
        <v>409</v>
      </c>
      <c r="MTA2" s="5" t="s">
        <v>409</v>
      </c>
      <c r="MTB2" s="5" t="s">
        <v>409</v>
      </c>
      <c r="MTC2" s="5" t="s">
        <v>409</v>
      </c>
      <c r="MTD2" s="5" t="s">
        <v>409</v>
      </c>
      <c r="MTE2" s="5" t="s">
        <v>409</v>
      </c>
      <c r="MTF2" s="5" t="s">
        <v>409</v>
      </c>
      <c r="MTG2" s="5" t="s">
        <v>409</v>
      </c>
      <c r="MTH2" s="5" t="s">
        <v>409</v>
      </c>
      <c r="MTI2" s="5" t="s">
        <v>409</v>
      </c>
      <c r="MTJ2" s="5" t="s">
        <v>409</v>
      </c>
      <c r="MTK2" s="5" t="s">
        <v>409</v>
      </c>
      <c r="MTL2" s="5" t="s">
        <v>409</v>
      </c>
      <c r="MTM2" s="5" t="s">
        <v>409</v>
      </c>
      <c r="MTN2" s="5" t="s">
        <v>409</v>
      </c>
      <c r="MTO2" s="5" t="s">
        <v>409</v>
      </c>
      <c r="MTP2" s="5" t="s">
        <v>409</v>
      </c>
      <c r="MTQ2" s="5" t="s">
        <v>409</v>
      </c>
      <c r="MTR2" s="5" t="s">
        <v>409</v>
      </c>
      <c r="MTS2" s="5" t="s">
        <v>409</v>
      </c>
      <c r="MTT2" s="5" t="s">
        <v>409</v>
      </c>
      <c r="MTU2" s="5" t="s">
        <v>409</v>
      </c>
      <c r="MTV2" s="5" t="s">
        <v>409</v>
      </c>
      <c r="MTW2" s="5" t="s">
        <v>409</v>
      </c>
      <c r="MTX2" s="5" t="s">
        <v>409</v>
      </c>
      <c r="MTY2" s="5" t="s">
        <v>409</v>
      </c>
      <c r="MTZ2" s="5" t="s">
        <v>409</v>
      </c>
      <c r="MUA2" s="5" t="s">
        <v>409</v>
      </c>
      <c r="MUB2" s="5" t="s">
        <v>409</v>
      </c>
      <c r="MUC2" s="5" t="s">
        <v>409</v>
      </c>
      <c r="MUD2" s="5" t="s">
        <v>409</v>
      </c>
      <c r="MUE2" s="5" t="s">
        <v>409</v>
      </c>
      <c r="MUF2" s="5" t="s">
        <v>409</v>
      </c>
      <c r="MUG2" s="5" t="s">
        <v>409</v>
      </c>
      <c r="MUH2" s="5" t="s">
        <v>409</v>
      </c>
      <c r="MUI2" s="5" t="s">
        <v>409</v>
      </c>
      <c r="MUJ2" s="5" t="s">
        <v>409</v>
      </c>
      <c r="MUK2" s="5" t="s">
        <v>409</v>
      </c>
      <c r="MUL2" s="5" t="s">
        <v>409</v>
      </c>
      <c r="MUM2" s="5" t="s">
        <v>409</v>
      </c>
      <c r="MUN2" s="5" t="s">
        <v>409</v>
      </c>
      <c r="MUO2" s="5" t="s">
        <v>409</v>
      </c>
      <c r="MUP2" s="5" t="s">
        <v>409</v>
      </c>
      <c r="MUQ2" s="5" t="s">
        <v>409</v>
      </c>
      <c r="MUR2" s="5" t="s">
        <v>409</v>
      </c>
      <c r="MUS2" s="5" t="s">
        <v>409</v>
      </c>
      <c r="MUT2" s="5" t="s">
        <v>409</v>
      </c>
      <c r="MUU2" s="5" t="s">
        <v>409</v>
      </c>
      <c r="MUV2" s="5" t="s">
        <v>409</v>
      </c>
      <c r="MUW2" s="5" t="s">
        <v>409</v>
      </c>
      <c r="MUX2" s="5" t="s">
        <v>409</v>
      </c>
      <c r="MUY2" s="5" t="s">
        <v>409</v>
      </c>
      <c r="MUZ2" s="5" t="s">
        <v>409</v>
      </c>
      <c r="MVA2" s="5" t="s">
        <v>409</v>
      </c>
      <c r="MVB2" s="5" t="s">
        <v>409</v>
      </c>
      <c r="MVC2" s="5" t="s">
        <v>409</v>
      </c>
      <c r="MVD2" s="5" t="s">
        <v>409</v>
      </c>
      <c r="MVE2" s="5" t="s">
        <v>409</v>
      </c>
      <c r="MVF2" s="5" t="s">
        <v>409</v>
      </c>
      <c r="MVG2" s="5" t="s">
        <v>409</v>
      </c>
      <c r="MVH2" s="5" t="s">
        <v>409</v>
      </c>
      <c r="MVI2" s="5" t="s">
        <v>409</v>
      </c>
      <c r="MVJ2" s="5" t="s">
        <v>409</v>
      </c>
      <c r="MVK2" s="5" t="s">
        <v>409</v>
      </c>
      <c r="MVL2" s="5" t="s">
        <v>409</v>
      </c>
      <c r="MVM2" s="5" t="s">
        <v>409</v>
      </c>
      <c r="MVN2" s="5" t="s">
        <v>409</v>
      </c>
      <c r="MVO2" s="5" t="s">
        <v>409</v>
      </c>
      <c r="MVP2" s="5" t="s">
        <v>409</v>
      </c>
      <c r="MVQ2" s="5" t="s">
        <v>409</v>
      </c>
      <c r="MVR2" s="5" t="s">
        <v>409</v>
      </c>
      <c r="MVS2" s="5" t="s">
        <v>409</v>
      </c>
      <c r="MVT2" s="5" t="s">
        <v>409</v>
      </c>
      <c r="MVU2" s="5" t="s">
        <v>409</v>
      </c>
      <c r="MVV2" s="5" t="s">
        <v>409</v>
      </c>
      <c r="MVW2" s="5" t="s">
        <v>409</v>
      </c>
      <c r="MVX2" s="5" t="s">
        <v>409</v>
      </c>
      <c r="MVY2" s="5" t="s">
        <v>409</v>
      </c>
      <c r="MVZ2" s="5" t="s">
        <v>409</v>
      </c>
      <c r="MWA2" s="5" t="s">
        <v>409</v>
      </c>
      <c r="MWB2" s="5" t="s">
        <v>409</v>
      </c>
      <c r="MWC2" s="5" t="s">
        <v>409</v>
      </c>
      <c r="MWD2" s="5" t="s">
        <v>409</v>
      </c>
      <c r="MWE2" s="5" t="s">
        <v>409</v>
      </c>
      <c r="MWF2" s="5" t="s">
        <v>409</v>
      </c>
      <c r="MWG2" s="5" t="s">
        <v>409</v>
      </c>
      <c r="MWH2" s="5" t="s">
        <v>409</v>
      </c>
      <c r="MWI2" s="5" t="s">
        <v>409</v>
      </c>
      <c r="MWJ2" s="5" t="s">
        <v>409</v>
      </c>
      <c r="MWK2" s="5" t="s">
        <v>409</v>
      </c>
      <c r="MWL2" s="5" t="s">
        <v>409</v>
      </c>
      <c r="MWM2" s="5" t="s">
        <v>409</v>
      </c>
      <c r="MWN2" s="5" t="s">
        <v>409</v>
      </c>
      <c r="MWO2" s="5" t="s">
        <v>409</v>
      </c>
      <c r="MWP2" s="5" t="s">
        <v>409</v>
      </c>
      <c r="MWQ2" s="5" t="s">
        <v>409</v>
      </c>
      <c r="MWR2" s="5" t="s">
        <v>409</v>
      </c>
      <c r="MWS2" s="5" t="s">
        <v>409</v>
      </c>
      <c r="MWT2" s="5" t="s">
        <v>409</v>
      </c>
      <c r="MWU2" s="5" t="s">
        <v>409</v>
      </c>
      <c r="MWV2" s="5" t="s">
        <v>409</v>
      </c>
      <c r="MWW2" s="5" t="s">
        <v>409</v>
      </c>
      <c r="MWX2" s="5" t="s">
        <v>409</v>
      </c>
      <c r="MWY2" s="5" t="s">
        <v>409</v>
      </c>
      <c r="MWZ2" s="5" t="s">
        <v>409</v>
      </c>
      <c r="MXA2" s="5" t="s">
        <v>409</v>
      </c>
      <c r="MXB2" s="5" t="s">
        <v>409</v>
      </c>
      <c r="MXC2" s="5" t="s">
        <v>409</v>
      </c>
      <c r="MXD2" s="5" t="s">
        <v>409</v>
      </c>
      <c r="MXE2" s="5" t="s">
        <v>409</v>
      </c>
      <c r="MXF2" s="5" t="s">
        <v>409</v>
      </c>
      <c r="MXG2" s="5" t="s">
        <v>409</v>
      </c>
      <c r="MXH2" s="5" t="s">
        <v>409</v>
      </c>
      <c r="MXI2" s="5" t="s">
        <v>409</v>
      </c>
      <c r="MXJ2" s="5" t="s">
        <v>409</v>
      </c>
      <c r="MXK2" s="5" t="s">
        <v>409</v>
      </c>
      <c r="MXL2" s="5" t="s">
        <v>409</v>
      </c>
      <c r="MXM2" s="5" t="s">
        <v>409</v>
      </c>
      <c r="MXN2" s="5" t="s">
        <v>409</v>
      </c>
      <c r="MXO2" s="5" t="s">
        <v>409</v>
      </c>
      <c r="MXP2" s="5" t="s">
        <v>409</v>
      </c>
      <c r="MXQ2" s="5" t="s">
        <v>409</v>
      </c>
      <c r="MXR2" s="5" t="s">
        <v>409</v>
      </c>
      <c r="MXS2" s="5" t="s">
        <v>409</v>
      </c>
      <c r="MXT2" s="5" t="s">
        <v>409</v>
      </c>
      <c r="MXU2" s="5" t="s">
        <v>409</v>
      </c>
      <c r="MXV2" s="5" t="s">
        <v>409</v>
      </c>
      <c r="MXW2" s="5" t="s">
        <v>409</v>
      </c>
      <c r="MXX2" s="5" t="s">
        <v>409</v>
      </c>
      <c r="MXY2" s="5" t="s">
        <v>409</v>
      </c>
      <c r="MXZ2" s="5" t="s">
        <v>409</v>
      </c>
      <c r="MYA2" s="5" t="s">
        <v>409</v>
      </c>
      <c r="MYB2" s="5" t="s">
        <v>409</v>
      </c>
      <c r="MYC2" s="5" t="s">
        <v>409</v>
      </c>
      <c r="MYD2" s="5" t="s">
        <v>409</v>
      </c>
      <c r="MYE2" s="5" t="s">
        <v>409</v>
      </c>
      <c r="MYF2" s="5" t="s">
        <v>409</v>
      </c>
      <c r="MYG2" s="5" t="s">
        <v>409</v>
      </c>
      <c r="MYH2" s="5" t="s">
        <v>409</v>
      </c>
      <c r="MYI2" s="5" t="s">
        <v>409</v>
      </c>
      <c r="MYJ2" s="5" t="s">
        <v>409</v>
      </c>
      <c r="MYK2" s="5" t="s">
        <v>409</v>
      </c>
      <c r="MYL2" s="5" t="s">
        <v>409</v>
      </c>
      <c r="MYM2" s="5" t="s">
        <v>409</v>
      </c>
      <c r="MYN2" s="5" t="s">
        <v>409</v>
      </c>
      <c r="MYO2" s="5" t="s">
        <v>409</v>
      </c>
      <c r="MYP2" s="5" t="s">
        <v>409</v>
      </c>
      <c r="MYQ2" s="5" t="s">
        <v>409</v>
      </c>
      <c r="MYR2" s="5" t="s">
        <v>409</v>
      </c>
      <c r="MYS2" s="5" t="s">
        <v>409</v>
      </c>
      <c r="MYT2" s="5" t="s">
        <v>409</v>
      </c>
      <c r="MYU2" s="5" t="s">
        <v>409</v>
      </c>
      <c r="MYV2" s="5" t="s">
        <v>409</v>
      </c>
      <c r="MYW2" s="5" t="s">
        <v>409</v>
      </c>
      <c r="MYX2" s="5" t="s">
        <v>409</v>
      </c>
      <c r="MYY2" s="5" t="s">
        <v>409</v>
      </c>
      <c r="MYZ2" s="5" t="s">
        <v>409</v>
      </c>
      <c r="MZA2" s="5" t="s">
        <v>409</v>
      </c>
      <c r="MZB2" s="5" t="s">
        <v>409</v>
      </c>
      <c r="MZC2" s="5" t="s">
        <v>409</v>
      </c>
      <c r="MZD2" s="5" t="s">
        <v>409</v>
      </c>
      <c r="MZE2" s="5" t="s">
        <v>409</v>
      </c>
      <c r="MZF2" s="5" t="s">
        <v>409</v>
      </c>
      <c r="MZG2" s="5" t="s">
        <v>409</v>
      </c>
      <c r="MZH2" s="5" t="s">
        <v>409</v>
      </c>
      <c r="MZI2" s="5" t="s">
        <v>409</v>
      </c>
      <c r="MZJ2" s="5" t="s">
        <v>409</v>
      </c>
      <c r="MZK2" s="5" t="s">
        <v>409</v>
      </c>
      <c r="MZL2" s="5" t="s">
        <v>409</v>
      </c>
      <c r="MZM2" s="5" t="s">
        <v>409</v>
      </c>
      <c r="MZN2" s="5" t="s">
        <v>409</v>
      </c>
      <c r="MZO2" s="5" t="s">
        <v>409</v>
      </c>
      <c r="MZP2" s="5" t="s">
        <v>409</v>
      </c>
      <c r="MZQ2" s="5" t="s">
        <v>409</v>
      </c>
      <c r="MZR2" s="5" t="s">
        <v>409</v>
      </c>
      <c r="MZS2" s="5" t="s">
        <v>409</v>
      </c>
      <c r="MZT2" s="5" t="s">
        <v>409</v>
      </c>
      <c r="MZU2" s="5" t="s">
        <v>409</v>
      </c>
      <c r="MZV2" s="5" t="s">
        <v>409</v>
      </c>
      <c r="MZW2" s="5" t="s">
        <v>409</v>
      </c>
      <c r="MZX2" s="5" t="s">
        <v>409</v>
      </c>
      <c r="MZY2" s="5" t="s">
        <v>409</v>
      </c>
      <c r="MZZ2" s="5" t="s">
        <v>409</v>
      </c>
      <c r="NAA2" s="5" t="s">
        <v>409</v>
      </c>
      <c r="NAB2" s="5" t="s">
        <v>409</v>
      </c>
      <c r="NAC2" s="5" t="s">
        <v>409</v>
      </c>
      <c r="NAD2" s="5" t="s">
        <v>409</v>
      </c>
      <c r="NAE2" s="5" t="s">
        <v>409</v>
      </c>
      <c r="NAF2" s="5" t="s">
        <v>409</v>
      </c>
      <c r="NAG2" s="5" t="s">
        <v>409</v>
      </c>
      <c r="NAH2" s="5" t="s">
        <v>409</v>
      </c>
      <c r="NAI2" s="5" t="s">
        <v>409</v>
      </c>
      <c r="NAJ2" s="5" t="s">
        <v>409</v>
      </c>
      <c r="NAK2" s="5" t="s">
        <v>409</v>
      </c>
      <c r="NAL2" s="5" t="s">
        <v>409</v>
      </c>
      <c r="NAM2" s="5" t="s">
        <v>409</v>
      </c>
      <c r="NAN2" s="5" t="s">
        <v>409</v>
      </c>
      <c r="NAO2" s="5" t="s">
        <v>409</v>
      </c>
      <c r="NAP2" s="5" t="s">
        <v>409</v>
      </c>
      <c r="NAQ2" s="5" t="s">
        <v>409</v>
      </c>
      <c r="NAR2" s="5" t="s">
        <v>409</v>
      </c>
      <c r="NAS2" s="5" t="s">
        <v>409</v>
      </c>
      <c r="NAT2" s="5" t="s">
        <v>409</v>
      </c>
      <c r="NAU2" s="5" t="s">
        <v>409</v>
      </c>
      <c r="NAV2" s="5" t="s">
        <v>409</v>
      </c>
      <c r="NAW2" s="5" t="s">
        <v>409</v>
      </c>
      <c r="NAX2" s="5" t="s">
        <v>409</v>
      </c>
      <c r="NAY2" s="5" t="s">
        <v>409</v>
      </c>
      <c r="NAZ2" s="5" t="s">
        <v>409</v>
      </c>
      <c r="NBA2" s="5" t="s">
        <v>409</v>
      </c>
      <c r="NBB2" s="5" t="s">
        <v>409</v>
      </c>
      <c r="NBC2" s="5" t="s">
        <v>409</v>
      </c>
      <c r="NBD2" s="5" t="s">
        <v>409</v>
      </c>
      <c r="NBE2" s="5" t="s">
        <v>409</v>
      </c>
      <c r="NBF2" s="5" t="s">
        <v>409</v>
      </c>
      <c r="NBG2" s="5" t="s">
        <v>409</v>
      </c>
      <c r="NBH2" s="5" t="s">
        <v>409</v>
      </c>
      <c r="NBI2" s="5" t="s">
        <v>409</v>
      </c>
      <c r="NBJ2" s="5" t="s">
        <v>409</v>
      </c>
      <c r="NBK2" s="5" t="s">
        <v>409</v>
      </c>
      <c r="NBL2" s="5" t="s">
        <v>409</v>
      </c>
      <c r="NBM2" s="5" t="s">
        <v>409</v>
      </c>
      <c r="NBN2" s="5" t="s">
        <v>409</v>
      </c>
      <c r="NBO2" s="5" t="s">
        <v>409</v>
      </c>
      <c r="NBP2" s="5" t="s">
        <v>409</v>
      </c>
      <c r="NBQ2" s="5" t="s">
        <v>409</v>
      </c>
      <c r="NBR2" s="5" t="s">
        <v>409</v>
      </c>
      <c r="NBS2" s="5" t="s">
        <v>409</v>
      </c>
      <c r="NBT2" s="5" t="s">
        <v>409</v>
      </c>
      <c r="NBU2" s="5" t="s">
        <v>409</v>
      </c>
      <c r="NBV2" s="5" t="s">
        <v>409</v>
      </c>
      <c r="NBW2" s="5" t="s">
        <v>409</v>
      </c>
      <c r="NBX2" s="5" t="s">
        <v>409</v>
      </c>
      <c r="NBY2" s="5" t="s">
        <v>409</v>
      </c>
      <c r="NBZ2" s="5" t="s">
        <v>409</v>
      </c>
      <c r="NCA2" s="5" t="s">
        <v>409</v>
      </c>
      <c r="NCB2" s="5" t="s">
        <v>409</v>
      </c>
      <c r="NCC2" s="5" t="s">
        <v>409</v>
      </c>
      <c r="NCD2" s="5" t="s">
        <v>409</v>
      </c>
      <c r="NCE2" s="5" t="s">
        <v>409</v>
      </c>
      <c r="NCF2" s="5" t="s">
        <v>409</v>
      </c>
      <c r="NCG2" s="5" t="s">
        <v>409</v>
      </c>
      <c r="NCH2" s="5" t="s">
        <v>409</v>
      </c>
      <c r="NCI2" s="5" t="s">
        <v>409</v>
      </c>
      <c r="NCJ2" s="5" t="s">
        <v>409</v>
      </c>
      <c r="NCK2" s="5" t="s">
        <v>409</v>
      </c>
      <c r="NCL2" s="5" t="s">
        <v>409</v>
      </c>
      <c r="NCM2" s="5" t="s">
        <v>409</v>
      </c>
      <c r="NCN2" s="5" t="s">
        <v>409</v>
      </c>
      <c r="NCO2" s="5" t="s">
        <v>409</v>
      </c>
      <c r="NCP2" s="5" t="s">
        <v>409</v>
      </c>
      <c r="NCQ2" s="5" t="s">
        <v>409</v>
      </c>
      <c r="NCR2" s="5" t="s">
        <v>409</v>
      </c>
      <c r="NCS2" s="5" t="s">
        <v>409</v>
      </c>
      <c r="NCT2" s="5" t="s">
        <v>409</v>
      </c>
      <c r="NCU2" s="5" t="s">
        <v>409</v>
      </c>
      <c r="NCV2" s="5" t="s">
        <v>409</v>
      </c>
      <c r="NCW2" s="5" t="s">
        <v>409</v>
      </c>
      <c r="NCX2" s="5" t="s">
        <v>409</v>
      </c>
      <c r="NCY2" s="5" t="s">
        <v>409</v>
      </c>
      <c r="NCZ2" s="5" t="s">
        <v>409</v>
      </c>
      <c r="NDA2" s="5" t="s">
        <v>409</v>
      </c>
      <c r="NDB2" s="5" t="s">
        <v>409</v>
      </c>
      <c r="NDC2" s="5" t="s">
        <v>409</v>
      </c>
      <c r="NDD2" s="5" t="s">
        <v>409</v>
      </c>
      <c r="NDE2" s="5" t="s">
        <v>409</v>
      </c>
      <c r="NDF2" s="5" t="s">
        <v>409</v>
      </c>
      <c r="NDG2" s="5" t="s">
        <v>409</v>
      </c>
      <c r="NDH2" s="5" t="s">
        <v>409</v>
      </c>
      <c r="NDI2" s="5" t="s">
        <v>409</v>
      </c>
      <c r="NDJ2" s="5" t="s">
        <v>409</v>
      </c>
      <c r="NDK2" s="5" t="s">
        <v>409</v>
      </c>
      <c r="NDL2" s="5" t="s">
        <v>409</v>
      </c>
      <c r="NDM2" s="5" t="s">
        <v>409</v>
      </c>
      <c r="NDN2" s="5" t="s">
        <v>409</v>
      </c>
      <c r="NDO2" s="5" t="s">
        <v>409</v>
      </c>
      <c r="NDP2" s="5" t="s">
        <v>409</v>
      </c>
      <c r="NDQ2" s="5" t="s">
        <v>409</v>
      </c>
      <c r="NDR2" s="5" t="s">
        <v>409</v>
      </c>
      <c r="NDS2" s="5" t="s">
        <v>409</v>
      </c>
      <c r="NDT2" s="5" t="s">
        <v>409</v>
      </c>
      <c r="NDU2" s="5" t="s">
        <v>409</v>
      </c>
      <c r="NDV2" s="5" t="s">
        <v>409</v>
      </c>
      <c r="NDW2" s="5" t="s">
        <v>409</v>
      </c>
      <c r="NDX2" s="5" t="s">
        <v>409</v>
      </c>
      <c r="NDY2" s="5" t="s">
        <v>409</v>
      </c>
      <c r="NDZ2" s="5" t="s">
        <v>409</v>
      </c>
      <c r="NEA2" s="5" t="s">
        <v>409</v>
      </c>
      <c r="NEB2" s="5" t="s">
        <v>409</v>
      </c>
      <c r="NEC2" s="5" t="s">
        <v>409</v>
      </c>
      <c r="NED2" s="5" t="s">
        <v>409</v>
      </c>
      <c r="NEE2" s="5" t="s">
        <v>409</v>
      </c>
      <c r="NEF2" s="5" t="s">
        <v>409</v>
      </c>
      <c r="NEG2" s="5" t="s">
        <v>409</v>
      </c>
      <c r="NEH2" s="5" t="s">
        <v>409</v>
      </c>
      <c r="NEI2" s="5" t="s">
        <v>409</v>
      </c>
      <c r="NEJ2" s="5" t="s">
        <v>409</v>
      </c>
      <c r="NEK2" s="5" t="s">
        <v>409</v>
      </c>
      <c r="NEL2" s="5" t="s">
        <v>409</v>
      </c>
      <c r="NEM2" s="5" t="s">
        <v>409</v>
      </c>
      <c r="NEN2" s="5" t="s">
        <v>409</v>
      </c>
      <c r="NEO2" s="5" t="s">
        <v>409</v>
      </c>
      <c r="NEP2" s="5" t="s">
        <v>409</v>
      </c>
      <c r="NEQ2" s="5" t="s">
        <v>409</v>
      </c>
      <c r="NER2" s="5" t="s">
        <v>409</v>
      </c>
      <c r="NES2" s="5" t="s">
        <v>409</v>
      </c>
      <c r="NET2" s="5" t="s">
        <v>409</v>
      </c>
      <c r="NEU2" s="5" t="s">
        <v>409</v>
      </c>
      <c r="NEV2" s="5" t="s">
        <v>409</v>
      </c>
      <c r="NEW2" s="5" t="s">
        <v>409</v>
      </c>
      <c r="NEX2" s="5" t="s">
        <v>409</v>
      </c>
      <c r="NEY2" s="5" t="s">
        <v>409</v>
      </c>
      <c r="NEZ2" s="5" t="s">
        <v>409</v>
      </c>
      <c r="NFA2" s="5" t="s">
        <v>409</v>
      </c>
      <c r="NFB2" s="5" t="s">
        <v>409</v>
      </c>
      <c r="NFC2" s="5" t="s">
        <v>409</v>
      </c>
      <c r="NFD2" s="5" t="s">
        <v>409</v>
      </c>
      <c r="NFE2" s="5" t="s">
        <v>409</v>
      </c>
      <c r="NFF2" s="5" t="s">
        <v>409</v>
      </c>
      <c r="NFG2" s="5" t="s">
        <v>409</v>
      </c>
      <c r="NFH2" s="5" t="s">
        <v>409</v>
      </c>
      <c r="NFI2" s="5" t="s">
        <v>409</v>
      </c>
      <c r="NFJ2" s="5" t="s">
        <v>409</v>
      </c>
      <c r="NFK2" s="5" t="s">
        <v>409</v>
      </c>
      <c r="NFL2" s="5" t="s">
        <v>409</v>
      </c>
      <c r="NFM2" s="5" t="s">
        <v>409</v>
      </c>
      <c r="NFN2" s="5" t="s">
        <v>409</v>
      </c>
      <c r="NFO2" s="5" t="s">
        <v>409</v>
      </c>
      <c r="NFP2" s="5" t="s">
        <v>409</v>
      </c>
      <c r="NFQ2" s="5" t="s">
        <v>409</v>
      </c>
      <c r="NFR2" s="5" t="s">
        <v>409</v>
      </c>
      <c r="NFS2" s="5" t="s">
        <v>409</v>
      </c>
      <c r="NFT2" s="5" t="s">
        <v>409</v>
      </c>
      <c r="NFU2" s="5" t="s">
        <v>409</v>
      </c>
      <c r="NFV2" s="5" t="s">
        <v>409</v>
      </c>
      <c r="NFW2" s="5" t="s">
        <v>409</v>
      </c>
      <c r="NFX2" s="5" t="s">
        <v>409</v>
      </c>
      <c r="NFY2" s="5" t="s">
        <v>409</v>
      </c>
      <c r="NFZ2" s="5" t="s">
        <v>409</v>
      </c>
      <c r="NGA2" s="5" t="s">
        <v>409</v>
      </c>
      <c r="NGB2" s="5" t="s">
        <v>409</v>
      </c>
      <c r="NGC2" s="5" t="s">
        <v>409</v>
      </c>
      <c r="NGD2" s="5" t="s">
        <v>409</v>
      </c>
      <c r="NGE2" s="5" t="s">
        <v>409</v>
      </c>
      <c r="NGF2" s="5" t="s">
        <v>409</v>
      </c>
      <c r="NGG2" s="5" t="s">
        <v>409</v>
      </c>
      <c r="NGH2" s="5" t="s">
        <v>409</v>
      </c>
      <c r="NGI2" s="5" t="s">
        <v>409</v>
      </c>
      <c r="NGJ2" s="5" t="s">
        <v>409</v>
      </c>
      <c r="NGK2" s="5" t="s">
        <v>409</v>
      </c>
      <c r="NGL2" s="5" t="s">
        <v>409</v>
      </c>
      <c r="NGM2" s="5" t="s">
        <v>409</v>
      </c>
      <c r="NGN2" s="5" t="s">
        <v>409</v>
      </c>
      <c r="NGO2" s="5" t="s">
        <v>409</v>
      </c>
      <c r="NGP2" s="5" t="s">
        <v>409</v>
      </c>
      <c r="NGQ2" s="5" t="s">
        <v>409</v>
      </c>
      <c r="NGR2" s="5" t="s">
        <v>409</v>
      </c>
      <c r="NGS2" s="5" t="s">
        <v>409</v>
      </c>
      <c r="NGT2" s="5" t="s">
        <v>409</v>
      </c>
      <c r="NGU2" s="5" t="s">
        <v>409</v>
      </c>
      <c r="NGV2" s="5" t="s">
        <v>409</v>
      </c>
      <c r="NGW2" s="5" t="s">
        <v>409</v>
      </c>
      <c r="NGX2" s="5" t="s">
        <v>409</v>
      </c>
      <c r="NGY2" s="5" t="s">
        <v>409</v>
      </c>
      <c r="NGZ2" s="5" t="s">
        <v>409</v>
      </c>
      <c r="NHA2" s="5" t="s">
        <v>409</v>
      </c>
      <c r="NHB2" s="5" t="s">
        <v>409</v>
      </c>
      <c r="NHC2" s="5" t="s">
        <v>409</v>
      </c>
      <c r="NHD2" s="5" t="s">
        <v>409</v>
      </c>
      <c r="NHE2" s="5" t="s">
        <v>409</v>
      </c>
      <c r="NHF2" s="5" t="s">
        <v>409</v>
      </c>
      <c r="NHG2" s="5" t="s">
        <v>409</v>
      </c>
      <c r="NHH2" s="5" t="s">
        <v>409</v>
      </c>
      <c r="NHI2" s="5" t="s">
        <v>409</v>
      </c>
      <c r="NHJ2" s="5" t="s">
        <v>409</v>
      </c>
      <c r="NHK2" s="5" t="s">
        <v>409</v>
      </c>
      <c r="NHL2" s="5" t="s">
        <v>409</v>
      </c>
      <c r="NHM2" s="5" t="s">
        <v>409</v>
      </c>
      <c r="NHN2" s="5" t="s">
        <v>409</v>
      </c>
      <c r="NHO2" s="5" t="s">
        <v>409</v>
      </c>
      <c r="NHP2" s="5" t="s">
        <v>409</v>
      </c>
      <c r="NHQ2" s="5" t="s">
        <v>409</v>
      </c>
      <c r="NHR2" s="5" t="s">
        <v>409</v>
      </c>
      <c r="NHS2" s="5" t="s">
        <v>409</v>
      </c>
      <c r="NHT2" s="5" t="s">
        <v>409</v>
      </c>
      <c r="NHU2" s="5" t="s">
        <v>409</v>
      </c>
      <c r="NHV2" s="5" t="s">
        <v>409</v>
      </c>
      <c r="NHW2" s="5" t="s">
        <v>409</v>
      </c>
      <c r="NHX2" s="5" t="s">
        <v>409</v>
      </c>
      <c r="NHY2" s="5" t="s">
        <v>409</v>
      </c>
      <c r="NHZ2" s="5" t="s">
        <v>409</v>
      </c>
      <c r="NIA2" s="5" t="s">
        <v>409</v>
      </c>
      <c r="NIB2" s="5" t="s">
        <v>409</v>
      </c>
      <c r="NIC2" s="5" t="s">
        <v>409</v>
      </c>
      <c r="NID2" s="5" t="s">
        <v>409</v>
      </c>
      <c r="NIE2" s="5" t="s">
        <v>409</v>
      </c>
      <c r="NIF2" s="5" t="s">
        <v>409</v>
      </c>
      <c r="NIG2" s="5" t="s">
        <v>409</v>
      </c>
      <c r="NIH2" s="5" t="s">
        <v>409</v>
      </c>
      <c r="NII2" s="5" t="s">
        <v>409</v>
      </c>
      <c r="NIJ2" s="5" t="s">
        <v>409</v>
      </c>
      <c r="NIK2" s="5" t="s">
        <v>409</v>
      </c>
      <c r="NIL2" s="5" t="s">
        <v>409</v>
      </c>
      <c r="NIM2" s="5" t="s">
        <v>409</v>
      </c>
      <c r="NIN2" s="5" t="s">
        <v>409</v>
      </c>
      <c r="NIO2" s="5" t="s">
        <v>409</v>
      </c>
      <c r="NIP2" s="5" t="s">
        <v>409</v>
      </c>
      <c r="NIQ2" s="5" t="s">
        <v>409</v>
      </c>
      <c r="NIR2" s="5" t="s">
        <v>409</v>
      </c>
      <c r="NIS2" s="5" t="s">
        <v>409</v>
      </c>
      <c r="NIT2" s="5" t="s">
        <v>409</v>
      </c>
      <c r="NIU2" s="5" t="s">
        <v>409</v>
      </c>
      <c r="NIV2" s="5" t="s">
        <v>409</v>
      </c>
      <c r="NIW2" s="5" t="s">
        <v>409</v>
      </c>
      <c r="NIX2" s="5" t="s">
        <v>409</v>
      </c>
      <c r="NIY2" s="5" t="s">
        <v>409</v>
      </c>
      <c r="NIZ2" s="5" t="s">
        <v>409</v>
      </c>
      <c r="NJA2" s="5" t="s">
        <v>409</v>
      </c>
      <c r="NJB2" s="5" t="s">
        <v>409</v>
      </c>
      <c r="NJC2" s="5" t="s">
        <v>409</v>
      </c>
      <c r="NJD2" s="5" t="s">
        <v>409</v>
      </c>
      <c r="NJE2" s="5" t="s">
        <v>409</v>
      </c>
      <c r="NJF2" s="5" t="s">
        <v>409</v>
      </c>
      <c r="NJG2" s="5" t="s">
        <v>409</v>
      </c>
      <c r="NJH2" s="5" t="s">
        <v>409</v>
      </c>
      <c r="NJI2" s="5" t="s">
        <v>409</v>
      </c>
      <c r="NJJ2" s="5" t="s">
        <v>409</v>
      </c>
      <c r="NJK2" s="5" t="s">
        <v>409</v>
      </c>
      <c r="NJL2" s="5" t="s">
        <v>409</v>
      </c>
      <c r="NJM2" s="5" t="s">
        <v>409</v>
      </c>
      <c r="NJN2" s="5" t="s">
        <v>409</v>
      </c>
      <c r="NJO2" s="5" t="s">
        <v>409</v>
      </c>
      <c r="NJP2" s="5" t="s">
        <v>409</v>
      </c>
      <c r="NJQ2" s="5" t="s">
        <v>409</v>
      </c>
      <c r="NJR2" s="5" t="s">
        <v>409</v>
      </c>
      <c r="NJS2" s="5" t="s">
        <v>409</v>
      </c>
      <c r="NJT2" s="5" t="s">
        <v>409</v>
      </c>
      <c r="NJU2" s="5" t="s">
        <v>409</v>
      </c>
      <c r="NJV2" s="5" t="s">
        <v>409</v>
      </c>
      <c r="NJW2" s="5" t="s">
        <v>409</v>
      </c>
      <c r="NJX2" s="5" t="s">
        <v>409</v>
      </c>
      <c r="NJY2" s="5" t="s">
        <v>409</v>
      </c>
      <c r="NJZ2" s="5" t="s">
        <v>409</v>
      </c>
      <c r="NKA2" s="5" t="s">
        <v>409</v>
      </c>
      <c r="NKB2" s="5" t="s">
        <v>409</v>
      </c>
      <c r="NKC2" s="5" t="s">
        <v>409</v>
      </c>
      <c r="NKD2" s="5" t="s">
        <v>409</v>
      </c>
      <c r="NKE2" s="5" t="s">
        <v>409</v>
      </c>
      <c r="NKF2" s="5" t="s">
        <v>409</v>
      </c>
      <c r="NKG2" s="5" t="s">
        <v>409</v>
      </c>
      <c r="NKH2" s="5" t="s">
        <v>409</v>
      </c>
      <c r="NKI2" s="5" t="s">
        <v>409</v>
      </c>
      <c r="NKJ2" s="5" t="s">
        <v>409</v>
      </c>
      <c r="NKK2" s="5" t="s">
        <v>409</v>
      </c>
      <c r="NKL2" s="5" t="s">
        <v>409</v>
      </c>
      <c r="NKM2" s="5" t="s">
        <v>409</v>
      </c>
      <c r="NKN2" s="5" t="s">
        <v>409</v>
      </c>
      <c r="NKO2" s="5" t="s">
        <v>409</v>
      </c>
      <c r="NKP2" s="5" t="s">
        <v>409</v>
      </c>
      <c r="NKQ2" s="5" t="s">
        <v>409</v>
      </c>
      <c r="NKR2" s="5" t="s">
        <v>409</v>
      </c>
      <c r="NKS2" s="5" t="s">
        <v>409</v>
      </c>
      <c r="NKT2" s="5" t="s">
        <v>409</v>
      </c>
      <c r="NKU2" s="5" t="s">
        <v>409</v>
      </c>
      <c r="NKV2" s="5" t="s">
        <v>409</v>
      </c>
      <c r="NKW2" s="5" t="s">
        <v>409</v>
      </c>
      <c r="NKX2" s="5" t="s">
        <v>409</v>
      </c>
      <c r="NKY2" s="5" t="s">
        <v>409</v>
      </c>
      <c r="NKZ2" s="5" t="s">
        <v>409</v>
      </c>
      <c r="NLA2" s="5" t="s">
        <v>409</v>
      </c>
      <c r="NLB2" s="5" t="s">
        <v>409</v>
      </c>
      <c r="NLC2" s="5" t="s">
        <v>409</v>
      </c>
      <c r="NLD2" s="5" t="s">
        <v>409</v>
      </c>
      <c r="NLE2" s="5" t="s">
        <v>409</v>
      </c>
      <c r="NLF2" s="5" t="s">
        <v>409</v>
      </c>
      <c r="NLG2" s="5" t="s">
        <v>409</v>
      </c>
      <c r="NLH2" s="5" t="s">
        <v>409</v>
      </c>
      <c r="NLI2" s="5" t="s">
        <v>409</v>
      </c>
      <c r="NLJ2" s="5" t="s">
        <v>409</v>
      </c>
      <c r="NLK2" s="5" t="s">
        <v>409</v>
      </c>
      <c r="NLL2" s="5" t="s">
        <v>409</v>
      </c>
      <c r="NLM2" s="5" t="s">
        <v>409</v>
      </c>
      <c r="NLN2" s="5" t="s">
        <v>409</v>
      </c>
      <c r="NLO2" s="5" t="s">
        <v>409</v>
      </c>
      <c r="NLP2" s="5" t="s">
        <v>409</v>
      </c>
      <c r="NLQ2" s="5" t="s">
        <v>409</v>
      </c>
      <c r="NLR2" s="5" t="s">
        <v>409</v>
      </c>
      <c r="NLS2" s="5" t="s">
        <v>409</v>
      </c>
      <c r="NLT2" s="5" t="s">
        <v>409</v>
      </c>
      <c r="NLU2" s="5" t="s">
        <v>409</v>
      </c>
      <c r="NLV2" s="5" t="s">
        <v>409</v>
      </c>
      <c r="NLW2" s="5" t="s">
        <v>409</v>
      </c>
      <c r="NLX2" s="5" t="s">
        <v>409</v>
      </c>
      <c r="NLY2" s="5" t="s">
        <v>409</v>
      </c>
      <c r="NLZ2" s="5" t="s">
        <v>409</v>
      </c>
      <c r="NMA2" s="5" t="s">
        <v>409</v>
      </c>
      <c r="NMB2" s="5" t="s">
        <v>409</v>
      </c>
      <c r="NMC2" s="5" t="s">
        <v>409</v>
      </c>
      <c r="NMD2" s="5" t="s">
        <v>409</v>
      </c>
      <c r="NME2" s="5" t="s">
        <v>409</v>
      </c>
      <c r="NMF2" s="5" t="s">
        <v>409</v>
      </c>
      <c r="NMG2" s="5" t="s">
        <v>409</v>
      </c>
      <c r="NMH2" s="5" t="s">
        <v>409</v>
      </c>
      <c r="NMI2" s="5" t="s">
        <v>409</v>
      </c>
      <c r="NMJ2" s="5" t="s">
        <v>409</v>
      </c>
      <c r="NMK2" s="5" t="s">
        <v>409</v>
      </c>
      <c r="NML2" s="5" t="s">
        <v>409</v>
      </c>
      <c r="NMM2" s="5" t="s">
        <v>409</v>
      </c>
      <c r="NMN2" s="5" t="s">
        <v>409</v>
      </c>
      <c r="NMO2" s="5" t="s">
        <v>409</v>
      </c>
      <c r="NMP2" s="5" t="s">
        <v>409</v>
      </c>
      <c r="NMQ2" s="5" t="s">
        <v>409</v>
      </c>
      <c r="NMR2" s="5" t="s">
        <v>409</v>
      </c>
      <c r="NMS2" s="5" t="s">
        <v>409</v>
      </c>
      <c r="NMT2" s="5" t="s">
        <v>409</v>
      </c>
      <c r="NMU2" s="5" t="s">
        <v>409</v>
      </c>
      <c r="NMV2" s="5" t="s">
        <v>409</v>
      </c>
      <c r="NMW2" s="5" t="s">
        <v>409</v>
      </c>
      <c r="NMX2" s="5" t="s">
        <v>409</v>
      </c>
      <c r="NMY2" s="5" t="s">
        <v>409</v>
      </c>
      <c r="NMZ2" s="5" t="s">
        <v>409</v>
      </c>
      <c r="NNA2" s="5" t="s">
        <v>409</v>
      </c>
      <c r="NNB2" s="5" t="s">
        <v>409</v>
      </c>
      <c r="NNC2" s="5" t="s">
        <v>409</v>
      </c>
      <c r="NND2" s="5" t="s">
        <v>409</v>
      </c>
      <c r="NNE2" s="5" t="s">
        <v>409</v>
      </c>
      <c r="NNF2" s="5" t="s">
        <v>409</v>
      </c>
      <c r="NNG2" s="5" t="s">
        <v>409</v>
      </c>
      <c r="NNH2" s="5" t="s">
        <v>409</v>
      </c>
      <c r="NNI2" s="5" t="s">
        <v>409</v>
      </c>
      <c r="NNJ2" s="5" t="s">
        <v>409</v>
      </c>
      <c r="NNK2" s="5" t="s">
        <v>409</v>
      </c>
      <c r="NNL2" s="5" t="s">
        <v>409</v>
      </c>
      <c r="NNM2" s="5" t="s">
        <v>409</v>
      </c>
      <c r="NNN2" s="5" t="s">
        <v>409</v>
      </c>
      <c r="NNO2" s="5" t="s">
        <v>409</v>
      </c>
      <c r="NNP2" s="5" t="s">
        <v>409</v>
      </c>
      <c r="NNQ2" s="5" t="s">
        <v>409</v>
      </c>
      <c r="NNR2" s="5" t="s">
        <v>409</v>
      </c>
      <c r="NNS2" s="5" t="s">
        <v>409</v>
      </c>
      <c r="NNT2" s="5" t="s">
        <v>409</v>
      </c>
      <c r="NNU2" s="5" t="s">
        <v>409</v>
      </c>
      <c r="NNV2" s="5" t="s">
        <v>409</v>
      </c>
      <c r="NNW2" s="5" t="s">
        <v>409</v>
      </c>
      <c r="NNX2" s="5" t="s">
        <v>409</v>
      </c>
      <c r="NNY2" s="5" t="s">
        <v>409</v>
      </c>
      <c r="NNZ2" s="5" t="s">
        <v>409</v>
      </c>
      <c r="NOA2" s="5" t="s">
        <v>409</v>
      </c>
      <c r="NOB2" s="5" t="s">
        <v>409</v>
      </c>
      <c r="NOC2" s="5" t="s">
        <v>409</v>
      </c>
      <c r="NOD2" s="5" t="s">
        <v>409</v>
      </c>
      <c r="NOE2" s="5" t="s">
        <v>409</v>
      </c>
      <c r="NOF2" s="5" t="s">
        <v>409</v>
      </c>
      <c r="NOG2" s="5" t="s">
        <v>409</v>
      </c>
      <c r="NOH2" s="5" t="s">
        <v>409</v>
      </c>
      <c r="NOI2" s="5" t="s">
        <v>409</v>
      </c>
      <c r="NOJ2" s="5" t="s">
        <v>409</v>
      </c>
      <c r="NOK2" s="5" t="s">
        <v>409</v>
      </c>
      <c r="NOL2" s="5" t="s">
        <v>409</v>
      </c>
      <c r="NOM2" s="5" t="s">
        <v>409</v>
      </c>
      <c r="NON2" s="5" t="s">
        <v>409</v>
      </c>
      <c r="NOO2" s="5" t="s">
        <v>409</v>
      </c>
      <c r="NOP2" s="5" t="s">
        <v>409</v>
      </c>
      <c r="NOQ2" s="5" t="s">
        <v>409</v>
      </c>
      <c r="NOR2" s="5" t="s">
        <v>409</v>
      </c>
      <c r="NOS2" s="5" t="s">
        <v>409</v>
      </c>
      <c r="NOT2" s="5" t="s">
        <v>409</v>
      </c>
      <c r="NOU2" s="5" t="s">
        <v>409</v>
      </c>
      <c r="NOV2" s="5" t="s">
        <v>409</v>
      </c>
      <c r="NOW2" s="5" t="s">
        <v>409</v>
      </c>
      <c r="NOX2" s="5" t="s">
        <v>409</v>
      </c>
      <c r="NOY2" s="5" t="s">
        <v>409</v>
      </c>
      <c r="NOZ2" s="5" t="s">
        <v>409</v>
      </c>
      <c r="NPA2" s="5" t="s">
        <v>409</v>
      </c>
      <c r="NPB2" s="5" t="s">
        <v>409</v>
      </c>
      <c r="NPC2" s="5" t="s">
        <v>409</v>
      </c>
      <c r="NPD2" s="5" t="s">
        <v>409</v>
      </c>
      <c r="NPE2" s="5" t="s">
        <v>409</v>
      </c>
      <c r="NPF2" s="5" t="s">
        <v>409</v>
      </c>
      <c r="NPG2" s="5" t="s">
        <v>409</v>
      </c>
      <c r="NPH2" s="5" t="s">
        <v>409</v>
      </c>
      <c r="NPI2" s="5" t="s">
        <v>409</v>
      </c>
      <c r="NPJ2" s="5" t="s">
        <v>409</v>
      </c>
      <c r="NPK2" s="5" t="s">
        <v>409</v>
      </c>
      <c r="NPL2" s="5" t="s">
        <v>409</v>
      </c>
      <c r="NPM2" s="5" t="s">
        <v>409</v>
      </c>
      <c r="NPN2" s="5" t="s">
        <v>409</v>
      </c>
      <c r="NPO2" s="5" t="s">
        <v>409</v>
      </c>
      <c r="NPP2" s="5" t="s">
        <v>409</v>
      </c>
      <c r="NPQ2" s="5" t="s">
        <v>409</v>
      </c>
      <c r="NPR2" s="5" t="s">
        <v>409</v>
      </c>
      <c r="NPS2" s="5" t="s">
        <v>409</v>
      </c>
      <c r="NPT2" s="5" t="s">
        <v>409</v>
      </c>
      <c r="NPU2" s="5" t="s">
        <v>409</v>
      </c>
      <c r="NPV2" s="5" t="s">
        <v>409</v>
      </c>
      <c r="NPW2" s="5" t="s">
        <v>409</v>
      </c>
      <c r="NPX2" s="5" t="s">
        <v>409</v>
      </c>
      <c r="NPY2" s="5" t="s">
        <v>409</v>
      </c>
      <c r="NPZ2" s="5" t="s">
        <v>409</v>
      </c>
      <c r="NQA2" s="5" t="s">
        <v>409</v>
      </c>
      <c r="NQB2" s="5" t="s">
        <v>409</v>
      </c>
      <c r="NQC2" s="5" t="s">
        <v>409</v>
      </c>
      <c r="NQD2" s="5" t="s">
        <v>409</v>
      </c>
      <c r="NQE2" s="5" t="s">
        <v>409</v>
      </c>
      <c r="NQF2" s="5" t="s">
        <v>409</v>
      </c>
      <c r="NQG2" s="5" t="s">
        <v>409</v>
      </c>
      <c r="NQH2" s="5" t="s">
        <v>409</v>
      </c>
      <c r="NQI2" s="5" t="s">
        <v>409</v>
      </c>
      <c r="NQJ2" s="5" t="s">
        <v>409</v>
      </c>
      <c r="NQK2" s="5" t="s">
        <v>409</v>
      </c>
      <c r="NQL2" s="5" t="s">
        <v>409</v>
      </c>
      <c r="NQM2" s="5" t="s">
        <v>409</v>
      </c>
      <c r="NQN2" s="5" t="s">
        <v>409</v>
      </c>
      <c r="NQO2" s="5" t="s">
        <v>409</v>
      </c>
      <c r="NQP2" s="5" t="s">
        <v>409</v>
      </c>
      <c r="NQQ2" s="5" t="s">
        <v>409</v>
      </c>
      <c r="NQR2" s="5" t="s">
        <v>409</v>
      </c>
      <c r="NQS2" s="5" t="s">
        <v>409</v>
      </c>
      <c r="NQT2" s="5" t="s">
        <v>409</v>
      </c>
      <c r="NQU2" s="5" t="s">
        <v>409</v>
      </c>
      <c r="NQV2" s="5" t="s">
        <v>409</v>
      </c>
      <c r="NQW2" s="5" t="s">
        <v>409</v>
      </c>
      <c r="NQX2" s="5" t="s">
        <v>409</v>
      </c>
      <c r="NQY2" s="5" t="s">
        <v>409</v>
      </c>
      <c r="NQZ2" s="5" t="s">
        <v>409</v>
      </c>
      <c r="NRA2" s="5" t="s">
        <v>409</v>
      </c>
      <c r="NRB2" s="5" t="s">
        <v>409</v>
      </c>
      <c r="NRC2" s="5" t="s">
        <v>409</v>
      </c>
      <c r="NRD2" s="5" t="s">
        <v>409</v>
      </c>
      <c r="NRE2" s="5" t="s">
        <v>409</v>
      </c>
      <c r="NRF2" s="5" t="s">
        <v>409</v>
      </c>
      <c r="NRG2" s="5" t="s">
        <v>409</v>
      </c>
      <c r="NRH2" s="5" t="s">
        <v>409</v>
      </c>
      <c r="NRI2" s="5" t="s">
        <v>409</v>
      </c>
      <c r="NRJ2" s="5" t="s">
        <v>409</v>
      </c>
      <c r="NRK2" s="5" t="s">
        <v>409</v>
      </c>
      <c r="NRL2" s="5" t="s">
        <v>409</v>
      </c>
      <c r="NRM2" s="5" t="s">
        <v>409</v>
      </c>
      <c r="NRN2" s="5" t="s">
        <v>409</v>
      </c>
      <c r="NRO2" s="5" t="s">
        <v>409</v>
      </c>
      <c r="NRP2" s="5" t="s">
        <v>409</v>
      </c>
      <c r="NRQ2" s="5" t="s">
        <v>409</v>
      </c>
      <c r="NRR2" s="5" t="s">
        <v>409</v>
      </c>
      <c r="NRS2" s="5" t="s">
        <v>409</v>
      </c>
      <c r="NRT2" s="5" t="s">
        <v>409</v>
      </c>
      <c r="NRU2" s="5" t="s">
        <v>409</v>
      </c>
      <c r="NRV2" s="5" t="s">
        <v>409</v>
      </c>
      <c r="NRW2" s="5" t="s">
        <v>409</v>
      </c>
      <c r="NRX2" s="5" t="s">
        <v>409</v>
      </c>
      <c r="NRY2" s="5" t="s">
        <v>409</v>
      </c>
      <c r="NRZ2" s="5" t="s">
        <v>409</v>
      </c>
      <c r="NSA2" s="5" t="s">
        <v>409</v>
      </c>
      <c r="NSB2" s="5" t="s">
        <v>409</v>
      </c>
      <c r="NSC2" s="5" t="s">
        <v>409</v>
      </c>
      <c r="NSD2" s="5" t="s">
        <v>409</v>
      </c>
      <c r="NSE2" s="5" t="s">
        <v>409</v>
      </c>
      <c r="NSF2" s="5" t="s">
        <v>409</v>
      </c>
      <c r="NSG2" s="5" t="s">
        <v>409</v>
      </c>
      <c r="NSH2" s="5" t="s">
        <v>409</v>
      </c>
      <c r="NSI2" s="5" t="s">
        <v>409</v>
      </c>
      <c r="NSJ2" s="5" t="s">
        <v>409</v>
      </c>
      <c r="NSK2" s="5" t="s">
        <v>409</v>
      </c>
      <c r="NSL2" s="5" t="s">
        <v>409</v>
      </c>
      <c r="NSM2" s="5" t="s">
        <v>409</v>
      </c>
      <c r="NSN2" s="5" t="s">
        <v>409</v>
      </c>
      <c r="NSO2" s="5" t="s">
        <v>409</v>
      </c>
      <c r="NSP2" s="5" t="s">
        <v>409</v>
      </c>
      <c r="NSQ2" s="5" t="s">
        <v>409</v>
      </c>
      <c r="NSR2" s="5" t="s">
        <v>409</v>
      </c>
      <c r="NSS2" s="5" t="s">
        <v>409</v>
      </c>
      <c r="NST2" s="5" t="s">
        <v>409</v>
      </c>
      <c r="NSU2" s="5" t="s">
        <v>409</v>
      </c>
      <c r="NSV2" s="5" t="s">
        <v>409</v>
      </c>
      <c r="NSW2" s="5" t="s">
        <v>409</v>
      </c>
      <c r="NSX2" s="5" t="s">
        <v>409</v>
      </c>
      <c r="NSY2" s="5" t="s">
        <v>409</v>
      </c>
      <c r="NSZ2" s="5" t="s">
        <v>409</v>
      </c>
      <c r="NTA2" s="5" t="s">
        <v>409</v>
      </c>
      <c r="NTB2" s="5" t="s">
        <v>409</v>
      </c>
      <c r="NTC2" s="5" t="s">
        <v>409</v>
      </c>
      <c r="NTD2" s="5" t="s">
        <v>409</v>
      </c>
      <c r="NTE2" s="5" t="s">
        <v>409</v>
      </c>
      <c r="NTF2" s="5" t="s">
        <v>409</v>
      </c>
      <c r="NTG2" s="5" t="s">
        <v>409</v>
      </c>
      <c r="NTH2" s="5" t="s">
        <v>409</v>
      </c>
      <c r="NTI2" s="5" t="s">
        <v>409</v>
      </c>
      <c r="NTJ2" s="5" t="s">
        <v>409</v>
      </c>
      <c r="NTK2" s="5" t="s">
        <v>409</v>
      </c>
      <c r="NTL2" s="5" t="s">
        <v>409</v>
      </c>
      <c r="NTM2" s="5" t="s">
        <v>409</v>
      </c>
      <c r="NTN2" s="5" t="s">
        <v>409</v>
      </c>
      <c r="NTO2" s="5" t="s">
        <v>409</v>
      </c>
      <c r="NTP2" s="5" t="s">
        <v>409</v>
      </c>
      <c r="NTQ2" s="5" t="s">
        <v>409</v>
      </c>
      <c r="NTR2" s="5" t="s">
        <v>409</v>
      </c>
      <c r="NTS2" s="5" t="s">
        <v>409</v>
      </c>
      <c r="NTT2" s="5" t="s">
        <v>409</v>
      </c>
      <c r="NTU2" s="5" t="s">
        <v>409</v>
      </c>
      <c r="NTV2" s="5" t="s">
        <v>409</v>
      </c>
      <c r="NTW2" s="5" t="s">
        <v>409</v>
      </c>
      <c r="NTX2" s="5" t="s">
        <v>409</v>
      </c>
      <c r="NTY2" s="5" t="s">
        <v>409</v>
      </c>
      <c r="NTZ2" s="5" t="s">
        <v>409</v>
      </c>
      <c r="NUA2" s="5" t="s">
        <v>409</v>
      </c>
      <c r="NUB2" s="5" t="s">
        <v>409</v>
      </c>
      <c r="NUC2" s="5" t="s">
        <v>409</v>
      </c>
      <c r="NUD2" s="5" t="s">
        <v>409</v>
      </c>
      <c r="NUE2" s="5" t="s">
        <v>409</v>
      </c>
      <c r="NUF2" s="5" t="s">
        <v>409</v>
      </c>
      <c r="NUG2" s="5" t="s">
        <v>409</v>
      </c>
      <c r="NUH2" s="5" t="s">
        <v>409</v>
      </c>
      <c r="NUI2" s="5" t="s">
        <v>409</v>
      </c>
      <c r="NUJ2" s="5" t="s">
        <v>409</v>
      </c>
      <c r="NUK2" s="5" t="s">
        <v>409</v>
      </c>
      <c r="NUL2" s="5" t="s">
        <v>409</v>
      </c>
      <c r="NUM2" s="5" t="s">
        <v>409</v>
      </c>
      <c r="NUN2" s="5" t="s">
        <v>409</v>
      </c>
      <c r="NUO2" s="5" t="s">
        <v>409</v>
      </c>
      <c r="NUP2" s="5" t="s">
        <v>409</v>
      </c>
      <c r="NUQ2" s="5" t="s">
        <v>409</v>
      </c>
      <c r="NUR2" s="5" t="s">
        <v>409</v>
      </c>
      <c r="NUS2" s="5" t="s">
        <v>409</v>
      </c>
      <c r="NUT2" s="5" t="s">
        <v>409</v>
      </c>
      <c r="NUU2" s="5" t="s">
        <v>409</v>
      </c>
      <c r="NUV2" s="5" t="s">
        <v>409</v>
      </c>
      <c r="NUW2" s="5" t="s">
        <v>409</v>
      </c>
      <c r="NUX2" s="5" t="s">
        <v>409</v>
      </c>
      <c r="NUY2" s="5" t="s">
        <v>409</v>
      </c>
      <c r="NUZ2" s="5" t="s">
        <v>409</v>
      </c>
      <c r="NVA2" s="5" t="s">
        <v>409</v>
      </c>
      <c r="NVB2" s="5" t="s">
        <v>409</v>
      </c>
      <c r="NVC2" s="5" t="s">
        <v>409</v>
      </c>
      <c r="NVD2" s="5" t="s">
        <v>409</v>
      </c>
      <c r="NVE2" s="5" t="s">
        <v>409</v>
      </c>
      <c r="NVF2" s="5" t="s">
        <v>409</v>
      </c>
      <c r="NVG2" s="5" t="s">
        <v>409</v>
      </c>
      <c r="NVH2" s="5" t="s">
        <v>409</v>
      </c>
      <c r="NVI2" s="5" t="s">
        <v>409</v>
      </c>
      <c r="NVJ2" s="5" t="s">
        <v>409</v>
      </c>
      <c r="NVK2" s="5" t="s">
        <v>409</v>
      </c>
      <c r="NVL2" s="5" t="s">
        <v>409</v>
      </c>
      <c r="NVM2" s="5" t="s">
        <v>409</v>
      </c>
      <c r="NVN2" s="5" t="s">
        <v>409</v>
      </c>
      <c r="NVO2" s="5" t="s">
        <v>409</v>
      </c>
      <c r="NVP2" s="5" t="s">
        <v>409</v>
      </c>
      <c r="NVQ2" s="5" t="s">
        <v>409</v>
      </c>
      <c r="NVR2" s="5" t="s">
        <v>409</v>
      </c>
      <c r="NVS2" s="5" t="s">
        <v>409</v>
      </c>
      <c r="NVT2" s="5" t="s">
        <v>409</v>
      </c>
      <c r="NVU2" s="5" t="s">
        <v>409</v>
      </c>
      <c r="NVV2" s="5" t="s">
        <v>409</v>
      </c>
      <c r="NVW2" s="5" t="s">
        <v>409</v>
      </c>
      <c r="NVX2" s="5" t="s">
        <v>409</v>
      </c>
      <c r="NVY2" s="5" t="s">
        <v>409</v>
      </c>
      <c r="NVZ2" s="5" t="s">
        <v>409</v>
      </c>
      <c r="NWA2" s="5" t="s">
        <v>409</v>
      </c>
      <c r="NWB2" s="5" t="s">
        <v>409</v>
      </c>
      <c r="NWC2" s="5" t="s">
        <v>409</v>
      </c>
      <c r="NWD2" s="5" t="s">
        <v>409</v>
      </c>
      <c r="NWE2" s="5" t="s">
        <v>409</v>
      </c>
      <c r="NWF2" s="5" t="s">
        <v>409</v>
      </c>
      <c r="NWG2" s="5" t="s">
        <v>409</v>
      </c>
      <c r="NWH2" s="5" t="s">
        <v>409</v>
      </c>
      <c r="NWI2" s="5" t="s">
        <v>409</v>
      </c>
      <c r="NWJ2" s="5" t="s">
        <v>409</v>
      </c>
      <c r="NWK2" s="5" t="s">
        <v>409</v>
      </c>
      <c r="NWL2" s="5" t="s">
        <v>409</v>
      </c>
      <c r="NWM2" s="5" t="s">
        <v>409</v>
      </c>
      <c r="NWN2" s="5" t="s">
        <v>409</v>
      </c>
      <c r="NWO2" s="5" t="s">
        <v>409</v>
      </c>
      <c r="NWP2" s="5" t="s">
        <v>409</v>
      </c>
      <c r="NWQ2" s="5" t="s">
        <v>409</v>
      </c>
      <c r="NWR2" s="5" t="s">
        <v>409</v>
      </c>
      <c r="NWS2" s="5" t="s">
        <v>409</v>
      </c>
      <c r="NWT2" s="5" t="s">
        <v>409</v>
      </c>
      <c r="NWU2" s="5" t="s">
        <v>409</v>
      </c>
      <c r="NWV2" s="5" t="s">
        <v>409</v>
      </c>
      <c r="NWW2" s="5" t="s">
        <v>409</v>
      </c>
      <c r="NWX2" s="5" t="s">
        <v>409</v>
      </c>
      <c r="NWY2" s="5" t="s">
        <v>409</v>
      </c>
      <c r="NWZ2" s="5" t="s">
        <v>409</v>
      </c>
      <c r="NXA2" s="5" t="s">
        <v>409</v>
      </c>
      <c r="NXB2" s="5" t="s">
        <v>409</v>
      </c>
      <c r="NXC2" s="5" t="s">
        <v>409</v>
      </c>
      <c r="NXD2" s="5" t="s">
        <v>409</v>
      </c>
      <c r="NXE2" s="5" t="s">
        <v>409</v>
      </c>
      <c r="NXF2" s="5" t="s">
        <v>409</v>
      </c>
      <c r="NXG2" s="5" t="s">
        <v>409</v>
      </c>
      <c r="NXH2" s="5" t="s">
        <v>409</v>
      </c>
      <c r="NXI2" s="5" t="s">
        <v>409</v>
      </c>
      <c r="NXJ2" s="5" t="s">
        <v>409</v>
      </c>
      <c r="NXK2" s="5" t="s">
        <v>409</v>
      </c>
      <c r="NXL2" s="5" t="s">
        <v>409</v>
      </c>
      <c r="NXM2" s="5" t="s">
        <v>409</v>
      </c>
      <c r="NXN2" s="5" t="s">
        <v>409</v>
      </c>
      <c r="NXO2" s="5" t="s">
        <v>409</v>
      </c>
      <c r="NXP2" s="5" t="s">
        <v>409</v>
      </c>
      <c r="NXQ2" s="5" t="s">
        <v>409</v>
      </c>
      <c r="NXR2" s="5" t="s">
        <v>409</v>
      </c>
      <c r="NXS2" s="5" t="s">
        <v>409</v>
      </c>
      <c r="NXT2" s="5" t="s">
        <v>409</v>
      </c>
      <c r="NXU2" s="5" t="s">
        <v>409</v>
      </c>
      <c r="NXV2" s="5" t="s">
        <v>409</v>
      </c>
      <c r="NXW2" s="5" t="s">
        <v>409</v>
      </c>
      <c r="NXX2" s="5" t="s">
        <v>409</v>
      </c>
      <c r="NXY2" s="5" t="s">
        <v>409</v>
      </c>
      <c r="NXZ2" s="5" t="s">
        <v>409</v>
      </c>
      <c r="NYA2" s="5" t="s">
        <v>409</v>
      </c>
      <c r="NYB2" s="5" t="s">
        <v>409</v>
      </c>
      <c r="NYC2" s="5" t="s">
        <v>409</v>
      </c>
      <c r="NYD2" s="5" t="s">
        <v>409</v>
      </c>
      <c r="NYE2" s="5" t="s">
        <v>409</v>
      </c>
      <c r="NYF2" s="5" t="s">
        <v>409</v>
      </c>
      <c r="NYG2" s="5" t="s">
        <v>409</v>
      </c>
      <c r="NYH2" s="5" t="s">
        <v>409</v>
      </c>
      <c r="NYI2" s="5" t="s">
        <v>409</v>
      </c>
      <c r="NYJ2" s="5" t="s">
        <v>409</v>
      </c>
      <c r="NYK2" s="5" t="s">
        <v>409</v>
      </c>
      <c r="NYL2" s="5" t="s">
        <v>409</v>
      </c>
      <c r="NYM2" s="5" t="s">
        <v>409</v>
      </c>
      <c r="NYN2" s="5" t="s">
        <v>409</v>
      </c>
      <c r="NYO2" s="5" t="s">
        <v>409</v>
      </c>
      <c r="NYP2" s="5" t="s">
        <v>409</v>
      </c>
      <c r="NYQ2" s="5" t="s">
        <v>409</v>
      </c>
      <c r="NYR2" s="5" t="s">
        <v>409</v>
      </c>
      <c r="NYS2" s="5" t="s">
        <v>409</v>
      </c>
      <c r="NYT2" s="5" t="s">
        <v>409</v>
      </c>
      <c r="NYU2" s="5" t="s">
        <v>409</v>
      </c>
      <c r="NYV2" s="5" t="s">
        <v>409</v>
      </c>
      <c r="NYW2" s="5" t="s">
        <v>409</v>
      </c>
      <c r="NYX2" s="5" t="s">
        <v>409</v>
      </c>
      <c r="NYY2" s="5" t="s">
        <v>409</v>
      </c>
      <c r="NYZ2" s="5" t="s">
        <v>409</v>
      </c>
      <c r="NZA2" s="5" t="s">
        <v>409</v>
      </c>
      <c r="NZB2" s="5" t="s">
        <v>409</v>
      </c>
      <c r="NZC2" s="5" t="s">
        <v>409</v>
      </c>
      <c r="NZD2" s="5" t="s">
        <v>409</v>
      </c>
      <c r="NZE2" s="5" t="s">
        <v>409</v>
      </c>
      <c r="NZF2" s="5" t="s">
        <v>409</v>
      </c>
      <c r="NZG2" s="5" t="s">
        <v>409</v>
      </c>
      <c r="NZH2" s="5" t="s">
        <v>409</v>
      </c>
      <c r="NZI2" s="5" t="s">
        <v>409</v>
      </c>
      <c r="NZJ2" s="5" t="s">
        <v>409</v>
      </c>
      <c r="NZK2" s="5" t="s">
        <v>409</v>
      </c>
      <c r="NZL2" s="5" t="s">
        <v>409</v>
      </c>
      <c r="NZM2" s="5" t="s">
        <v>409</v>
      </c>
      <c r="NZN2" s="5" t="s">
        <v>409</v>
      </c>
      <c r="NZO2" s="5" t="s">
        <v>409</v>
      </c>
      <c r="NZP2" s="5" t="s">
        <v>409</v>
      </c>
      <c r="NZQ2" s="5" t="s">
        <v>409</v>
      </c>
      <c r="NZR2" s="5" t="s">
        <v>409</v>
      </c>
      <c r="NZS2" s="5" t="s">
        <v>409</v>
      </c>
      <c r="NZT2" s="5" t="s">
        <v>409</v>
      </c>
      <c r="NZU2" s="5" t="s">
        <v>409</v>
      </c>
      <c r="NZV2" s="5" t="s">
        <v>409</v>
      </c>
      <c r="NZW2" s="5" t="s">
        <v>409</v>
      </c>
      <c r="NZX2" s="5" t="s">
        <v>409</v>
      </c>
      <c r="NZY2" s="5" t="s">
        <v>409</v>
      </c>
      <c r="NZZ2" s="5" t="s">
        <v>409</v>
      </c>
      <c r="OAA2" s="5" t="s">
        <v>409</v>
      </c>
      <c r="OAB2" s="5" t="s">
        <v>409</v>
      </c>
      <c r="OAC2" s="5" t="s">
        <v>409</v>
      </c>
      <c r="OAD2" s="5" t="s">
        <v>409</v>
      </c>
      <c r="OAE2" s="5" t="s">
        <v>409</v>
      </c>
      <c r="OAF2" s="5" t="s">
        <v>409</v>
      </c>
      <c r="OAG2" s="5" t="s">
        <v>409</v>
      </c>
      <c r="OAH2" s="5" t="s">
        <v>409</v>
      </c>
      <c r="OAI2" s="5" t="s">
        <v>409</v>
      </c>
      <c r="OAJ2" s="5" t="s">
        <v>409</v>
      </c>
      <c r="OAK2" s="5" t="s">
        <v>409</v>
      </c>
      <c r="OAL2" s="5" t="s">
        <v>409</v>
      </c>
      <c r="OAM2" s="5" t="s">
        <v>409</v>
      </c>
      <c r="OAN2" s="5" t="s">
        <v>409</v>
      </c>
      <c r="OAO2" s="5" t="s">
        <v>409</v>
      </c>
      <c r="OAP2" s="5" t="s">
        <v>409</v>
      </c>
      <c r="OAQ2" s="5" t="s">
        <v>409</v>
      </c>
      <c r="OAR2" s="5" t="s">
        <v>409</v>
      </c>
      <c r="OAS2" s="5" t="s">
        <v>409</v>
      </c>
      <c r="OAT2" s="5" t="s">
        <v>409</v>
      </c>
      <c r="OAU2" s="5" t="s">
        <v>409</v>
      </c>
      <c r="OAV2" s="5" t="s">
        <v>409</v>
      </c>
      <c r="OAW2" s="5" t="s">
        <v>409</v>
      </c>
      <c r="OAX2" s="5" t="s">
        <v>409</v>
      </c>
      <c r="OAY2" s="5" t="s">
        <v>409</v>
      </c>
      <c r="OAZ2" s="5" t="s">
        <v>409</v>
      </c>
      <c r="OBA2" s="5" t="s">
        <v>409</v>
      </c>
      <c r="OBB2" s="5" t="s">
        <v>409</v>
      </c>
      <c r="OBC2" s="5" t="s">
        <v>409</v>
      </c>
      <c r="OBD2" s="5" t="s">
        <v>409</v>
      </c>
      <c r="OBE2" s="5" t="s">
        <v>409</v>
      </c>
      <c r="OBF2" s="5" t="s">
        <v>409</v>
      </c>
      <c r="OBG2" s="5" t="s">
        <v>409</v>
      </c>
      <c r="OBH2" s="5" t="s">
        <v>409</v>
      </c>
      <c r="OBI2" s="5" t="s">
        <v>409</v>
      </c>
      <c r="OBJ2" s="5" t="s">
        <v>409</v>
      </c>
      <c r="OBK2" s="5" t="s">
        <v>409</v>
      </c>
      <c r="OBL2" s="5" t="s">
        <v>409</v>
      </c>
      <c r="OBM2" s="5" t="s">
        <v>409</v>
      </c>
      <c r="OBN2" s="5" t="s">
        <v>409</v>
      </c>
      <c r="OBO2" s="5" t="s">
        <v>409</v>
      </c>
      <c r="OBP2" s="5" t="s">
        <v>409</v>
      </c>
      <c r="OBQ2" s="5" t="s">
        <v>409</v>
      </c>
      <c r="OBR2" s="5" t="s">
        <v>409</v>
      </c>
      <c r="OBS2" s="5" t="s">
        <v>409</v>
      </c>
      <c r="OBT2" s="5" t="s">
        <v>409</v>
      </c>
      <c r="OBU2" s="5" t="s">
        <v>409</v>
      </c>
      <c r="OBV2" s="5" t="s">
        <v>409</v>
      </c>
      <c r="OBW2" s="5" t="s">
        <v>409</v>
      </c>
      <c r="OBX2" s="5" t="s">
        <v>409</v>
      </c>
      <c r="OBY2" s="5" t="s">
        <v>409</v>
      </c>
      <c r="OBZ2" s="5" t="s">
        <v>409</v>
      </c>
      <c r="OCA2" s="5" t="s">
        <v>409</v>
      </c>
      <c r="OCB2" s="5" t="s">
        <v>409</v>
      </c>
      <c r="OCC2" s="5" t="s">
        <v>409</v>
      </c>
      <c r="OCD2" s="5" t="s">
        <v>409</v>
      </c>
      <c r="OCE2" s="5" t="s">
        <v>409</v>
      </c>
      <c r="OCF2" s="5" t="s">
        <v>409</v>
      </c>
      <c r="OCG2" s="5" t="s">
        <v>409</v>
      </c>
      <c r="OCH2" s="5" t="s">
        <v>409</v>
      </c>
      <c r="OCI2" s="5" t="s">
        <v>409</v>
      </c>
      <c r="OCJ2" s="5" t="s">
        <v>409</v>
      </c>
      <c r="OCK2" s="5" t="s">
        <v>409</v>
      </c>
      <c r="OCL2" s="5" t="s">
        <v>409</v>
      </c>
      <c r="OCM2" s="5" t="s">
        <v>409</v>
      </c>
      <c r="OCN2" s="5" t="s">
        <v>409</v>
      </c>
      <c r="OCO2" s="5" t="s">
        <v>409</v>
      </c>
      <c r="OCP2" s="5" t="s">
        <v>409</v>
      </c>
      <c r="OCQ2" s="5" t="s">
        <v>409</v>
      </c>
      <c r="OCR2" s="5" t="s">
        <v>409</v>
      </c>
      <c r="OCS2" s="5" t="s">
        <v>409</v>
      </c>
      <c r="OCT2" s="5" t="s">
        <v>409</v>
      </c>
      <c r="OCU2" s="5" t="s">
        <v>409</v>
      </c>
      <c r="OCV2" s="5" t="s">
        <v>409</v>
      </c>
      <c r="OCW2" s="5" t="s">
        <v>409</v>
      </c>
      <c r="OCX2" s="5" t="s">
        <v>409</v>
      </c>
      <c r="OCY2" s="5" t="s">
        <v>409</v>
      </c>
      <c r="OCZ2" s="5" t="s">
        <v>409</v>
      </c>
      <c r="ODA2" s="5" t="s">
        <v>409</v>
      </c>
      <c r="ODB2" s="5" t="s">
        <v>409</v>
      </c>
      <c r="ODC2" s="5" t="s">
        <v>409</v>
      </c>
      <c r="ODD2" s="5" t="s">
        <v>409</v>
      </c>
      <c r="ODE2" s="5" t="s">
        <v>409</v>
      </c>
      <c r="ODF2" s="5" t="s">
        <v>409</v>
      </c>
      <c r="ODG2" s="5" t="s">
        <v>409</v>
      </c>
      <c r="ODH2" s="5" t="s">
        <v>409</v>
      </c>
      <c r="ODI2" s="5" t="s">
        <v>409</v>
      </c>
      <c r="ODJ2" s="5" t="s">
        <v>409</v>
      </c>
      <c r="ODK2" s="5" t="s">
        <v>409</v>
      </c>
      <c r="ODL2" s="5" t="s">
        <v>409</v>
      </c>
      <c r="ODM2" s="5" t="s">
        <v>409</v>
      </c>
      <c r="ODN2" s="5" t="s">
        <v>409</v>
      </c>
      <c r="ODO2" s="5" t="s">
        <v>409</v>
      </c>
      <c r="ODP2" s="5" t="s">
        <v>409</v>
      </c>
      <c r="ODQ2" s="5" t="s">
        <v>409</v>
      </c>
      <c r="ODR2" s="5" t="s">
        <v>409</v>
      </c>
      <c r="ODS2" s="5" t="s">
        <v>409</v>
      </c>
      <c r="ODT2" s="5" t="s">
        <v>409</v>
      </c>
      <c r="ODU2" s="5" t="s">
        <v>409</v>
      </c>
      <c r="ODV2" s="5" t="s">
        <v>409</v>
      </c>
      <c r="ODW2" s="5" t="s">
        <v>409</v>
      </c>
      <c r="ODX2" s="5" t="s">
        <v>409</v>
      </c>
      <c r="ODY2" s="5" t="s">
        <v>409</v>
      </c>
      <c r="ODZ2" s="5" t="s">
        <v>409</v>
      </c>
      <c r="OEA2" s="5" t="s">
        <v>409</v>
      </c>
      <c r="OEB2" s="5" t="s">
        <v>409</v>
      </c>
      <c r="OEC2" s="5" t="s">
        <v>409</v>
      </c>
      <c r="OED2" s="5" t="s">
        <v>409</v>
      </c>
      <c r="OEE2" s="5" t="s">
        <v>409</v>
      </c>
      <c r="OEF2" s="5" t="s">
        <v>409</v>
      </c>
      <c r="OEG2" s="5" t="s">
        <v>409</v>
      </c>
      <c r="OEH2" s="5" t="s">
        <v>409</v>
      </c>
      <c r="OEI2" s="5" t="s">
        <v>409</v>
      </c>
      <c r="OEJ2" s="5" t="s">
        <v>409</v>
      </c>
      <c r="OEK2" s="5" t="s">
        <v>409</v>
      </c>
      <c r="OEL2" s="5" t="s">
        <v>409</v>
      </c>
      <c r="OEM2" s="5" t="s">
        <v>409</v>
      </c>
      <c r="OEN2" s="5" t="s">
        <v>409</v>
      </c>
      <c r="OEO2" s="5" t="s">
        <v>409</v>
      </c>
      <c r="OEP2" s="5" t="s">
        <v>409</v>
      </c>
      <c r="OEQ2" s="5" t="s">
        <v>409</v>
      </c>
      <c r="OER2" s="5" t="s">
        <v>409</v>
      </c>
      <c r="OES2" s="5" t="s">
        <v>409</v>
      </c>
      <c r="OET2" s="5" t="s">
        <v>409</v>
      </c>
      <c r="OEU2" s="5" t="s">
        <v>409</v>
      </c>
      <c r="OEV2" s="5" t="s">
        <v>409</v>
      </c>
      <c r="OEW2" s="5" t="s">
        <v>409</v>
      </c>
      <c r="OEX2" s="5" t="s">
        <v>409</v>
      </c>
      <c r="OEY2" s="5" t="s">
        <v>409</v>
      </c>
      <c r="OEZ2" s="5" t="s">
        <v>409</v>
      </c>
      <c r="OFA2" s="5" t="s">
        <v>409</v>
      </c>
      <c r="OFB2" s="5" t="s">
        <v>409</v>
      </c>
      <c r="OFC2" s="5" t="s">
        <v>409</v>
      </c>
      <c r="OFD2" s="5" t="s">
        <v>409</v>
      </c>
      <c r="OFE2" s="5" t="s">
        <v>409</v>
      </c>
      <c r="OFF2" s="5" t="s">
        <v>409</v>
      </c>
      <c r="OFG2" s="5" t="s">
        <v>409</v>
      </c>
      <c r="OFH2" s="5" t="s">
        <v>409</v>
      </c>
      <c r="OFI2" s="5" t="s">
        <v>409</v>
      </c>
      <c r="OFJ2" s="5" t="s">
        <v>409</v>
      </c>
      <c r="OFK2" s="5" t="s">
        <v>409</v>
      </c>
      <c r="OFL2" s="5" t="s">
        <v>409</v>
      </c>
      <c r="OFM2" s="5" t="s">
        <v>409</v>
      </c>
      <c r="OFN2" s="5" t="s">
        <v>409</v>
      </c>
      <c r="OFO2" s="5" t="s">
        <v>409</v>
      </c>
      <c r="OFP2" s="5" t="s">
        <v>409</v>
      </c>
      <c r="OFQ2" s="5" t="s">
        <v>409</v>
      </c>
      <c r="OFR2" s="5" t="s">
        <v>409</v>
      </c>
      <c r="OFS2" s="5" t="s">
        <v>409</v>
      </c>
      <c r="OFT2" s="5" t="s">
        <v>409</v>
      </c>
      <c r="OFU2" s="5" t="s">
        <v>409</v>
      </c>
      <c r="OFV2" s="5" t="s">
        <v>409</v>
      </c>
      <c r="OFW2" s="5" t="s">
        <v>409</v>
      </c>
      <c r="OFX2" s="5" t="s">
        <v>409</v>
      </c>
      <c r="OFY2" s="5" t="s">
        <v>409</v>
      </c>
      <c r="OFZ2" s="5" t="s">
        <v>409</v>
      </c>
      <c r="OGA2" s="5" t="s">
        <v>409</v>
      </c>
      <c r="OGB2" s="5" t="s">
        <v>409</v>
      </c>
      <c r="OGC2" s="5" t="s">
        <v>409</v>
      </c>
      <c r="OGD2" s="5" t="s">
        <v>409</v>
      </c>
      <c r="OGE2" s="5" t="s">
        <v>409</v>
      </c>
      <c r="OGF2" s="5" t="s">
        <v>409</v>
      </c>
      <c r="OGG2" s="5" t="s">
        <v>409</v>
      </c>
      <c r="OGH2" s="5" t="s">
        <v>409</v>
      </c>
      <c r="OGI2" s="5" t="s">
        <v>409</v>
      </c>
      <c r="OGJ2" s="5" t="s">
        <v>409</v>
      </c>
      <c r="OGK2" s="5" t="s">
        <v>409</v>
      </c>
      <c r="OGL2" s="5" t="s">
        <v>409</v>
      </c>
      <c r="OGM2" s="5" t="s">
        <v>409</v>
      </c>
      <c r="OGN2" s="5" t="s">
        <v>409</v>
      </c>
      <c r="OGO2" s="5" t="s">
        <v>409</v>
      </c>
      <c r="OGP2" s="5" t="s">
        <v>409</v>
      </c>
      <c r="OGQ2" s="5" t="s">
        <v>409</v>
      </c>
      <c r="OGR2" s="5" t="s">
        <v>409</v>
      </c>
      <c r="OGS2" s="5" t="s">
        <v>409</v>
      </c>
      <c r="OGT2" s="5" t="s">
        <v>409</v>
      </c>
      <c r="OGU2" s="5" t="s">
        <v>409</v>
      </c>
      <c r="OGV2" s="5" t="s">
        <v>409</v>
      </c>
      <c r="OGW2" s="5" t="s">
        <v>409</v>
      </c>
      <c r="OGX2" s="5" t="s">
        <v>409</v>
      </c>
      <c r="OGY2" s="5" t="s">
        <v>409</v>
      </c>
      <c r="OGZ2" s="5" t="s">
        <v>409</v>
      </c>
      <c r="OHA2" s="5" t="s">
        <v>409</v>
      </c>
      <c r="OHB2" s="5" t="s">
        <v>409</v>
      </c>
      <c r="OHC2" s="5" t="s">
        <v>409</v>
      </c>
      <c r="OHD2" s="5" t="s">
        <v>409</v>
      </c>
      <c r="OHE2" s="5" t="s">
        <v>409</v>
      </c>
      <c r="OHF2" s="5" t="s">
        <v>409</v>
      </c>
      <c r="OHG2" s="5" t="s">
        <v>409</v>
      </c>
      <c r="OHH2" s="5" t="s">
        <v>409</v>
      </c>
      <c r="OHI2" s="5" t="s">
        <v>409</v>
      </c>
      <c r="OHJ2" s="5" t="s">
        <v>409</v>
      </c>
      <c r="OHK2" s="5" t="s">
        <v>409</v>
      </c>
      <c r="OHL2" s="5" t="s">
        <v>409</v>
      </c>
      <c r="OHM2" s="5" t="s">
        <v>409</v>
      </c>
      <c r="OHN2" s="5" t="s">
        <v>409</v>
      </c>
      <c r="OHO2" s="5" t="s">
        <v>409</v>
      </c>
      <c r="OHP2" s="5" t="s">
        <v>409</v>
      </c>
      <c r="OHQ2" s="5" t="s">
        <v>409</v>
      </c>
      <c r="OHR2" s="5" t="s">
        <v>409</v>
      </c>
      <c r="OHS2" s="5" t="s">
        <v>409</v>
      </c>
      <c r="OHT2" s="5" t="s">
        <v>409</v>
      </c>
      <c r="OHU2" s="5" t="s">
        <v>409</v>
      </c>
      <c r="OHV2" s="5" t="s">
        <v>409</v>
      </c>
      <c r="OHW2" s="5" t="s">
        <v>409</v>
      </c>
      <c r="OHX2" s="5" t="s">
        <v>409</v>
      </c>
      <c r="OHY2" s="5" t="s">
        <v>409</v>
      </c>
      <c r="OHZ2" s="5" t="s">
        <v>409</v>
      </c>
      <c r="OIA2" s="5" t="s">
        <v>409</v>
      </c>
      <c r="OIB2" s="5" t="s">
        <v>409</v>
      </c>
      <c r="OIC2" s="5" t="s">
        <v>409</v>
      </c>
      <c r="OID2" s="5" t="s">
        <v>409</v>
      </c>
      <c r="OIE2" s="5" t="s">
        <v>409</v>
      </c>
      <c r="OIF2" s="5" t="s">
        <v>409</v>
      </c>
      <c r="OIG2" s="5" t="s">
        <v>409</v>
      </c>
      <c r="OIH2" s="5" t="s">
        <v>409</v>
      </c>
      <c r="OII2" s="5" t="s">
        <v>409</v>
      </c>
      <c r="OIJ2" s="5" t="s">
        <v>409</v>
      </c>
      <c r="OIK2" s="5" t="s">
        <v>409</v>
      </c>
      <c r="OIL2" s="5" t="s">
        <v>409</v>
      </c>
      <c r="OIM2" s="5" t="s">
        <v>409</v>
      </c>
      <c r="OIN2" s="5" t="s">
        <v>409</v>
      </c>
      <c r="OIO2" s="5" t="s">
        <v>409</v>
      </c>
      <c r="OIP2" s="5" t="s">
        <v>409</v>
      </c>
      <c r="OIQ2" s="5" t="s">
        <v>409</v>
      </c>
      <c r="OIR2" s="5" t="s">
        <v>409</v>
      </c>
      <c r="OIS2" s="5" t="s">
        <v>409</v>
      </c>
      <c r="OIT2" s="5" t="s">
        <v>409</v>
      </c>
      <c r="OIU2" s="5" t="s">
        <v>409</v>
      </c>
      <c r="OIV2" s="5" t="s">
        <v>409</v>
      </c>
      <c r="OIW2" s="5" t="s">
        <v>409</v>
      </c>
      <c r="OIX2" s="5" t="s">
        <v>409</v>
      </c>
      <c r="OIY2" s="5" t="s">
        <v>409</v>
      </c>
      <c r="OIZ2" s="5" t="s">
        <v>409</v>
      </c>
      <c r="OJA2" s="5" t="s">
        <v>409</v>
      </c>
      <c r="OJB2" s="5" t="s">
        <v>409</v>
      </c>
      <c r="OJC2" s="5" t="s">
        <v>409</v>
      </c>
      <c r="OJD2" s="5" t="s">
        <v>409</v>
      </c>
      <c r="OJE2" s="5" t="s">
        <v>409</v>
      </c>
      <c r="OJF2" s="5" t="s">
        <v>409</v>
      </c>
      <c r="OJG2" s="5" t="s">
        <v>409</v>
      </c>
      <c r="OJH2" s="5" t="s">
        <v>409</v>
      </c>
      <c r="OJI2" s="5" t="s">
        <v>409</v>
      </c>
      <c r="OJJ2" s="5" t="s">
        <v>409</v>
      </c>
      <c r="OJK2" s="5" t="s">
        <v>409</v>
      </c>
      <c r="OJL2" s="5" t="s">
        <v>409</v>
      </c>
      <c r="OJM2" s="5" t="s">
        <v>409</v>
      </c>
      <c r="OJN2" s="5" t="s">
        <v>409</v>
      </c>
      <c r="OJO2" s="5" t="s">
        <v>409</v>
      </c>
      <c r="OJP2" s="5" t="s">
        <v>409</v>
      </c>
      <c r="OJQ2" s="5" t="s">
        <v>409</v>
      </c>
      <c r="OJR2" s="5" t="s">
        <v>409</v>
      </c>
      <c r="OJS2" s="5" t="s">
        <v>409</v>
      </c>
      <c r="OJT2" s="5" t="s">
        <v>409</v>
      </c>
      <c r="OJU2" s="5" t="s">
        <v>409</v>
      </c>
      <c r="OJV2" s="5" t="s">
        <v>409</v>
      </c>
      <c r="OJW2" s="5" t="s">
        <v>409</v>
      </c>
      <c r="OJX2" s="5" t="s">
        <v>409</v>
      </c>
      <c r="OJY2" s="5" t="s">
        <v>409</v>
      </c>
      <c r="OJZ2" s="5" t="s">
        <v>409</v>
      </c>
      <c r="OKA2" s="5" t="s">
        <v>409</v>
      </c>
      <c r="OKB2" s="5" t="s">
        <v>409</v>
      </c>
      <c r="OKC2" s="5" t="s">
        <v>409</v>
      </c>
      <c r="OKD2" s="5" t="s">
        <v>409</v>
      </c>
      <c r="OKE2" s="5" t="s">
        <v>409</v>
      </c>
      <c r="OKF2" s="5" t="s">
        <v>409</v>
      </c>
      <c r="OKG2" s="5" t="s">
        <v>409</v>
      </c>
      <c r="OKH2" s="5" t="s">
        <v>409</v>
      </c>
      <c r="OKI2" s="5" t="s">
        <v>409</v>
      </c>
      <c r="OKJ2" s="5" t="s">
        <v>409</v>
      </c>
      <c r="OKK2" s="5" t="s">
        <v>409</v>
      </c>
      <c r="OKL2" s="5" t="s">
        <v>409</v>
      </c>
      <c r="OKM2" s="5" t="s">
        <v>409</v>
      </c>
      <c r="OKN2" s="5" t="s">
        <v>409</v>
      </c>
      <c r="OKO2" s="5" t="s">
        <v>409</v>
      </c>
      <c r="OKP2" s="5" t="s">
        <v>409</v>
      </c>
      <c r="OKQ2" s="5" t="s">
        <v>409</v>
      </c>
      <c r="OKR2" s="5" t="s">
        <v>409</v>
      </c>
      <c r="OKS2" s="5" t="s">
        <v>409</v>
      </c>
      <c r="OKT2" s="5" t="s">
        <v>409</v>
      </c>
      <c r="OKU2" s="5" t="s">
        <v>409</v>
      </c>
      <c r="OKV2" s="5" t="s">
        <v>409</v>
      </c>
      <c r="OKW2" s="5" t="s">
        <v>409</v>
      </c>
      <c r="OKX2" s="5" t="s">
        <v>409</v>
      </c>
      <c r="OKY2" s="5" t="s">
        <v>409</v>
      </c>
      <c r="OKZ2" s="5" t="s">
        <v>409</v>
      </c>
      <c r="OLA2" s="5" t="s">
        <v>409</v>
      </c>
      <c r="OLB2" s="5" t="s">
        <v>409</v>
      </c>
      <c r="OLC2" s="5" t="s">
        <v>409</v>
      </c>
      <c r="OLD2" s="5" t="s">
        <v>409</v>
      </c>
      <c r="OLE2" s="5" t="s">
        <v>409</v>
      </c>
      <c r="OLF2" s="5" t="s">
        <v>409</v>
      </c>
      <c r="OLG2" s="5" t="s">
        <v>409</v>
      </c>
      <c r="OLH2" s="5" t="s">
        <v>409</v>
      </c>
      <c r="OLI2" s="5" t="s">
        <v>409</v>
      </c>
      <c r="OLJ2" s="5" t="s">
        <v>409</v>
      </c>
      <c r="OLK2" s="5" t="s">
        <v>409</v>
      </c>
      <c r="OLL2" s="5" t="s">
        <v>409</v>
      </c>
      <c r="OLM2" s="5" t="s">
        <v>409</v>
      </c>
      <c r="OLN2" s="5" t="s">
        <v>409</v>
      </c>
      <c r="OLO2" s="5" t="s">
        <v>409</v>
      </c>
      <c r="OLP2" s="5" t="s">
        <v>409</v>
      </c>
      <c r="OLQ2" s="5" t="s">
        <v>409</v>
      </c>
      <c r="OLR2" s="5" t="s">
        <v>409</v>
      </c>
      <c r="OLS2" s="5" t="s">
        <v>409</v>
      </c>
      <c r="OLT2" s="5" t="s">
        <v>409</v>
      </c>
      <c r="OLU2" s="5" t="s">
        <v>409</v>
      </c>
      <c r="OLV2" s="5" t="s">
        <v>409</v>
      </c>
      <c r="OLW2" s="5" t="s">
        <v>409</v>
      </c>
      <c r="OLX2" s="5" t="s">
        <v>409</v>
      </c>
      <c r="OLY2" s="5" t="s">
        <v>409</v>
      </c>
      <c r="OLZ2" s="5" t="s">
        <v>409</v>
      </c>
      <c r="OMA2" s="5" t="s">
        <v>409</v>
      </c>
      <c r="OMB2" s="5" t="s">
        <v>409</v>
      </c>
      <c r="OMC2" s="5" t="s">
        <v>409</v>
      </c>
      <c r="OMD2" s="5" t="s">
        <v>409</v>
      </c>
      <c r="OME2" s="5" t="s">
        <v>409</v>
      </c>
      <c r="OMF2" s="5" t="s">
        <v>409</v>
      </c>
      <c r="OMG2" s="5" t="s">
        <v>409</v>
      </c>
      <c r="OMH2" s="5" t="s">
        <v>409</v>
      </c>
      <c r="OMI2" s="5" t="s">
        <v>409</v>
      </c>
      <c r="OMJ2" s="5" t="s">
        <v>409</v>
      </c>
      <c r="OMK2" s="5" t="s">
        <v>409</v>
      </c>
      <c r="OML2" s="5" t="s">
        <v>409</v>
      </c>
      <c r="OMM2" s="5" t="s">
        <v>409</v>
      </c>
      <c r="OMN2" s="5" t="s">
        <v>409</v>
      </c>
      <c r="OMO2" s="5" t="s">
        <v>409</v>
      </c>
      <c r="OMP2" s="5" t="s">
        <v>409</v>
      </c>
      <c r="OMQ2" s="5" t="s">
        <v>409</v>
      </c>
      <c r="OMR2" s="5" t="s">
        <v>409</v>
      </c>
      <c r="OMS2" s="5" t="s">
        <v>409</v>
      </c>
      <c r="OMT2" s="5" t="s">
        <v>409</v>
      </c>
      <c r="OMU2" s="5" t="s">
        <v>409</v>
      </c>
      <c r="OMV2" s="5" t="s">
        <v>409</v>
      </c>
      <c r="OMW2" s="5" t="s">
        <v>409</v>
      </c>
      <c r="OMX2" s="5" t="s">
        <v>409</v>
      </c>
      <c r="OMY2" s="5" t="s">
        <v>409</v>
      </c>
      <c r="OMZ2" s="5" t="s">
        <v>409</v>
      </c>
      <c r="ONA2" s="5" t="s">
        <v>409</v>
      </c>
      <c r="ONB2" s="5" t="s">
        <v>409</v>
      </c>
      <c r="ONC2" s="5" t="s">
        <v>409</v>
      </c>
      <c r="OND2" s="5" t="s">
        <v>409</v>
      </c>
      <c r="ONE2" s="5" t="s">
        <v>409</v>
      </c>
      <c r="ONF2" s="5" t="s">
        <v>409</v>
      </c>
      <c r="ONG2" s="5" t="s">
        <v>409</v>
      </c>
      <c r="ONH2" s="5" t="s">
        <v>409</v>
      </c>
      <c r="ONI2" s="5" t="s">
        <v>409</v>
      </c>
      <c r="ONJ2" s="5" t="s">
        <v>409</v>
      </c>
      <c r="ONK2" s="5" t="s">
        <v>409</v>
      </c>
      <c r="ONL2" s="5" t="s">
        <v>409</v>
      </c>
      <c r="ONM2" s="5" t="s">
        <v>409</v>
      </c>
      <c r="ONN2" s="5" t="s">
        <v>409</v>
      </c>
      <c r="ONO2" s="5" t="s">
        <v>409</v>
      </c>
      <c r="ONP2" s="5" t="s">
        <v>409</v>
      </c>
      <c r="ONQ2" s="5" t="s">
        <v>409</v>
      </c>
      <c r="ONR2" s="5" t="s">
        <v>409</v>
      </c>
      <c r="ONS2" s="5" t="s">
        <v>409</v>
      </c>
      <c r="ONT2" s="5" t="s">
        <v>409</v>
      </c>
      <c r="ONU2" s="5" t="s">
        <v>409</v>
      </c>
      <c r="ONV2" s="5" t="s">
        <v>409</v>
      </c>
      <c r="ONW2" s="5" t="s">
        <v>409</v>
      </c>
      <c r="ONX2" s="5" t="s">
        <v>409</v>
      </c>
      <c r="ONY2" s="5" t="s">
        <v>409</v>
      </c>
      <c r="ONZ2" s="5" t="s">
        <v>409</v>
      </c>
      <c r="OOA2" s="5" t="s">
        <v>409</v>
      </c>
      <c r="OOB2" s="5" t="s">
        <v>409</v>
      </c>
      <c r="OOC2" s="5" t="s">
        <v>409</v>
      </c>
      <c r="OOD2" s="5" t="s">
        <v>409</v>
      </c>
      <c r="OOE2" s="5" t="s">
        <v>409</v>
      </c>
      <c r="OOF2" s="5" t="s">
        <v>409</v>
      </c>
      <c r="OOG2" s="5" t="s">
        <v>409</v>
      </c>
      <c r="OOH2" s="5" t="s">
        <v>409</v>
      </c>
      <c r="OOI2" s="5" t="s">
        <v>409</v>
      </c>
      <c r="OOJ2" s="5" t="s">
        <v>409</v>
      </c>
      <c r="OOK2" s="5" t="s">
        <v>409</v>
      </c>
      <c r="OOL2" s="5" t="s">
        <v>409</v>
      </c>
      <c r="OOM2" s="5" t="s">
        <v>409</v>
      </c>
      <c r="OON2" s="5" t="s">
        <v>409</v>
      </c>
      <c r="OOO2" s="5" t="s">
        <v>409</v>
      </c>
      <c r="OOP2" s="5" t="s">
        <v>409</v>
      </c>
      <c r="OOQ2" s="5" t="s">
        <v>409</v>
      </c>
      <c r="OOR2" s="5" t="s">
        <v>409</v>
      </c>
      <c r="OOS2" s="5" t="s">
        <v>409</v>
      </c>
      <c r="OOT2" s="5" t="s">
        <v>409</v>
      </c>
      <c r="OOU2" s="5" t="s">
        <v>409</v>
      </c>
      <c r="OOV2" s="5" t="s">
        <v>409</v>
      </c>
      <c r="OOW2" s="5" t="s">
        <v>409</v>
      </c>
      <c r="OOX2" s="5" t="s">
        <v>409</v>
      </c>
      <c r="OOY2" s="5" t="s">
        <v>409</v>
      </c>
      <c r="OOZ2" s="5" t="s">
        <v>409</v>
      </c>
      <c r="OPA2" s="5" t="s">
        <v>409</v>
      </c>
      <c r="OPB2" s="5" t="s">
        <v>409</v>
      </c>
      <c r="OPC2" s="5" t="s">
        <v>409</v>
      </c>
      <c r="OPD2" s="5" t="s">
        <v>409</v>
      </c>
      <c r="OPE2" s="5" t="s">
        <v>409</v>
      </c>
      <c r="OPF2" s="5" t="s">
        <v>409</v>
      </c>
      <c r="OPG2" s="5" t="s">
        <v>409</v>
      </c>
      <c r="OPH2" s="5" t="s">
        <v>409</v>
      </c>
      <c r="OPI2" s="5" t="s">
        <v>409</v>
      </c>
      <c r="OPJ2" s="5" t="s">
        <v>409</v>
      </c>
      <c r="OPK2" s="5" t="s">
        <v>409</v>
      </c>
      <c r="OPL2" s="5" t="s">
        <v>409</v>
      </c>
      <c r="OPM2" s="5" t="s">
        <v>409</v>
      </c>
      <c r="OPN2" s="5" t="s">
        <v>409</v>
      </c>
      <c r="OPO2" s="5" t="s">
        <v>409</v>
      </c>
      <c r="OPP2" s="5" t="s">
        <v>409</v>
      </c>
      <c r="OPQ2" s="5" t="s">
        <v>409</v>
      </c>
      <c r="OPR2" s="5" t="s">
        <v>409</v>
      </c>
      <c r="OPS2" s="5" t="s">
        <v>409</v>
      </c>
      <c r="OPT2" s="5" t="s">
        <v>409</v>
      </c>
      <c r="OPU2" s="5" t="s">
        <v>409</v>
      </c>
      <c r="OPV2" s="5" t="s">
        <v>409</v>
      </c>
      <c r="OPW2" s="5" t="s">
        <v>409</v>
      </c>
      <c r="OPX2" s="5" t="s">
        <v>409</v>
      </c>
      <c r="OPY2" s="5" t="s">
        <v>409</v>
      </c>
      <c r="OPZ2" s="5" t="s">
        <v>409</v>
      </c>
      <c r="OQA2" s="5" t="s">
        <v>409</v>
      </c>
      <c r="OQB2" s="5" t="s">
        <v>409</v>
      </c>
      <c r="OQC2" s="5" t="s">
        <v>409</v>
      </c>
      <c r="OQD2" s="5" t="s">
        <v>409</v>
      </c>
      <c r="OQE2" s="5" t="s">
        <v>409</v>
      </c>
      <c r="OQF2" s="5" t="s">
        <v>409</v>
      </c>
      <c r="OQG2" s="5" t="s">
        <v>409</v>
      </c>
      <c r="OQH2" s="5" t="s">
        <v>409</v>
      </c>
      <c r="OQI2" s="5" t="s">
        <v>409</v>
      </c>
      <c r="OQJ2" s="5" t="s">
        <v>409</v>
      </c>
      <c r="OQK2" s="5" t="s">
        <v>409</v>
      </c>
      <c r="OQL2" s="5" t="s">
        <v>409</v>
      </c>
      <c r="OQM2" s="5" t="s">
        <v>409</v>
      </c>
      <c r="OQN2" s="5" t="s">
        <v>409</v>
      </c>
      <c r="OQO2" s="5" t="s">
        <v>409</v>
      </c>
      <c r="OQP2" s="5" t="s">
        <v>409</v>
      </c>
      <c r="OQQ2" s="5" t="s">
        <v>409</v>
      </c>
      <c r="OQR2" s="5" t="s">
        <v>409</v>
      </c>
      <c r="OQS2" s="5" t="s">
        <v>409</v>
      </c>
      <c r="OQT2" s="5" t="s">
        <v>409</v>
      </c>
      <c r="OQU2" s="5" t="s">
        <v>409</v>
      </c>
      <c r="OQV2" s="5" t="s">
        <v>409</v>
      </c>
      <c r="OQW2" s="5" t="s">
        <v>409</v>
      </c>
      <c r="OQX2" s="5" t="s">
        <v>409</v>
      </c>
      <c r="OQY2" s="5" t="s">
        <v>409</v>
      </c>
      <c r="OQZ2" s="5" t="s">
        <v>409</v>
      </c>
      <c r="ORA2" s="5" t="s">
        <v>409</v>
      </c>
      <c r="ORB2" s="5" t="s">
        <v>409</v>
      </c>
      <c r="ORC2" s="5" t="s">
        <v>409</v>
      </c>
      <c r="ORD2" s="5" t="s">
        <v>409</v>
      </c>
      <c r="ORE2" s="5" t="s">
        <v>409</v>
      </c>
      <c r="ORF2" s="5" t="s">
        <v>409</v>
      </c>
      <c r="ORG2" s="5" t="s">
        <v>409</v>
      </c>
      <c r="ORH2" s="5" t="s">
        <v>409</v>
      </c>
      <c r="ORI2" s="5" t="s">
        <v>409</v>
      </c>
      <c r="ORJ2" s="5" t="s">
        <v>409</v>
      </c>
      <c r="ORK2" s="5" t="s">
        <v>409</v>
      </c>
      <c r="ORL2" s="5" t="s">
        <v>409</v>
      </c>
      <c r="ORM2" s="5" t="s">
        <v>409</v>
      </c>
      <c r="ORN2" s="5" t="s">
        <v>409</v>
      </c>
      <c r="ORO2" s="5" t="s">
        <v>409</v>
      </c>
      <c r="ORP2" s="5" t="s">
        <v>409</v>
      </c>
      <c r="ORQ2" s="5" t="s">
        <v>409</v>
      </c>
      <c r="ORR2" s="5" t="s">
        <v>409</v>
      </c>
      <c r="ORS2" s="5" t="s">
        <v>409</v>
      </c>
      <c r="ORT2" s="5" t="s">
        <v>409</v>
      </c>
      <c r="ORU2" s="5" t="s">
        <v>409</v>
      </c>
      <c r="ORV2" s="5" t="s">
        <v>409</v>
      </c>
      <c r="ORW2" s="5" t="s">
        <v>409</v>
      </c>
      <c r="ORX2" s="5" t="s">
        <v>409</v>
      </c>
      <c r="ORY2" s="5" t="s">
        <v>409</v>
      </c>
      <c r="ORZ2" s="5" t="s">
        <v>409</v>
      </c>
      <c r="OSA2" s="5" t="s">
        <v>409</v>
      </c>
      <c r="OSB2" s="5" t="s">
        <v>409</v>
      </c>
      <c r="OSC2" s="5" t="s">
        <v>409</v>
      </c>
      <c r="OSD2" s="5" t="s">
        <v>409</v>
      </c>
      <c r="OSE2" s="5" t="s">
        <v>409</v>
      </c>
      <c r="OSF2" s="5" t="s">
        <v>409</v>
      </c>
      <c r="OSG2" s="5" t="s">
        <v>409</v>
      </c>
      <c r="OSH2" s="5" t="s">
        <v>409</v>
      </c>
      <c r="OSI2" s="5" t="s">
        <v>409</v>
      </c>
      <c r="OSJ2" s="5" t="s">
        <v>409</v>
      </c>
      <c r="OSK2" s="5" t="s">
        <v>409</v>
      </c>
      <c r="OSL2" s="5" t="s">
        <v>409</v>
      </c>
      <c r="OSM2" s="5" t="s">
        <v>409</v>
      </c>
      <c r="OSN2" s="5" t="s">
        <v>409</v>
      </c>
      <c r="OSO2" s="5" t="s">
        <v>409</v>
      </c>
      <c r="OSP2" s="5" t="s">
        <v>409</v>
      </c>
      <c r="OSQ2" s="5" t="s">
        <v>409</v>
      </c>
      <c r="OSR2" s="5" t="s">
        <v>409</v>
      </c>
      <c r="OSS2" s="5" t="s">
        <v>409</v>
      </c>
      <c r="OST2" s="5" t="s">
        <v>409</v>
      </c>
      <c r="OSU2" s="5" t="s">
        <v>409</v>
      </c>
      <c r="OSV2" s="5" t="s">
        <v>409</v>
      </c>
      <c r="OSW2" s="5" t="s">
        <v>409</v>
      </c>
      <c r="OSX2" s="5" t="s">
        <v>409</v>
      </c>
      <c r="OSY2" s="5" t="s">
        <v>409</v>
      </c>
      <c r="OSZ2" s="5" t="s">
        <v>409</v>
      </c>
      <c r="OTA2" s="5" t="s">
        <v>409</v>
      </c>
      <c r="OTB2" s="5" t="s">
        <v>409</v>
      </c>
      <c r="OTC2" s="5" t="s">
        <v>409</v>
      </c>
      <c r="OTD2" s="5" t="s">
        <v>409</v>
      </c>
      <c r="OTE2" s="5" t="s">
        <v>409</v>
      </c>
      <c r="OTF2" s="5" t="s">
        <v>409</v>
      </c>
      <c r="OTG2" s="5" t="s">
        <v>409</v>
      </c>
      <c r="OTH2" s="5" t="s">
        <v>409</v>
      </c>
      <c r="OTI2" s="5" t="s">
        <v>409</v>
      </c>
      <c r="OTJ2" s="5" t="s">
        <v>409</v>
      </c>
      <c r="OTK2" s="5" t="s">
        <v>409</v>
      </c>
      <c r="OTL2" s="5" t="s">
        <v>409</v>
      </c>
      <c r="OTM2" s="5" t="s">
        <v>409</v>
      </c>
      <c r="OTN2" s="5" t="s">
        <v>409</v>
      </c>
      <c r="OTO2" s="5" t="s">
        <v>409</v>
      </c>
      <c r="OTP2" s="5" t="s">
        <v>409</v>
      </c>
      <c r="OTQ2" s="5" t="s">
        <v>409</v>
      </c>
      <c r="OTR2" s="5" t="s">
        <v>409</v>
      </c>
      <c r="OTS2" s="5" t="s">
        <v>409</v>
      </c>
      <c r="OTT2" s="5" t="s">
        <v>409</v>
      </c>
      <c r="OTU2" s="5" t="s">
        <v>409</v>
      </c>
      <c r="OTV2" s="5" t="s">
        <v>409</v>
      </c>
      <c r="OTW2" s="5" t="s">
        <v>409</v>
      </c>
      <c r="OTX2" s="5" t="s">
        <v>409</v>
      </c>
      <c r="OTY2" s="5" t="s">
        <v>409</v>
      </c>
      <c r="OTZ2" s="5" t="s">
        <v>409</v>
      </c>
      <c r="OUA2" s="5" t="s">
        <v>409</v>
      </c>
      <c r="OUB2" s="5" t="s">
        <v>409</v>
      </c>
      <c r="OUC2" s="5" t="s">
        <v>409</v>
      </c>
      <c r="OUD2" s="5" t="s">
        <v>409</v>
      </c>
      <c r="OUE2" s="5" t="s">
        <v>409</v>
      </c>
      <c r="OUF2" s="5" t="s">
        <v>409</v>
      </c>
      <c r="OUG2" s="5" t="s">
        <v>409</v>
      </c>
      <c r="OUH2" s="5" t="s">
        <v>409</v>
      </c>
      <c r="OUI2" s="5" t="s">
        <v>409</v>
      </c>
      <c r="OUJ2" s="5" t="s">
        <v>409</v>
      </c>
      <c r="OUK2" s="5" t="s">
        <v>409</v>
      </c>
      <c r="OUL2" s="5" t="s">
        <v>409</v>
      </c>
      <c r="OUM2" s="5" t="s">
        <v>409</v>
      </c>
      <c r="OUN2" s="5" t="s">
        <v>409</v>
      </c>
      <c r="OUO2" s="5" t="s">
        <v>409</v>
      </c>
      <c r="OUP2" s="5" t="s">
        <v>409</v>
      </c>
      <c r="OUQ2" s="5" t="s">
        <v>409</v>
      </c>
      <c r="OUR2" s="5" t="s">
        <v>409</v>
      </c>
      <c r="OUS2" s="5" t="s">
        <v>409</v>
      </c>
      <c r="OUT2" s="5" t="s">
        <v>409</v>
      </c>
      <c r="OUU2" s="5" t="s">
        <v>409</v>
      </c>
      <c r="OUV2" s="5" t="s">
        <v>409</v>
      </c>
      <c r="OUW2" s="5" t="s">
        <v>409</v>
      </c>
      <c r="OUX2" s="5" t="s">
        <v>409</v>
      </c>
      <c r="OUY2" s="5" t="s">
        <v>409</v>
      </c>
      <c r="OUZ2" s="5" t="s">
        <v>409</v>
      </c>
      <c r="OVA2" s="5" t="s">
        <v>409</v>
      </c>
      <c r="OVB2" s="5" t="s">
        <v>409</v>
      </c>
      <c r="OVC2" s="5" t="s">
        <v>409</v>
      </c>
      <c r="OVD2" s="5" t="s">
        <v>409</v>
      </c>
      <c r="OVE2" s="5" t="s">
        <v>409</v>
      </c>
      <c r="OVF2" s="5" t="s">
        <v>409</v>
      </c>
      <c r="OVG2" s="5" t="s">
        <v>409</v>
      </c>
      <c r="OVH2" s="5" t="s">
        <v>409</v>
      </c>
      <c r="OVI2" s="5" t="s">
        <v>409</v>
      </c>
      <c r="OVJ2" s="5" t="s">
        <v>409</v>
      </c>
      <c r="OVK2" s="5" t="s">
        <v>409</v>
      </c>
      <c r="OVL2" s="5" t="s">
        <v>409</v>
      </c>
      <c r="OVM2" s="5" t="s">
        <v>409</v>
      </c>
      <c r="OVN2" s="5" t="s">
        <v>409</v>
      </c>
      <c r="OVO2" s="5" t="s">
        <v>409</v>
      </c>
      <c r="OVP2" s="5" t="s">
        <v>409</v>
      </c>
      <c r="OVQ2" s="5" t="s">
        <v>409</v>
      </c>
      <c r="OVR2" s="5" t="s">
        <v>409</v>
      </c>
      <c r="OVS2" s="5" t="s">
        <v>409</v>
      </c>
      <c r="OVT2" s="5" t="s">
        <v>409</v>
      </c>
      <c r="OVU2" s="5" t="s">
        <v>409</v>
      </c>
      <c r="OVV2" s="5" t="s">
        <v>409</v>
      </c>
      <c r="OVW2" s="5" t="s">
        <v>409</v>
      </c>
      <c r="OVX2" s="5" t="s">
        <v>409</v>
      </c>
      <c r="OVY2" s="5" t="s">
        <v>409</v>
      </c>
      <c r="OVZ2" s="5" t="s">
        <v>409</v>
      </c>
      <c r="OWA2" s="5" t="s">
        <v>409</v>
      </c>
      <c r="OWB2" s="5" t="s">
        <v>409</v>
      </c>
      <c r="OWC2" s="5" t="s">
        <v>409</v>
      </c>
      <c r="OWD2" s="5" t="s">
        <v>409</v>
      </c>
      <c r="OWE2" s="5" t="s">
        <v>409</v>
      </c>
      <c r="OWF2" s="5" t="s">
        <v>409</v>
      </c>
      <c r="OWG2" s="5" t="s">
        <v>409</v>
      </c>
      <c r="OWH2" s="5" t="s">
        <v>409</v>
      </c>
      <c r="OWI2" s="5" t="s">
        <v>409</v>
      </c>
      <c r="OWJ2" s="5" t="s">
        <v>409</v>
      </c>
      <c r="OWK2" s="5" t="s">
        <v>409</v>
      </c>
      <c r="OWL2" s="5" t="s">
        <v>409</v>
      </c>
      <c r="OWM2" s="5" t="s">
        <v>409</v>
      </c>
      <c r="OWN2" s="5" t="s">
        <v>409</v>
      </c>
      <c r="OWO2" s="5" t="s">
        <v>409</v>
      </c>
      <c r="OWP2" s="5" t="s">
        <v>409</v>
      </c>
      <c r="OWQ2" s="5" t="s">
        <v>409</v>
      </c>
      <c r="OWR2" s="5" t="s">
        <v>409</v>
      </c>
      <c r="OWS2" s="5" t="s">
        <v>409</v>
      </c>
      <c r="OWT2" s="5" t="s">
        <v>409</v>
      </c>
      <c r="OWU2" s="5" t="s">
        <v>409</v>
      </c>
      <c r="OWV2" s="5" t="s">
        <v>409</v>
      </c>
      <c r="OWW2" s="5" t="s">
        <v>409</v>
      </c>
      <c r="OWX2" s="5" t="s">
        <v>409</v>
      </c>
      <c r="OWY2" s="5" t="s">
        <v>409</v>
      </c>
      <c r="OWZ2" s="5" t="s">
        <v>409</v>
      </c>
      <c r="OXA2" s="5" t="s">
        <v>409</v>
      </c>
      <c r="OXB2" s="5" t="s">
        <v>409</v>
      </c>
      <c r="OXC2" s="5" t="s">
        <v>409</v>
      </c>
      <c r="OXD2" s="5" t="s">
        <v>409</v>
      </c>
      <c r="OXE2" s="5" t="s">
        <v>409</v>
      </c>
      <c r="OXF2" s="5" t="s">
        <v>409</v>
      </c>
      <c r="OXG2" s="5" t="s">
        <v>409</v>
      </c>
      <c r="OXH2" s="5" t="s">
        <v>409</v>
      </c>
      <c r="OXI2" s="5" t="s">
        <v>409</v>
      </c>
      <c r="OXJ2" s="5" t="s">
        <v>409</v>
      </c>
      <c r="OXK2" s="5" t="s">
        <v>409</v>
      </c>
      <c r="OXL2" s="5" t="s">
        <v>409</v>
      </c>
      <c r="OXM2" s="5" t="s">
        <v>409</v>
      </c>
      <c r="OXN2" s="5" t="s">
        <v>409</v>
      </c>
      <c r="OXO2" s="5" t="s">
        <v>409</v>
      </c>
      <c r="OXP2" s="5" t="s">
        <v>409</v>
      </c>
      <c r="OXQ2" s="5" t="s">
        <v>409</v>
      </c>
      <c r="OXR2" s="5" t="s">
        <v>409</v>
      </c>
      <c r="OXS2" s="5" t="s">
        <v>409</v>
      </c>
      <c r="OXT2" s="5" t="s">
        <v>409</v>
      </c>
      <c r="OXU2" s="5" t="s">
        <v>409</v>
      </c>
      <c r="OXV2" s="5" t="s">
        <v>409</v>
      </c>
      <c r="OXW2" s="5" t="s">
        <v>409</v>
      </c>
      <c r="OXX2" s="5" t="s">
        <v>409</v>
      </c>
      <c r="OXY2" s="5" t="s">
        <v>409</v>
      </c>
      <c r="OXZ2" s="5" t="s">
        <v>409</v>
      </c>
      <c r="OYA2" s="5" t="s">
        <v>409</v>
      </c>
      <c r="OYB2" s="5" t="s">
        <v>409</v>
      </c>
      <c r="OYC2" s="5" t="s">
        <v>409</v>
      </c>
      <c r="OYD2" s="5" t="s">
        <v>409</v>
      </c>
      <c r="OYE2" s="5" t="s">
        <v>409</v>
      </c>
      <c r="OYF2" s="5" t="s">
        <v>409</v>
      </c>
      <c r="OYG2" s="5" t="s">
        <v>409</v>
      </c>
      <c r="OYH2" s="5" t="s">
        <v>409</v>
      </c>
      <c r="OYI2" s="5" t="s">
        <v>409</v>
      </c>
      <c r="OYJ2" s="5" t="s">
        <v>409</v>
      </c>
      <c r="OYK2" s="5" t="s">
        <v>409</v>
      </c>
      <c r="OYL2" s="5" t="s">
        <v>409</v>
      </c>
      <c r="OYM2" s="5" t="s">
        <v>409</v>
      </c>
      <c r="OYN2" s="5" t="s">
        <v>409</v>
      </c>
      <c r="OYO2" s="5" t="s">
        <v>409</v>
      </c>
      <c r="OYP2" s="5" t="s">
        <v>409</v>
      </c>
      <c r="OYQ2" s="5" t="s">
        <v>409</v>
      </c>
      <c r="OYR2" s="5" t="s">
        <v>409</v>
      </c>
      <c r="OYS2" s="5" t="s">
        <v>409</v>
      </c>
      <c r="OYT2" s="5" t="s">
        <v>409</v>
      </c>
      <c r="OYU2" s="5" t="s">
        <v>409</v>
      </c>
      <c r="OYV2" s="5" t="s">
        <v>409</v>
      </c>
      <c r="OYW2" s="5" t="s">
        <v>409</v>
      </c>
      <c r="OYX2" s="5" t="s">
        <v>409</v>
      </c>
      <c r="OYY2" s="5" t="s">
        <v>409</v>
      </c>
      <c r="OYZ2" s="5" t="s">
        <v>409</v>
      </c>
      <c r="OZA2" s="5" t="s">
        <v>409</v>
      </c>
      <c r="OZB2" s="5" t="s">
        <v>409</v>
      </c>
      <c r="OZC2" s="5" t="s">
        <v>409</v>
      </c>
      <c r="OZD2" s="5" t="s">
        <v>409</v>
      </c>
      <c r="OZE2" s="5" t="s">
        <v>409</v>
      </c>
      <c r="OZF2" s="5" t="s">
        <v>409</v>
      </c>
      <c r="OZG2" s="5" t="s">
        <v>409</v>
      </c>
      <c r="OZH2" s="5" t="s">
        <v>409</v>
      </c>
      <c r="OZI2" s="5" t="s">
        <v>409</v>
      </c>
      <c r="OZJ2" s="5" t="s">
        <v>409</v>
      </c>
      <c r="OZK2" s="5" t="s">
        <v>409</v>
      </c>
      <c r="OZL2" s="5" t="s">
        <v>409</v>
      </c>
      <c r="OZM2" s="5" t="s">
        <v>409</v>
      </c>
      <c r="OZN2" s="5" t="s">
        <v>409</v>
      </c>
      <c r="OZO2" s="5" t="s">
        <v>409</v>
      </c>
      <c r="OZP2" s="5" t="s">
        <v>409</v>
      </c>
      <c r="OZQ2" s="5" t="s">
        <v>409</v>
      </c>
      <c r="OZR2" s="5" t="s">
        <v>409</v>
      </c>
      <c r="OZS2" s="5" t="s">
        <v>409</v>
      </c>
      <c r="OZT2" s="5" t="s">
        <v>409</v>
      </c>
      <c r="OZU2" s="5" t="s">
        <v>409</v>
      </c>
      <c r="OZV2" s="5" t="s">
        <v>409</v>
      </c>
      <c r="OZW2" s="5" t="s">
        <v>409</v>
      </c>
      <c r="OZX2" s="5" t="s">
        <v>409</v>
      </c>
      <c r="OZY2" s="5" t="s">
        <v>409</v>
      </c>
      <c r="OZZ2" s="5" t="s">
        <v>409</v>
      </c>
      <c r="PAA2" s="5" t="s">
        <v>409</v>
      </c>
      <c r="PAB2" s="5" t="s">
        <v>409</v>
      </c>
      <c r="PAC2" s="5" t="s">
        <v>409</v>
      </c>
      <c r="PAD2" s="5" t="s">
        <v>409</v>
      </c>
      <c r="PAE2" s="5" t="s">
        <v>409</v>
      </c>
      <c r="PAF2" s="5" t="s">
        <v>409</v>
      </c>
      <c r="PAG2" s="5" t="s">
        <v>409</v>
      </c>
      <c r="PAH2" s="5" t="s">
        <v>409</v>
      </c>
      <c r="PAI2" s="5" t="s">
        <v>409</v>
      </c>
      <c r="PAJ2" s="5" t="s">
        <v>409</v>
      </c>
      <c r="PAK2" s="5" t="s">
        <v>409</v>
      </c>
      <c r="PAL2" s="5" t="s">
        <v>409</v>
      </c>
      <c r="PAM2" s="5" t="s">
        <v>409</v>
      </c>
      <c r="PAN2" s="5" t="s">
        <v>409</v>
      </c>
      <c r="PAO2" s="5" t="s">
        <v>409</v>
      </c>
      <c r="PAP2" s="5" t="s">
        <v>409</v>
      </c>
      <c r="PAQ2" s="5" t="s">
        <v>409</v>
      </c>
      <c r="PAR2" s="5" t="s">
        <v>409</v>
      </c>
      <c r="PAS2" s="5" t="s">
        <v>409</v>
      </c>
      <c r="PAT2" s="5" t="s">
        <v>409</v>
      </c>
      <c r="PAU2" s="5" t="s">
        <v>409</v>
      </c>
      <c r="PAV2" s="5" t="s">
        <v>409</v>
      </c>
      <c r="PAW2" s="5" t="s">
        <v>409</v>
      </c>
      <c r="PAX2" s="5" t="s">
        <v>409</v>
      </c>
      <c r="PAY2" s="5" t="s">
        <v>409</v>
      </c>
      <c r="PAZ2" s="5" t="s">
        <v>409</v>
      </c>
      <c r="PBA2" s="5" t="s">
        <v>409</v>
      </c>
      <c r="PBB2" s="5" t="s">
        <v>409</v>
      </c>
      <c r="PBC2" s="5" t="s">
        <v>409</v>
      </c>
      <c r="PBD2" s="5" t="s">
        <v>409</v>
      </c>
      <c r="PBE2" s="5" t="s">
        <v>409</v>
      </c>
      <c r="PBF2" s="5" t="s">
        <v>409</v>
      </c>
      <c r="PBG2" s="5" t="s">
        <v>409</v>
      </c>
      <c r="PBH2" s="5" t="s">
        <v>409</v>
      </c>
      <c r="PBI2" s="5" t="s">
        <v>409</v>
      </c>
      <c r="PBJ2" s="5" t="s">
        <v>409</v>
      </c>
      <c r="PBK2" s="5" t="s">
        <v>409</v>
      </c>
      <c r="PBL2" s="5" t="s">
        <v>409</v>
      </c>
      <c r="PBM2" s="5" t="s">
        <v>409</v>
      </c>
      <c r="PBN2" s="5" t="s">
        <v>409</v>
      </c>
      <c r="PBO2" s="5" t="s">
        <v>409</v>
      </c>
      <c r="PBP2" s="5" t="s">
        <v>409</v>
      </c>
      <c r="PBQ2" s="5" t="s">
        <v>409</v>
      </c>
      <c r="PBR2" s="5" t="s">
        <v>409</v>
      </c>
      <c r="PBS2" s="5" t="s">
        <v>409</v>
      </c>
      <c r="PBT2" s="5" t="s">
        <v>409</v>
      </c>
      <c r="PBU2" s="5" t="s">
        <v>409</v>
      </c>
      <c r="PBV2" s="5" t="s">
        <v>409</v>
      </c>
      <c r="PBW2" s="5" t="s">
        <v>409</v>
      </c>
      <c r="PBX2" s="5" t="s">
        <v>409</v>
      </c>
      <c r="PBY2" s="5" t="s">
        <v>409</v>
      </c>
      <c r="PBZ2" s="5" t="s">
        <v>409</v>
      </c>
      <c r="PCA2" s="5" t="s">
        <v>409</v>
      </c>
      <c r="PCB2" s="5" t="s">
        <v>409</v>
      </c>
      <c r="PCC2" s="5" t="s">
        <v>409</v>
      </c>
      <c r="PCD2" s="5" t="s">
        <v>409</v>
      </c>
      <c r="PCE2" s="5" t="s">
        <v>409</v>
      </c>
      <c r="PCF2" s="5" t="s">
        <v>409</v>
      </c>
      <c r="PCG2" s="5" t="s">
        <v>409</v>
      </c>
      <c r="PCH2" s="5" t="s">
        <v>409</v>
      </c>
      <c r="PCI2" s="5" t="s">
        <v>409</v>
      </c>
      <c r="PCJ2" s="5" t="s">
        <v>409</v>
      </c>
      <c r="PCK2" s="5" t="s">
        <v>409</v>
      </c>
      <c r="PCL2" s="5" t="s">
        <v>409</v>
      </c>
      <c r="PCM2" s="5" t="s">
        <v>409</v>
      </c>
      <c r="PCN2" s="5" t="s">
        <v>409</v>
      </c>
      <c r="PCO2" s="5" t="s">
        <v>409</v>
      </c>
      <c r="PCP2" s="5" t="s">
        <v>409</v>
      </c>
      <c r="PCQ2" s="5" t="s">
        <v>409</v>
      </c>
      <c r="PCR2" s="5" t="s">
        <v>409</v>
      </c>
      <c r="PCS2" s="5" t="s">
        <v>409</v>
      </c>
      <c r="PCT2" s="5" t="s">
        <v>409</v>
      </c>
      <c r="PCU2" s="5" t="s">
        <v>409</v>
      </c>
      <c r="PCV2" s="5" t="s">
        <v>409</v>
      </c>
      <c r="PCW2" s="5" t="s">
        <v>409</v>
      </c>
      <c r="PCX2" s="5" t="s">
        <v>409</v>
      </c>
      <c r="PCY2" s="5" t="s">
        <v>409</v>
      </c>
      <c r="PCZ2" s="5" t="s">
        <v>409</v>
      </c>
      <c r="PDA2" s="5" t="s">
        <v>409</v>
      </c>
      <c r="PDB2" s="5" t="s">
        <v>409</v>
      </c>
      <c r="PDC2" s="5" t="s">
        <v>409</v>
      </c>
      <c r="PDD2" s="5" t="s">
        <v>409</v>
      </c>
      <c r="PDE2" s="5" t="s">
        <v>409</v>
      </c>
      <c r="PDF2" s="5" t="s">
        <v>409</v>
      </c>
      <c r="PDG2" s="5" t="s">
        <v>409</v>
      </c>
      <c r="PDH2" s="5" t="s">
        <v>409</v>
      </c>
      <c r="PDI2" s="5" t="s">
        <v>409</v>
      </c>
      <c r="PDJ2" s="5" t="s">
        <v>409</v>
      </c>
      <c r="PDK2" s="5" t="s">
        <v>409</v>
      </c>
      <c r="PDL2" s="5" t="s">
        <v>409</v>
      </c>
      <c r="PDM2" s="5" t="s">
        <v>409</v>
      </c>
      <c r="PDN2" s="5" t="s">
        <v>409</v>
      </c>
      <c r="PDO2" s="5" t="s">
        <v>409</v>
      </c>
      <c r="PDP2" s="5" t="s">
        <v>409</v>
      </c>
      <c r="PDQ2" s="5" t="s">
        <v>409</v>
      </c>
      <c r="PDR2" s="5" t="s">
        <v>409</v>
      </c>
      <c r="PDS2" s="5" t="s">
        <v>409</v>
      </c>
      <c r="PDT2" s="5" t="s">
        <v>409</v>
      </c>
      <c r="PDU2" s="5" t="s">
        <v>409</v>
      </c>
      <c r="PDV2" s="5" t="s">
        <v>409</v>
      </c>
      <c r="PDW2" s="5" t="s">
        <v>409</v>
      </c>
      <c r="PDX2" s="5" t="s">
        <v>409</v>
      </c>
      <c r="PDY2" s="5" t="s">
        <v>409</v>
      </c>
      <c r="PDZ2" s="5" t="s">
        <v>409</v>
      </c>
      <c r="PEA2" s="5" t="s">
        <v>409</v>
      </c>
      <c r="PEB2" s="5" t="s">
        <v>409</v>
      </c>
      <c r="PEC2" s="5" t="s">
        <v>409</v>
      </c>
      <c r="PED2" s="5" t="s">
        <v>409</v>
      </c>
      <c r="PEE2" s="5" t="s">
        <v>409</v>
      </c>
      <c r="PEF2" s="5" t="s">
        <v>409</v>
      </c>
      <c r="PEG2" s="5" t="s">
        <v>409</v>
      </c>
      <c r="PEH2" s="5" t="s">
        <v>409</v>
      </c>
      <c r="PEI2" s="5" t="s">
        <v>409</v>
      </c>
      <c r="PEJ2" s="5" t="s">
        <v>409</v>
      </c>
      <c r="PEK2" s="5" t="s">
        <v>409</v>
      </c>
      <c r="PEL2" s="5" t="s">
        <v>409</v>
      </c>
      <c r="PEM2" s="5" t="s">
        <v>409</v>
      </c>
      <c r="PEN2" s="5" t="s">
        <v>409</v>
      </c>
      <c r="PEO2" s="5" t="s">
        <v>409</v>
      </c>
      <c r="PEP2" s="5" t="s">
        <v>409</v>
      </c>
      <c r="PEQ2" s="5" t="s">
        <v>409</v>
      </c>
      <c r="PER2" s="5" t="s">
        <v>409</v>
      </c>
      <c r="PES2" s="5" t="s">
        <v>409</v>
      </c>
      <c r="PET2" s="5" t="s">
        <v>409</v>
      </c>
      <c r="PEU2" s="5" t="s">
        <v>409</v>
      </c>
      <c r="PEV2" s="5" t="s">
        <v>409</v>
      </c>
      <c r="PEW2" s="5" t="s">
        <v>409</v>
      </c>
      <c r="PEX2" s="5" t="s">
        <v>409</v>
      </c>
      <c r="PEY2" s="5" t="s">
        <v>409</v>
      </c>
      <c r="PEZ2" s="5" t="s">
        <v>409</v>
      </c>
      <c r="PFA2" s="5" t="s">
        <v>409</v>
      </c>
      <c r="PFB2" s="5" t="s">
        <v>409</v>
      </c>
      <c r="PFC2" s="5" t="s">
        <v>409</v>
      </c>
      <c r="PFD2" s="5" t="s">
        <v>409</v>
      </c>
      <c r="PFE2" s="5" t="s">
        <v>409</v>
      </c>
      <c r="PFF2" s="5" t="s">
        <v>409</v>
      </c>
      <c r="PFG2" s="5" t="s">
        <v>409</v>
      </c>
      <c r="PFH2" s="5" t="s">
        <v>409</v>
      </c>
      <c r="PFI2" s="5" t="s">
        <v>409</v>
      </c>
      <c r="PFJ2" s="5" t="s">
        <v>409</v>
      </c>
      <c r="PFK2" s="5" t="s">
        <v>409</v>
      </c>
      <c r="PFL2" s="5" t="s">
        <v>409</v>
      </c>
      <c r="PFM2" s="5" t="s">
        <v>409</v>
      </c>
      <c r="PFN2" s="5" t="s">
        <v>409</v>
      </c>
      <c r="PFO2" s="5" t="s">
        <v>409</v>
      </c>
      <c r="PFP2" s="5" t="s">
        <v>409</v>
      </c>
      <c r="PFQ2" s="5" t="s">
        <v>409</v>
      </c>
      <c r="PFR2" s="5" t="s">
        <v>409</v>
      </c>
      <c r="PFS2" s="5" t="s">
        <v>409</v>
      </c>
      <c r="PFT2" s="5" t="s">
        <v>409</v>
      </c>
      <c r="PFU2" s="5" t="s">
        <v>409</v>
      </c>
      <c r="PFV2" s="5" t="s">
        <v>409</v>
      </c>
      <c r="PFW2" s="5" t="s">
        <v>409</v>
      </c>
      <c r="PFX2" s="5" t="s">
        <v>409</v>
      </c>
      <c r="PFY2" s="5" t="s">
        <v>409</v>
      </c>
      <c r="PFZ2" s="5" t="s">
        <v>409</v>
      </c>
      <c r="PGA2" s="5" t="s">
        <v>409</v>
      </c>
      <c r="PGB2" s="5" t="s">
        <v>409</v>
      </c>
      <c r="PGC2" s="5" t="s">
        <v>409</v>
      </c>
      <c r="PGD2" s="5" t="s">
        <v>409</v>
      </c>
      <c r="PGE2" s="5" t="s">
        <v>409</v>
      </c>
      <c r="PGF2" s="5" t="s">
        <v>409</v>
      </c>
      <c r="PGG2" s="5" t="s">
        <v>409</v>
      </c>
      <c r="PGH2" s="5" t="s">
        <v>409</v>
      </c>
      <c r="PGI2" s="5" t="s">
        <v>409</v>
      </c>
      <c r="PGJ2" s="5" t="s">
        <v>409</v>
      </c>
      <c r="PGK2" s="5" t="s">
        <v>409</v>
      </c>
      <c r="PGL2" s="5" t="s">
        <v>409</v>
      </c>
      <c r="PGM2" s="5" t="s">
        <v>409</v>
      </c>
      <c r="PGN2" s="5" t="s">
        <v>409</v>
      </c>
      <c r="PGO2" s="5" t="s">
        <v>409</v>
      </c>
      <c r="PGP2" s="5" t="s">
        <v>409</v>
      </c>
      <c r="PGQ2" s="5" t="s">
        <v>409</v>
      </c>
      <c r="PGR2" s="5" t="s">
        <v>409</v>
      </c>
      <c r="PGS2" s="5" t="s">
        <v>409</v>
      </c>
      <c r="PGT2" s="5" t="s">
        <v>409</v>
      </c>
      <c r="PGU2" s="5" t="s">
        <v>409</v>
      </c>
      <c r="PGV2" s="5" t="s">
        <v>409</v>
      </c>
      <c r="PGW2" s="5" t="s">
        <v>409</v>
      </c>
      <c r="PGX2" s="5" t="s">
        <v>409</v>
      </c>
      <c r="PGY2" s="5" t="s">
        <v>409</v>
      </c>
      <c r="PGZ2" s="5" t="s">
        <v>409</v>
      </c>
      <c r="PHA2" s="5" t="s">
        <v>409</v>
      </c>
      <c r="PHB2" s="5" t="s">
        <v>409</v>
      </c>
      <c r="PHC2" s="5" t="s">
        <v>409</v>
      </c>
      <c r="PHD2" s="5" t="s">
        <v>409</v>
      </c>
      <c r="PHE2" s="5" t="s">
        <v>409</v>
      </c>
      <c r="PHF2" s="5" t="s">
        <v>409</v>
      </c>
      <c r="PHG2" s="5" t="s">
        <v>409</v>
      </c>
      <c r="PHH2" s="5" t="s">
        <v>409</v>
      </c>
      <c r="PHI2" s="5" t="s">
        <v>409</v>
      </c>
      <c r="PHJ2" s="5" t="s">
        <v>409</v>
      </c>
      <c r="PHK2" s="5" t="s">
        <v>409</v>
      </c>
      <c r="PHL2" s="5" t="s">
        <v>409</v>
      </c>
      <c r="PHM2" s="5" t="s">
        <v>409</v>
      </c>
      <c r="PHN2" s="5" t="s">
        <v>409</v>
      </c>
      <c r="PHO2" s="5" t="s">
        <v>409</v>
      </c>
      <c r="PHP2" s="5" t="s">
        <v>409</v>
      </c>
      <c r="PHQ2" s="5" t="s">
        <v>409</v>
      </c>
      <c r="PHR2" s="5" t="s">
        <v>409</v>
      </c>
      <c r="PHS2" s="5" t="s">
        <v>409</v>
      </c>
      <c r="PHT2" s="5" t="s">
        <v>409</v>
      </c>
      <c r="PHU2" s="5" t="s">
        <v>409</v>
      </c>
      <c r="PHV2" s="5" t="s">
        <v>409</v>
      </c>
      <c r="PHW2" s="5" t="s">
        <v>409</v>
      </c>
      <c r="PHX2" s="5" t="s">
        <v>409</v>
      </c>
      <c r="PHY2" s="5" t="s">
        <v>409</v>
      </c>
      <c r="PHZ2" s="5" t="s">
        <v>409</v>
      </c>
      <c r="PIA2" s="5" t="s">
        <v>409</v>
      </c>
      <c r="PIB2" s="5" t="s">
        <v>409</v>
      </c>
      <c r="PIC2" s="5" t="s">
        <v>409</v>
      </c>
      <c r="PID2" s="5" t="s">
        <v>409</v>
      </c>
      <c r="PIE2" s="5" t="s">
        <v>409</v>
      </c>
      <c r="PIF2" s="5" t="s">
        <v>409</v>
      </c>
      <c r="PIG2" s="5" t="s">
        <v>409</v>
      </c>
      <c r="PIH2" s="5" t="s">
        <v>409</v>
      </c>
      <c r="PII2" s="5" t="s">
        <v>409</v>
      </c>
      <c r="PIJ2" s="5" t="s">
        <v>409</v>
      </c>
      <c r="PIK2" s="5" t="s">
        <v>409</v>
      </c>
      <c r="PIL2" s="5" t="s">
        <v>409</v>
      </c>
      <c r="PIM2" s="5" t="s">
        <v>409</v>
      </c>
      <c r="PIN2" s="5" t="s">
        <v>409</v>
      </c>
      <c r="PIO2" s="5" t="s">
        <v>409</v>
      </c>
      <c r="PIP2" s="5" t="s">
        <v>409</v>
      </c>
      <c r="PIQ2" s="5" t="s">
        <v>409</v>
      </c>
      <c r="PIR2" s="5" t="s">
        <v>409</v>
      </c>
      <c r="PIS2" s="5" t="s">
        <v>409</v>
      </c>
      <c r="PIT2" s="5" t="s">
        <v>409</v>
      </c>
      <c r="PIU2" s="5" t="s">
        <v>409</v>
      </c>
      <c r="PIV2" s="5" t="s">
        <v>409</v>
      </c>
      <c r="PIW2" s="5" t="s">
        <v>409</v>
      </c>
      <c r="PIX2" s="5" t="s">
        <v>409</v>
      </c>
      <c r="PIY2" s="5" t="s">
        <v>409</v>
      </c>
      <c r="PIZ2" s="5" t="s">
        <v>409</v>
      </c>
      <c r="PJA2" s="5" t="s">
        <v>409</v>
      </c>
      <c r="PJB2" s="5" t="s">
        <v>409</v>
      </c>
      <c r="PJC2" s="5" t="s">
        <v>409</v>
      </c>
      <c r="PJD2" s="5" t="s">
        <v>409</v>
      </c>
      <c r="PJE2" s="5" t="s">
        <v>409</v>
      </c>
      <c r="PJF2" s="5" t="s">
        <v>409</v>
      </c>
      <c r="PJG2" s="5" t="s">
        <v>409</v>
      </c>
      <c r="PJH2" s="5" t="s">
        <v>409</v>
      </c>
      <c r="PJI2" s="5" t="s">
        <v>409</v>
      </c>
      <c r="PJJ2" s="5" t="s">
        <v>409</v>
      </c>
      <c r="PJK2" s="5" t="s">
        <v>409</v>
      </c>
      <c r="PJL2" s="5" t="s">
        <v>409</v>
      </c>
      <c r="PJM2" s="5" t="s">
        <v>409</v>
      </c>
      <c r="PJN2" s="5" t="s">
        <v>409</v>
      </c>
      <c r="PJO2" s="5" t="s">
        <v>409</v>
      </c>
      <c r="PJP2" s="5" t="s">
        <v>409</v>
      </c>
      <c r="PJQ2" s="5" t="s">
        <v>409</v>
      </c>
      <c r="PJR2" s="5" t="s">
        <v>409</v>
      </c>
      <c r="PJS2" s="5" t="s">
        <v>409</v>
      </c>
      <c r="PJT2" s="5" t="s">
        <v>409</v>
      </c>
      <c r="PJU2" s="5" t="s">
        <v>409</v>
      </c>
      <c r="PJV2" s="5" t="s">
        <v>409</v>
      </c>
      <c r="PJW2" s="5" t="s">
        <v>409</v>
      </c>
      <c r="PJX2" s="5" t="s">
        <v>409</v>
      </c>
      <c r="PJY2" s="5" t="s">
        <v>409</v>
      </c>
      <c r="PJZ2" s="5" t="s">
        <v>409</v>
      </c>
      <c r="PKA2" s="5" t="s">
        <v>409</v>
      </c>
      <c r="PKB2" s="5" t="s">
        <v>409</v>
      </c>
      <c r="PKC2" s="5" t="s">
        <v>409</v>
      </c>
      <c r="PKD2" s="5" t="s">
        <v>409</v>
      </c>
      <c r="PKE2" s="5" t="s">
        <v>409</v>
      </c>
      <c r="PKF2" s="5" t="s">
        <v>409</v>
      </c>
      <c r="PKG2" s="5" t="s">
        <v>409</v>
      </c>
      <c r="PKH2" s="5" t="s">
        <v>409</v>
      </c>
      <c r="PKI2" s="5" t="s">
        <v>409</v>
      </c>
      <c r="PKJ2" s="5" t="s">
        <v>409</v>
      </c>
      <c r="PKK2" s="5" t="s">
        <v>409</v>
      </c>
      <c r="PKL2" s="5" t="s">
        <v>409</v>
      </c>
      <c r="PKM2" s="5" t="s">
        <v>409</v>
      </c>
      <c r="PKN2" s="5" t="s">
        <v>409</v>
      </c>
      <c r="PKO2" s="5" t="s">
        <v>409</v>
      </c>
      <c r="PKP2" s="5" t="s">
        <v>409</v>
      </c>
      <c r="PKQ2" s="5" t="s">
        <v>409</v>
      </c>
      <c r="PKR2" s="5" t="s">
        <v>409</v>
      </c>
      <c r="PKS2" s="5" t="s">
        <v>409</v>
      </c>
      <c r="PKT2" s="5" t="s">
        <v>409</v>
      </c>
      <c r="PKU2" s="5" t="s">
        <v>409</v>
      </c>
      <c r="PKV2" s="5" t="s">
        <v>409</v>
      </c>
      <c r="PKW2" s="5" t="s">
        <v>409</v>
      </c>
      <c r="PKX2" s="5" t="s">
        <v>409</v>
      </c>
      <c r="PKY2" s="5" t="s">
        <v>409</v>
      </c>
      <c r="PKZ2" s="5" t="s">
        <v>409</v>
      </c>
      <c r="PLA2" s="5" t="s">
        <v>409</v>
      </c>
      <c r="PLB2" s="5" t="s">
        <v>409</v>
      </c>
      <c r="PLC2" s="5" t="s">
        <v>409</v>
      </c>
      <c r="PLD2" s="5" t="s">
        <v>409</v>
      </c>
      <c r="PLE2" s="5" t="s">
        <v>409</v>
      </c>
      <c r="PLF2" s="5" t="s">
        <v>409</v>
      </c>
      <c r="PLG2" s="5" t="s">
        <v>409</v>
      </c>
      <c r="PLH2" s="5" t="s">
        <v>409</v>
      </c>
      <c r="PLI2" s="5" t="s">
        <v>409</v>
      </c>
      <c r="PLJ2" s="5" t="s">
        <v>409</v>
      </c>
      <c r="PLK2" s="5" t="s">
        <v>409</v>
      </c>
      <c r="PLL2" s="5" t="s">
        <v>409</v>
      </c>
      <c r="PLM2" s="5" t="s">
        <v>409</v>
      </c>
      <c r="PLN2" s="5" t="s">
        <v>409</v>
      </c>
      <c r="PLO2" s="5" t="s">
        <v>409</v>
      </c>
      <c r="PLP2" s="5" t="s">
        <v>409</v>
      </c>
      <c r="PLQ2" s="5" t="s">
        <v>409</v>
      </c>
      <c r="PLR2" s="5" t="s">
        <v>409</v>
      </c>
      <c r="PLS2" s="5" t="s">
        <v>409</v>
      </c>
      <c r="PLT2" s="5" t="s">
        <v>409</v>
      </c>
      <c r="PLU2" s="5" t="s">
        <v>409</v>
      </c>
      <c r="PLV2" s="5" t="s">
        <v>409</v>
      </c>
      <c r="PLW2" s="5" t="s">
        <v>409</v>
      </c>
      <c r="PLX2" s="5" t="s">
        <v>409</v>
      </c>
      <c r="PLY2" s="5" t="s">
        <v>409</v>
      </c>
      <c r="PLZ2" s="5" t="s">
        <v>409</v>
      </c>
      <c r="PMA2" s="5" t="s">
        <v>409</v>
      </c>
      <c r="PMB2" s="5" t="s">
        <v>409</v>
      </c>
      <c r="PMC2" s="5" t="s">
        <v>409</v>
      </c>
      <c r="PMD2" s="5" t="s">
        <v>409</v>
      </c>
      <c r="PME2" s="5" t="s">
        <v>409</v>
      </c>
      <c r="PMF2" s="5" t="s">
        <v>409</v>
      </c>
      <c r="PMG2" s="5" t="s">
        <v>409</v>
      </c>
      <c r="PMH2" s="5" t="s">
        <v>409</v>
      </c>
      <c r="PMI2" s="5" t="s">
        <v>409</v>
      </c>
      <c r="PMJ2" s="5" t="s">
        <v>409</v>
      </c>
      <c r="PMK2" s="5" t="s">
        <v>409</v>
      </c>
      <c r="PML2" s="5" t="s">
        <v>409</v>
      </c>
      <c r="PMM2" s="5" t="s">
        <v>409</v>
      </c>
      <c r="PMN2" s="5" t="s">
        <v>409</v>
      </c>
      <c r="PMO2" s="5" t="s">
        <v>409</v>
      </c>
      <c r="PMP2" s="5" t="s">
        <v>409</v>
      </c>
      <c r="PMQ2" s="5" t="s">
        <v>409</v>
      </c>
      <c r="PMR2" s="5" t="s">
        <v>409</v>
      </c>
      <c r="PMS2" s="5" t="s">
        <v>409</v>
      </c>
      <c r="PMT2" s="5" t="s">
        <v>409</v>
      </c>
      <c r="PMU2" s="5" t="s">
        <v>409</v>
      </c>
      <c r="PMV2" s="5" t="s">
        <v>409</v>
      </c>
      <c r="PMW2" s="5" t="s">
        <v>409</v>
      </c>
      <c r="PMX2" s="5" t="s">
        <v>409</v>
      </c>
      <c r="PMY2" s="5" t="s">
        <v>409</v>
      </c>
      <c r="PMZ2" s="5" t="s">
        <v>409</v>
      </c>
      <c r="PNA2" s="5" t="s">
        <v>409</v>
      </c>
      <c r="PNB2" s="5" t="s">
        <v>409</v>
      </c>
      <c r="PNC2" s="5" t="s">
        <v>409</v>
      </c>
      <c r="PND2" s="5" t="s">
        <v>409</v>
      </c>
      <c r="PNE2" s="5" t="s">
        <v>409</v>
      </c>
      <c r="PNF2" s="5" t="s">
        <v>409</v>
      </c>
      <c r="PNG2" s="5" t="s">
        <v>409</v>
      </c>
      <c r="PNH2" s="5" t="s">
        <v>409</v>
      </c>
      <c r="PNI2" s="5" t="s">
        <v>409</v>
      </c>
      <c r="PNJ2" s="5" t="s">
        <v>409</v>
      </c>
      <c r="PNK2" s="5" t="s">
        <v>409</v>
      </c>
      <c r="PNL2" s="5" t="s">
        <v>409</v>
      </c>
      <c r="PNM2" s="5" t="s">
        <v>409</v>
      </c>
      <c r="PNN2" s="5" t="s">
        <v>409</v>
      </c>
      <c r="PNO2" s="5" t="s">
        <v>409</v>
      </c>
      <c r="PNP2" s="5" t="s">
        <v>409</v>
      </c>
      <c r="PNQ2" s="5" t="s">
        <v>409</v>
      </c>
      <c r="PNR2" s="5" t="s">
        <v>409</v>
      </c>
      <c r="PNS2" s="5" t="s">
        <v>409</v>
      </c>
      <c r="PNT2" s="5" t="s">
        <v>409</v>
      </c>
      <c r="PNU2" s="5" t="s">
        <v>409</v>
      </c>
      <c r="PNV2" s="5" t="s">
        <v>409</v>
      </c>
      <c r="PNW2" s="5" t="s">
        <v>409</v>
      </c>
      <c r="PNX2" s="5" t="s">
        <v>409</v>
      </c>
      <c r="PNY2" s="5" t="s">
        <v>409</v>
      </c>
      <c r="PNZ2" s="5" t="s">
        <v>409</v>
      </c>
      <c r="POA2" s="5" t="s">
        <v>409</v>
      </c>
      <c r="POB2" s="5" t="s">
        <v>409</v>
      </c>
      <c r="POC2" s="5" t="s">
        <v>409</v>
      </c>
      <c r="POD2" s="5" t="s">
        <v>409</v>
      </c>
      <c r="POE2" s="5" t="s">
        <v>409</v>
      </c>
      <c r="POF2" s="5" t="s">
        <v>409</v>
      </c>
      <c r="POG2" s="5" t="s">
        <v>409</v>
      </c>
      <c r="POH2" s="5" t="s">
        <v>409</v>
      </c>
      <c r="POI2" s="5" t="s">
        <v>409</v>
      </c>
      <c r="POJ2" s="5" t="s">
        <v>409</v>
      </c>
      <c r="POK2" s="5" t="s">
        <v>409</v>
      </c>
      <c r="POL2" s="5" t="s">
        <v>409</v>
      </c>
      <c r="POM2" s="5" t="s">
        <v>409</v>
      </c>
      <c r="PON2" s="5" t="s">
        <v>409</v>
      </c>
      <c r="POO2" s="5" t="s">
        <v>409</v>
      </c>
      <c r="POP2" s="5" t="s">
        <v>409</v>
      </c>
      <c r="POQ2" s="5" t="s">
        <v>409</v>
      </c>
      <c r="POR2" s="5" t="s">
        <v>409</v>
      </c>
      <c r="POS2" s="5" t="s">
        <v>409</v>
      </c>
      <c r="POT2" s="5" t="s">
        <v>409</v>
      </c>
      <c r="POU2" s="5" t="s">
        <v>409</v>
      </c>
      <c r="POV2" s="5" t="s">
        <v>409</v>
      </c>
      <c r="POW2" s="5" t="s">
        <v>409</v>
      </c>
      <c r="POX2" s="5" t="s">
        <v>409</v>
      </c>
      <c r="POY2" s="5" t="s">
        <v>409</v>
      </c>
      <c r="POZ2" s="5" t="s">
        <v>409</v>
      </c>
      <c r="PPA2" s="5" t="s">
        <v>409</v>
      </c>
      <c r="PPB2" s="5" t="s">
        <v>409</v>
      </c>
      <c r="PPC2" s="5" t="s">
        <v>409</v>
      </c>
      <c r="PPD2" s="5" t="s">
        <v>409</v>
      </c>
      <c r="PPE2" s="5" t="s">
        <v>409</v>
      </c>
      <c r="PPF2" s="5" t="s">
        <v>409</v>
      </c>
      <c r="PPG2" s="5" t="s">
        <v>409</v>
      </c>
      <c r="PPH2" s="5" t="s">
        <v>409</v>
      </c>
      <c r="PPI2" s="5" t="s">
        <v>409</v>
      </c>
      <c r="PPJ2" s="5" t="s">
        <v>409</v>
      </c>
      <c r="PPK2" s="5" t="s">
        <v>409</v>
      </c>
      <c r="PPL2" s="5" t="s">
        <v>409</v>
      </c>
      <c r="PPM2" s="5" t="s">
        <v>409</v>
      </c>
      <c r="PPN2" s="5" t="s">
        <v>409</v>
      </c>
      <c r="PPO2" s="5" t="s">
        <v>409</v>
      </c>
      <c r="PPP2" s="5" t="s">
        <v>409</v>
      </c>
      <c r="PPQ2" s="5" t="s">
        <v>409</v>
      </c>
      <c r="PPR2" s="5" t="s">
        <v>409</v>
      </c>
      <c r="PPS2" s="5" t="s">
        <v>409</v>
      </c>
      <c r="PPT2" s="5" t="s">
        <v>409</v>
      </c>
      <c r="PPU2" s="5" t="s">
        <v>409</v>
      </c>
      <c r="PPV2" s="5" t="s">
        <v>409</v>
      </c>
      <c r="PPW2" s="5" t="s">
        <v>409</v>
      </c>
      <c r="PPX2" s="5" t="s">
        <v>409</v>
      </c>
      <c r="PPY2" s="5" t="s">
        <v>409</v>
      </c>
      <c r="PPZ2" s="5" t="s">
        <v>409</v>
      </c>
      <c r="PQA2" s="5" t="s">
        <v>409</v>
      </c>
      <c r="PQB2" s="5" t="s">
        <v>409</v>
      </c>
      <c r="PQC2" s="5" t="s">
        <v>409</v>
      </c>
      <c r="PQD2" s="5" t="s">
        <v>409</v>
      </c>
      <c r="PQE2" s="5" t="s">
        <v>409</v>
      </c>
      <c r="PQF2" s="5" t="s">
        <v>409</v>
      </c>
      <c r="PQG2" s="5" t="s">
        <v>409</v>
      </c>
      <c r="PQH2" s="5" t="s">
        <v>409</v>
      </c>
      <c r="PQI2" s="5" t="s">
        <v>409</v>
      </c>
      <c r="PQJ2" s="5" t="s">
        <v>409</v>
      </c>
      <c r="PQK2" s="5" t="s">
        <v>409</v>
      </c>
      <c r="PQL2" s="5" t="s">
        <v>409</v>
      </c>
      <c r="PQM2" s="5" t="s">
        <v>409</v>
      </c>
      <c r="PQN2" s="5" t="s">
        <v>409</v>
      </c>
      <c r="PQO2" s="5" t="s">
        <v>409</v>
      </c>
      <c r="PQP2" s="5" t="s">
        <v>409</v>
      </c>
      <c r="PQQ2" s="5" t="s">
        <v>409</v>
      </c>
      <c r="PQR2" s="5" t="s">
        <v>409</v>
      </c>
      <c r="PQS2" s="5" t="s">
        <v>409</v>
      </c>
      <c r="PQT2" s="5" t="s">
        <v>409</v>
      </c>
      <c r="PQU2" s="5" t="s">
        <v>409</v>
      </c>
      <c r="PQV2" s="5" t="s">
        <v>409</v>
      </c>
      <c r="PQW2" s="5" t="s">
        <v>409</v>
      </c>
      <c r="PQX2" s="5" t="s">
        <v>409</v>
      </c>
      <c r="PQY2" s="5" t="s">
        <v>409</v>
      </c>
      <c r="PQZ2" s="5" t="s">
        <v>409</v>
      </c>
      <c r="PRA2" s="5" t="s">
        <v>409</v>
      </c>
      <c r="PRB2" s="5" t="s">
        <v>409</v>
      </c>
      <c r="PRC2" s="5" t="s">
        <v>409</v>
      </c>
      <c r="PRD2" s="5" t="s">
        <v>409</v>
      </c>
      <c r="PRE2" s="5" t="s">
        <v>409</v>
      </c>
      <c r="PRF2" s="5" t="s">
        <v>409</v>
      </c>
      <c r="PRG2" s="5" t="s">
        <v>409</v>
      </c>
      <c r="PRH2" s="5" t="s">
        <v>409</v>
      </c>
      <c r="PRI2" s="5" t="s">
        <v>409</v>
      </c>
      <c r="PRJ2" s="5" t="s">
        <v>409</v>
      </c>
      <c r="PRK2" s="5" t="s">
        <v>409</v>
      </c>
      <c r="PRL2" s="5" t="s">
        <v>409</v>
      </c>
      <c r="PRM2" s="5" t="s">
        <v>409</v>
      </c>
      <c r="PRN2" s="5" t="s">
        <v>409</v>
      </c>
      <c r="PRO2" s="5" t="s">
        <v>409</v>
      </c>
      <c r="PRP2" s="5" t="s">
        <v>409</v>
      </c>
      <c r="PRQ2" s="5" t="s">
        <v>409</v>
      </c>
      <c r="PRR2" s="5" t="s">
        <v>409</v>
      </c>
      <c r="PRS2" s="5" t="s">
        <v>409</v>
      </c>
      <c r="PRT2" s="5" t="s">
        <v>409</v>
      </c>
      <c r="PRU2" s="5" t="s">
        <v>409</v>
      </c>
      <c r="PRV2" s="5" t="s">
        <v>409</v>
      </c>
      <c r="PRW2" s="5" t="s">
        <v>409</v>
      </c>
      <c r="PRX2" s="5" t="s">
        <v>409</v>
      </c>
      <c r="PRY2" s="5" t="s">
        <v>409</v>
      </c>
      <c r="PRZ2" s="5" t="s">
        <v>409</v>
      </c>
      <c r="PSA2" s="5" t="s">
        <v>409</v>
      </c>
      <c r="PSB2" s="5" t="s">
        <v>409</v>
      </c>
      <c r="PSC2" s="5" t="s">
        <v>409</v>
      </c>
      <c r="PSD2" s="5" t="s">
        <v>409</v>
      </c>
      <c r="PSE2" s="5" t="s">
        <v>409</v>
      </c>
      <c r="PSF2" s="5" t="s">
        <v>409</v>
      </c>
      <c r="PSG2" s="5" t="s">
        <v>409</v>
      </c>
      <c r="PSH2" s="5" t="s">
        <v>409</v>
      </c>
      <c r="PSI2" s="5" t="s">
        <v>409</v>
      </c>
      <c r="PSJ2" s="5" t="s">
        <v>409</v>
      </c>
      <c r="PSK2" s="5" t="s">
        <v>409</v>
      </c>
      <c r="PSL2" s="5" t="s">
        <v>409</v>
      </c>
      <c r="PSM2" s="5" t="s">
        <v>409</v>
      </c>
      <c r="PSN2" s="5" t="s">
        <v>409</v>
      </c>
      <c r="PSO2" s="5" t="s">
        <v>409</v>
      </c>
      <c r="PSP2" s="5" t="s">
        <v>409</v>
      </c>
      <c r="PSQ2" s="5" t="s">
        <v>409</v>
      </c>
      <c r="PSR2" s="5" t="s">
        <v>409</v>
      </c>
      <c r="PSS2" s="5" t="s">
        <v>409</v>
      </c>
      <c r="PST2" s="5" t="s">
        <v>409</v>
      </c>
      <c r="PSU2" s="5" t="s">
        <v>409</v>
      </c>
      <c r="PSV2" s="5" t="s">
        <v>409</v>
      </c>
      <c r="PSW2" s="5" t="s">
        <v>409</v>
      </c>
      <c r="PSX2" s="5" t="s">
        <v>409</v>
      </c>
      <c r="PSY2" s="5" t="s">
        <v>409</v>
      </c>
      <c r="PSZ2" s="5" t="s">
        <v>409</v>
      </c>
      <c r="PTA2" s="5" t="s">
        <v>409</v>
      </c>
      <c r="PTB2" s="5" t="s">
        <v>409</v>
      </c>
      <c r="PTC2" s="5" t="s">
        <v>409</v>
      </c>
      <c r="PTD2" s="5" t="s">
        <v>409</v>
      </c>
      <c r="PTE2" s="5" t="s">
        <v>409</v>
      </c>
      <c r="PTF2" s="5" t="s">
        <v>409</v>
      </c>
      <c r="PTG2" s="5" t="s">
        <v>409</v>
      </c>
      <c r="PTH2" s="5" t="s">
        <v>409</v>
      </c>
      <c r="PTI2" s="5" t="s">
        <v>409</v>
      </c>
      <c r="PTJ2" s="5" t="s">
        <v>409</v>
      </c>
      <c r="PTK2" s="5" t="s">
        <v>409</v>
      </c>
      <c r="PTL2" s="5" t="s">
        <v>409</v>
      </c>
      <c r="PTM2" s="5" t="s">
        <v>409</v>
      </c>
      <c r="PTN2" s="5" t="s">
        <v>409</v>
      </c>
      <c r="PTO2" s="5" t="s">
        <v>409</v>
      </c>
      <c r="PTP2" s="5" t="s">
        <v>409</v>
      </c>
      <c r="PTQ2" s="5" t="s">
        <v>409</v>
      </c>
      <c r="PTR2" s="5" t="s">
        <v>409</v>
      </c>
      <c r="PTS2" s="5" t="s">
        <v>409</v>
      </c>
      <c r="PTT2" s="5" t="s">
        <v>409</v>
      </c>
      <c r="PTU2" s="5" t="s">
        <v>409</v>
      </c>
      <c r="PTV2" s="5" t="s">
        <v>409</v>
      </c>
      <c r="PTW2" s="5" t="s">
        <v>409</v>
      </c>
      <c r="PTX2" s="5" t="s">
        <v>409</v>
      </c>
      <c r="PTY2" s="5" t="s">
        <v>409</v>
      </c>
      <c r="PTZ2" s="5" t="s">
        <v>409</v>
      </c>
      <c r="PUA2" s="5" t="s">
        <v>409</v>
      </c>
      <c r="PUB2" s="5" t="s">
        <v>409</v>
      </c>
      <c r="PUC2" s="5" t="s">
        <v>409</v>
      </c>
      <c r="PUD2" s="5" t="s">
        <v>409</v>
      </c>
      <c r="PUE2" s="5" t="s">
        <v>409</v>
      </c>
      <c r="PUF2" s="5" t="s">
        <v>409</v>
      </c>
      <c r="PUG2" s="5" t="s">
        <v>409</v>
      </c>
      <c r="PUH2" s="5" t="s">
        <v>409</v>
      </c>
      <c r="PUI2" s="5" t="s">
        <v>409</v>
      </c>
      <c r="PUJ2" s="5" t="s">
        <v>409</v>
      </c>
      <c r="PUK2" s="5" t="s">
        <v>409</v>
      </c>
      <c r="PUL2" s="5" t="s">
        <v>409</v>
      </c>
      <c r="PUM2" s="5" t="s">
        <v>409</v>
      </c>
      <c r="PUN2" s="5" t="s">
        <v>409</v>
      </c>
      <c r="PUO2" s="5" t="s">
        <v>409</v>
      </c>
      <c r="PUP2" s="5" t="s">
        <v>409</v>
      </c>
      <c r="PUQ2" s="5" t="s">
        <v>409</v>
      </c>
      <c r="PUR2" s="5" t="s">
        <v>409</v>
      </c>
      <c r="PUS2" s="5" t="s">
        <v>409</v>
      </c>
      <c r="PUT2" s="5" t="s">
        <v>409</v>
      </c>
      <c r="PUU2" s="5" t="s">
        <v>409</v>
      </c>
      <c r="PUV2" s="5" t="s">
        <v>409</v>
      </c>
      <c r="PUW2" s="5" t="s">
        <v>409</v>
      </c>
      <c r="PUX2" s="5" t="s">
        <v>409</v>
      </c>
      <c r="PUY2" s="5" t="s">
        <v>409</v>
      </c>
      <c r="PUZ2" s="5" t="s">
        <v>409</v>
      </c>
      <c r="PVA2" s="5" t="s">
        <v>409</v>
      </c>
      <c r="PVB2" s="5" t="s">
        <v>409</v>
      </c>
      <c r="PVC2" s="5" t="s">
        <v>409</v>
      </c>
      <c r="PVD2" s="5" t="s">
        <v>409</v>
      </c>
      <c r="PVE2" s="5" t="s">
        <v>409</v>
      </c>
      <c r="PVF2" s="5" t="s">
        <v>409</v>
      </c>
      <c r="PVG2" s="5" t="s">
        <v>409</v>
      </c>
      <c r="PVH2" s="5" t="s">
        <v>409</v>
      </c>
      <c r="PVI2" s="5" t="s">
        <v>409</v>
      </c>
      <c r="PVJ2" s="5" t="s">
        <v>409</v>
      </c>
      <c r="PVK2" s="5" t="s">
        <v>409</v>
      </c>
      <c r="PVL2" s="5" t="s">
        <v>409</v>
      </c>
      <c r="PVM2" s="5" t="s">
        <v>409</v>
      </c>
      <c r="PVN2" s="5" t="s">
        <v>409</v>
      </c>
      <c r="PVO2" s="5" t="s">
        <v>409</v>
      </c>
      <c r="PVP2" s="5" t="s">
        <v>409</v>
      </c>
      <c r="PVQ2" s="5" t="s">
        <v>409</v>
      </c>
      <c r="PVR2" s="5" t="s">
        <v>409</v>
      </c>
      <c r="PVS2" s="5" t="s">
        <v>409</v>
      </c>
      <c r="PVT2" s="5" t="s">
        <v>409</v>
      </c>
      <c r="PVU2" s="5" t="s">
        <v>409</v>
      </c>
      <c r="PVV2" s="5" t="s">
        <v>409</v>
      </c>
      <c r="PVW2" s="5" t="s">
        <v>409</v>
      </c>
      <c r="PVX2" s="5" t="s">
        <v>409</v>
      </c>
      <c r="PVY2" s="5" t="s">
        <v>409</v>
      </c>
      <c r="PVZ2" s="5" t="s">
        <v>409</v>
      </c>
      <c r="PWA2" s="5" t="s">
        <v>409</v>
      </c>
      <c r="PWB2" s="5" t="s">
        <v>409</v>
      </c>
      <c r="PWC2" s="5" t="s">
        <v>409</v>
      </c>
      <c r="PWD2" s="5" t="s">
        <v>409</v>
      </c>
      <c r="PWE2" s="5" t="s">
        <v>409</v>
      </c>
      <c r="PWF2" s="5" t="s">
        <v>409</v>
      </c>
      <c r="PWG2" s="5" t="s">
        <v>409</v>
      </c>
      <c r="PWH2" s="5" t="s">
        <v>409</v>
      </c>
      <c r="PWI2" s="5" t="s">
        <v>409</v>
      </c>
      <c r="PWJ2" s="5" t="s">
        <v>409</v>
      </c>
      <c r="PWK2" s="5" t="s">
        <v>409</v>
      </c>
      <c r="PWL2" s="5" t="s">
        <v>409</v>
      </c>
      <c r="PWM2" s="5" t="s">
        <v>409</v>
      </c>
      <c r="PWN2" s="5" t="s">
        <v>409</v>
      </c>
      <c r="PWO2" s="5" t="s">
        <v>409</v>
      </c>
      <c r="PWP2" s="5" t="s">
        <v>409</v>
      </c>
      <c r="PWQ2" s="5" t="s">
        <v>409</v>
      </c>
      <c r="PWR2" s="5" t="s">
        <v>409</v>
      </c>
      <c r="PWS2" s="5" t="s">
        <v>409</v>
      </c>
      <c r="PWT2" s="5" t="s">
        <v>409</v>
      </c>
      <c r="PWU2" s="5" t="s">
        <v>409</v>
      </c>
      <c r="PWV2" s="5" t="s">
        <v>409</v>
      </c>
      <c r="PWW2" s="5" t="s">
        <v>409</v>
      </c>
      <c r="PWX2" s="5" t="s">
        <v>409</v>
      </c>
      <c r="PWY2" s="5" t="s">
        <v>409</v>
      </c>
      <c r="PWZ2" s="5" t="s">
        <v>409</v>
      </c>
      <c r="PXA2" s="5" t="s">
        <v>409</v>
      </c>
      <c r="PXB2" s="5" t="s">
        <v>409</v>
      </c>
      <c r="PXC2" s="5" t="s">
        <v>409</v>
      </c>
      <c r="PXD2" s="5" t="s">
        <v>409</v>
      </c>
      <c r="PXE2" s="5" t="s">
        <v>409</v>
      </c>
      <c r="PXF2" s="5" t="s">
        <v>409</v>
      </c>
      <c r="PXG2" s="5" t="s">
        <v>409</v>
      </c>
      <c r="PXH2" s="5" t="s">
        <v>409</v>
      </c>
      <c r="PXI2" s="5" t="s">
        <v>409</v>
      </c>
      <c r="PXJ2" s="5" t="s">
        <v>409</v>
      </c>
      <c r="PXK2" s="5" t="s">
        <v>409</v>
      </c>
      <c r="PXL2" s="5" t="s">
        <v>409</v>
      </c>
      <c r="PXM2" s="5" t="s">
        <v>409</v>
      </c>
      <c r="PXN2" s="5" t="s">
        <v>409</v>
      </c>
      <c r="PXO2" s="5" t="s">
        <v>409</v>
      </c>
      <c r="PXP2" s="5" t="s">
        <v>409</v>
      </c>
      <c r="PXQ2" s="5" t="s">
        <v>409</v>
      </c>
      <c r="PXR2" s="5" t="s">
        <v>409</v>
      </c>
      <c r="PXS2" s="5" t="s">
        <v>409</v>
      </c>
      <c r="PXT2" s="5" t="s">
        <v>409</v>
      </c>
      <c r="PXU2" s="5" t="s">
        <v>409</v>
      </c>
      <c r="PXV2" s="5" t="s">
        <v>409</v>
      </c>
      <c r="PXW2" s="5" t="s">
        <v>409</v>
      </c>
      <c r="PXX2" s="5" t="s">
        <v>409</v>
      </c>
      <c r="PXY2" s="5" t="s">
        <v>409</v>
      </c>
      <c r="PXZ2" s="5" t="s">
        <v>409</v>
      </c>
      <c r="PYA2" s="5" t="s">
        <v>409</v>
      </c>
      <c r="PYB2" s="5" t="s">
        <v>409</v>
      </c>
      <c r="PYC2" s="5" t="s">
        <v>409</v>
      </c>
      <c r="PYD2" s="5" t="s">
        <v>409</v>
      </c>
      <c r="PYE2" s="5" t="s">
        <v>409</v>
      </c>
      <c r="PYF2" s="5" t="s">
        <v>409</v>
      </c>
      <c r="PYG2" s="5" t="s">
        <v>409</v>
      </c>
      <c r="PYH2" s="5" t="s">
        <v>409</v>
      </c>
      <c r="PYI2" s="5" t="s">
        <v>409</v>
      </c>
      <c r="PYJ2" s="5" t="s">
        <v>409</v>
      </c>
      <c r="PYK2" s="5" t="s">
        <v>409</v>
      </c>
      <c r="PYL2" s="5" t="s">
        <v>409</v>
      </c>
      <c r="PYM2" s="5" t="s">
        <v>409</v>
      </c>
      <c r="PYN2" s="5" t="s">
        <v>409</v>
      </c>
      <c r="PYO2" s="5" t="s">
        <v>409</v>
      </c>
      <c r="PYP2" s="5" t="s">
        <v>409</v>
      </c>
      <c r="PYQ2" s="5" t="s">
        <v>409</v>
      </c>
      <c r="PYR2" s="5" t="s">
        <v>409</v>
      </c>
      <c r="PYS2" s="5" t="s">
        <v>409</v>
      </c>
      <c r="PYT2" s="5" t="s">
        <v>409</v>
      </c>
      <c r="PYU2" s="5" t="s">
        <v>409</v>
      </c>
      <c r="PYV2" s="5" t="s">
        <v>409</v>
      </c>
      <c r="PYW2" s="5" t="s">
        <v>409</v>
      </c>
      <c r="PYX2" s="5" t="s">
        <v>409</v>
      </c>
      <c r="PYY2" s="5" t="s">
        <v>409</v>
      </c>
      <c r="PYZ2" s="5" t="s">
        <v>409</v>
      </c>
      <c r="PZA2" s="5" t="s">
        <v>409</v>
      </c>
      <c r="PZB2" s="5" t="s">
        <v>409</v>
      </c>
      <c r="PZC2" s="5" t="s">
        <v>409</v>
      </c>
      <c r="PZD2" s="5" t="s">
        <v>409</v>
      </c>
      <c r="PZE2" s="5" t="s">
        <v>409</v>
      </c>
      <c r="PZF2" s="5" t="s">
        <v>409</v>
      </c>
      <c r="PZG2" s="5" t="s">
        <v>409</v>
      </c>
      <c r="PZH2" s="5" t="s">
        <v>409</v>
      </c>
      <c r="PZI2" s="5" t="s">
        <v>409</v>
      </c>
      <c r="PZJ2" s="5" t="s">
        <v>409</v>
      </c>
      <c r="PZK2" s="5" t="s">
        <v>409</v>
      </c>
      <c r="PZL2" s="5" t="s">
        <v>409</v>
      </c>
      <c r="PZM2" s="5" t="s">
        <v>409</v>
      </c>
      <c r="PZN2" s="5" t="s">
        <v>409</v>
      </c>
      <c r="PZO2" s="5" t="s">
        <v>409</v>
      </c>
      <c r="PZP2" s="5" t="s">
        <v>409</v>
      </c>
      <c r="PZQ2" s="5" t="s">
        <v>409</v>
      </c>
      <c r="PZR2" s="5" t="s">
        <v>409</v>
      </c>
      <c r="PZS2" s="5" t="s">
        <v>409</v>
      </c>
      <c r="PZT2" s="5" t="s">
        <v>409</v>
      </c>
      <c r="PZU2" s="5" t="s">
        <v>409</v>
      </c>
      <c r="PZV2" s="5" t="s">
        <v>409</v>
      </c>
      <c r="PZW2" s="5" t="s">
        <v>409</v>
      </c>
      <c r="PZX2" s="5" t="s">
        <v>409</v>
      </c>
      <c r="PZY2" s="5" t="s">
        <v>409</v>
      </c>
      <c r="PZZ2" s="5" t="s">
        <v>409</v>
      </c>
      <c r="QAA2" s="5" t="s">
        <v>409</v>
      </c>
      <c r="QAB2" s="5" t="s">
        <v>409</v>
      </c>
      <c r="QAC2" s="5" t="s">
        <v>409</v>
      </c>
      <c r="QAD2" s="5" t="s">
        <v>409</v>
      </c>
      <c r="QAE2" s="5" t="s">
        <v>409</v>
      </c>
      <c r="QAF2" s="5" t="s">
        <v>409</v>
      </c>
      <c r="QAG2" s="5" t="s">
        <v>409</v>
      </c>
      <c r="QAH2" s="5" t="s">
        <v>409</v>
      </c>
      <c r="QAI2" s="5" t="s">
        <v>409</v>
      </c>
      <c r="QAJ2" s="5" t="s">
        <v>409</v>
      </c>
      <c r="QAK2" s="5" t="s">
        <v>409</v>
      </c>
      <c r="QAL2" s="5" t="s">
        <v>409</v>
      </c>
      <c r="QAM2" s="5" t="s">
        <v>409</v>
      </c>
      <c r="QAN2" s="5" t="s">
        <v>409</v>
      </c>
      <c r="QAO2" s="5" t="s">
        <v>409</v>
      </c>
      <c r="QAP2" s="5" t="s">
        <v>409</v>
      </c>
      <c r="QAQ2" s="5" t="s">
        <v>409</v>
      </c>
      <c r="QAR2" s="5" t="s">
        <v>409</v>
      </c>
      <c r="QAS2" s="5" t="s">
        <v>409</v>
      </c>
      <c r="QAT2" s="5" t="s">
        <v>409</v>
      </c>
      <c r="QAU2" s="5" t="s">
        <v>409</v>
      </c>
      <c r="QAV2" s="5" t="s">
        <v>409</v>
      </c>
      <c r="QAW2" s="5" t="s">
        <v>409</v>
      </c>
      <c r="QAX2" s="5" t="s">
        <v>409</v>
      </c>
      <c r="QAY2" s="5" t="s">
        <v>409</v>
      </c>
      <c r="QAZ2" s="5" t="s">
        <v>409</v>
      </c>
      <c r="QBA2" s="5" t="s">
        <v>409</v>
      </c>
      <c r="QBB2" s="5" t="s">
        <v>409</v>
      </c>
      <c r="QBC2" s="5" t="s">
        <v>409</v>
      </c>
      <c r="QBD2" s="5" t="s">
        <v>409</v>
      </c>
      <c r="QBE2" s="5" t="s">
        <v>409</v>
      </c>
      <c r="QBF2" s="5" t="s">
        <v>409</v>
      </c>
      <c r="QBG2" s="5" t="s">
        <v>409</v>
      </c>
      <c r="QBH2" s="5" t="s">
        <v>409</v>
      </c>
      <c r="QBI2" s="5" t="s">
        <v>409</v>
      </c>
      <c r="QBJ2" s="5" t="s">
        <v>409</v>
      </c>
      <c r="QBK2" s="5" t="s">
        <v>409</v>
      </c>
      <c r="QBL2" s="5" t="s">
        <v>409</v>
      </c>
      <c r="QBM2" s="5" t="s">
        <v>409</v>
      </c>
      <c r="QBN2" s="5" t="s">
        <v>409</v>
      </c>
      <c r="QBO2" s="5" t="s">
        <v>409</v>
      </c>
      <c r="QBP2" s="5" t="s">
        <v>409</v>
      </c>
      <c r="QBQ2" s="5" t="s">
        <v>409</v>
      </c>
      <c r="QBR2" s="5" t="s">
        <v>409</v>
      </c>
      <c r="QBS2" s="5" t="s">
        <v>409</v>
      </c>
      <c r="QBT2" s="5" t="s">
        <v>409</v>
      </c>
      <c r="QBU2" s="5" t="s">
        <v>409</v>
      </c>
      <c r="QBV2" s="5" t="s">
        <v>409</v>
      </c>
      <c r="QBW2" s="5" t="s">
        <v>409</v>
      </c>
      <c r="QBX2" s="5" t="s">
        <v>409</v>
      </c>
      <c r="QBY2" s="5" t="s">
        <v>409</v>
      </c>
      <c r="QBZ2" s="5" t="s">
        <v>409</v>
      </c>
      <c r="QCA2" s="5" t="s">
        <v>409</v>
      </c>
      <c r="QCB2" s="5" t="s">
        <v>409</v>
      </c>
      <c r="QCC2" s="5" t="s">
        <v>409</v>
      </c>
      <c r="QCD2" s="5" t="s">
        <v>409</v>
      </c>
      <c r="QCE2" s="5" t="s">
        <v>409</v>
      </c>
      <c r="QCF2" s="5" t="s">
        <v>409</v>
      </c>
      <c r="QCG2" s="5" t="s">
        <v>409</v>
      </c>
      <c r="QCH2" s="5" t="s">
        <v>409</v>
      </c>
      <c r="QCI2" s="5" t="s">
        <v>409</v>
      </c>
      <c r="QCJ2" s="5" t="s">
        <v>409</v>
      </c>
      <c r="QCK2" s="5" t="s">
        <v>409</v>
      </c>
      <c r="QCL2" s="5" t="s">
        <v>409</v>
      </c>
      <c r="QCM2" s="5" t="s">
        <v>409</v>
      </c>
      <c r="QCN2" s="5" t="s">
        <v>409</v>
      </c>
      <c r="QCO2" s="5" t="s">
        <v>409</v>
      </c>
      <c r="QCP2" s="5" t="s">
        <v>409</v>
      </c>
      <c r="QCQ2" s="5" t="s">
        <v>409</v>
      </c>
      <c r="QCR2" s="5" t="s">
        <v>409</v>
      </c>
      <c r="QCS2" s="5" t="s">
        <v>409</v>
      </c>
      <c r="QCT2" s="5" t="s">
        <v>409</v>
      </c>
      <c r="QCU2" s="5" t="s">
        <v>409</v>
      </c>
      <c r="QCV2" s="5" t="s">
        <v>409</v>
      </c>
      <c r="QCW2" s="5" t="s">
        <v>409</v>
      </c>
      <c r="QCX2" s="5" t="s">
        <v>409</v>
      </c>
      <c r="QCY2" s="5" t="s">
        <v>409</v>
      </c>
      <c r="QCZ2" s="5" t="s">
        <v>409</v>
      </c>
      <c r="QDA2" s="5" t="s">
        <v>409</v>
      </c>
      <c r="QDB2" s="5" t="s">
        <v>409</v>
      </c>
      <c r="QDC2" s="5" t="s">
        <v>409</v>
      </c>
      <c r="QDD2" s="5" t="s">
        <v>409</v>
      </c>
      <c r="QDE2" s="5" t="s">
        <v>409</v>
      </c>
      <c r="QDF2" s="5" t="s">
        <v>409</v>
      </c>
      <c r="QDG2" s="5" t="s">
        <v>409</v>
      </c>
      <c r="QDH2" s="5" t="s">
        <v>409</v>
      </c>
      <c r="QDI2" s="5" t="s">
        <v>409</v>
      </c>
      <c r="QDJ2" s="5" t="s">
        <v>409</v>
      </c>
      <c r="QDK2" s="5" t="s">
        <v>409</v>
      </c>
      <c r="QDL2" s="5" t="s">
        <v>409</v>
      </c>
      <c r="QDM2" s="5" t="s">
        <v>409</v>
      </c>
      <c r="QDN2" s="5" t="s">
        <v>409</v>
      </c>
      <c r="QDO2" s="5" t="s">
        <v>409</v>
      </c>
      <c r="QDP2" s="5" t="s">
        <v>409</v>
      </c>
      <c r="QDQ2" s="5" t="s">
        <v>409</v>
      </c>
      <c r="QDR2" s="5" t="s">
        <v>409</v>
      </c>
      <c r="QDS2" s="5" t="s">
        <v>409</v>
      </c>
      <c r="QDT2" s="5" t="s">
        <v>409</v>
      </c>
      <c r="QDU2" s="5" t="s">
        <v>409</v>
      </c>
      <c r="QDV2" s="5" t="s">
        <v>409</v>
      </c>
      <c r="QDW2" s="5" t="s">
        <v>409</v>
      </c>
      <c r="QDX2" s="5" t="s">
        <v>409</v>
      </c>
      <c r="QDY2" s="5" t="s">
        <v>409</v>
      </c>
      <c r="QDZ2" s="5" t="s">
        <v>409</v>
      </c>
      <c r="QEA2" s="5" t="s">
        <v>409</v>
      </c>
      <c r="QEB2" s="5" t="s">
        <v>409</v>
      </c>
      <c r="QEC2" s="5" t="s">
        <v>409</v>
      </c>
      <c r="QED2" s="5" t="s">
        <v>409</v>
      </c>
      <c r="QEE2" s="5" t="s">
        <v>409</v>
      </c>
      <c r="QEF2" s="5" t="s">
        <v>409</v>
      </c>
      <c r="QEG2" s="5" t="s">
        <v>409</v>
      </c>
      <c r="QEH2" s="5" t="s">
        <v>409</v>
      </c>
      <c r="QEI2" s="5" t="s">
        <v>409</v>
      </c>
      <c r="QEJ2" s="5" t="s">
        <v>409</v>
      </c>
      <c r="QEK2" s="5" t="s">
        <v>409</v>
      </c>
      <c r="QEL2" s="5" t="s">
        <v>409</v>
      </c>
      <c r="QEM2" s="5" t="s">
        <v>409</v>
      </c>
      <c r="QEN2" s="5" t="s">
        <v>409</v>
      </c>
      <c r="QEO2" s="5" t="s">
        <v>409</v>
      </c>
      <c r="QEP2" s="5" t="s">
        <v>409</v>
      </c>
      <c r="QEQ2" s="5" t="s">
        <v>409</v>
      </c>
      <c r="QER2" s="5" t="s">
        <v>409</v>
      </c>
      <c r="QES2" s="5" t="s">
        <v>409</v>
      </c>
      <c r="QET2" s="5" t="s">
        <v>409</v>
      </c>
      <c r="QEU2" s="5" t="s">
        <v>409</v>
      </c>
      <c r="QEV2" s="5" t="s">
        <v>409</v>
      </c>
      <c r="QEW2" s="5" t="s">
        <v>409</v>
      </c>
      <c r="QEX2" s="5" t="s">
        <v>409</v>
      </c>
      <c r="QEY2" s="5" t="s">
        <v>409</v>
      </c>
      <c r="QEZ2" s="5" t="s">
        <v>409</v>
      </c>
      <c r="QFA2" s="5" t="s">
        <v>409</v>
      </c>
      <c r="QFB2" s="5" t="s">
        <v>409</v>
      </c>
      <c r="QFC2" s="5" t="s">
        <v>409</v>
      </c>
      <c r="QFD2" s="5" t="s">
        <v>409</v>
      </c>
      <c r="QFE2" s="5" t="s">
        <v>409</v>
      </c>
      <c r="QFF2" s="5" t="s">
        <v>409</v>
      </c>
      <c r="QFG2" s="5" t="s">
        <v>409</v>
      </c>
      <c r="QFH2" s="5" t="s">
        <v>409</v>
      </c>
      <c r="QFI2" s="5" t="s">
        <v>409</v>
      </c>
      <c r="QFJ2" s="5" t="s">
        <v>409</v>
      </c>
      <c r="QFK2" s="5" t="s">
        <v>409</v>
      </c>
      <c r="QFL2" s="5" t="s">
        <v>409</v>
      </c>
      <c r="QFM2" s="5" t="s">
        <v>409</v>
      </c>
      <c r="QFN2" s="5" t="s">
        <v>409</v>
      </c>
      <c r="QFO2" s="5" t="s">
        <v>409</v>
      </c>
      <c r="QFP2" s="5" t="s">
        <v>409</v>
      </c>
      <c r="QFQ2" s="5" t="s">
        <v>409</v>
      </c>
      <c r="QFR2" s="5" t="s">
        <v>409</v>
      </c>
      <c r="QFS2" s="5" t="s">
        <v>409</v>
      </c>
      <c r="QFT2" s="5" t="s">
        <v>409</v>
      </c>
      <c r="QFU2" s="5" t="s">
        <v>409</v>
      </c>
      <c r="QFV2" s="5" t="s">
        <v>409</v>
      </c>
      <c r="QFW2" s="5" t="s">
        <v>409</v>
      </c>
      <c r="QFX2" s="5" t="s">
        <v>409</v>
      </c>
      <c r="QFY2" s="5" t="s">
        <v>409</v>
      </c>
      <c r="QFZ2" s="5" t="s">
        <v>409</v>
      </c>
      <c r="QGA2" s="5" t="s">
        <v>409</v>
      </c>
      <c r="QGB2" s="5" t="s">
        <v>409</v>
      </c>
      <c r="QGC2" s="5" t="s">
        <v>409</v>
      </c>
      <c r="QGD2" s="5" t="s">
        <v>409</v>
      </c>
      <c r="QGE2" s="5" t="s">
        <v>409</v>
      </c>
      <c r="QGF2" s="5" t="s">
        <v>409</v>
      </c>
      <c r="QGG2" s="5" t="s">
        <v>409</v>
      </c>
      <c r="QGH2" s="5" t="s">
        <v>409</v>
      </c>
      <c r="QGI2" s="5" t="s">
        <v>409</v>
      </c>
      <c r="QGJ2" s="5" t="s">
        <v>409</v>
      </c>
      <c r="QGK2" s="5" t="s">
        <v>409</v>
      </c>
      <c r="QGL2" s="5" t="s">
        <v>409</v>
      </c>
      <c r="QGM2" s="5" t="s">
        <v>409</v>
      </c>
      <c r="QGN2" s="5" t="s">
        <v>409</v>
      </c>
      <c r="QGO2" s="5" t="s">
        <v>409</v>
      </c>
      <c r="QGP2" s="5" t="s">
        <v>409</v>
      </c>
      <c r="QGQ2" s="5" t="s">
        <v>409</v>
      </c>
      <c r="QGR2" s="5" t="s">
        <v>409</v>
      </c>
      <c r="QGS2" s="5" t="s">
        <v>409</v>
      </c>
      <c r="QGT2" s="5" t="s">
        <v>409</v>
      </c>
      <c r="QGU2" s="5" t="s">
        <v>409</v>
      </c>
      <c r="QGV2" s="5" t="s">
        <v>409</v>
      </c>
      <c r="QGW2" s="5" t="s">
        <v>409</v>
      </c>
      <c r="QGX2" s="5" t="s">
        <v>409</v>
      </c>
      <c r="QGY2" s="5" t="s">
        <v>409</v>
      </c>
      <c r="QGZ2" s="5" t="s">
        <v>409</v>
      </c>
      <c r="QHA2" s="5" t="s">
        <v>409</v>
      </c>
      <c r="QHB2" s="5" t="s">
        <v>409</v>
      </c>
      <c r="QHC2" s="5" t="s">
        <v>409</v>
      </c>
      <c r="QHD2" s="5" t="s">
        <v>409</v>
      </c>
      <c r="QHE2" s="5" t="s">
        <v>409</v>
      </c>
      <c r="QHF2" s="5" t="s">
        <v>409</v>
      </c>
      <c r="QHG2" s="5" t="s">
        <v>409</v>
      </c>
      <c r="QHH2" s="5" t="s">
        <v>409</v>
      </c>
      <c r="QHI2" s="5" t="s">
        <v>409</v>
      </c>
      <c r="QHJ2" s="5" t="s">
        <v>409</v>
      </c>
      <c r="QHK2" s="5" t="s">
        <v>409</v>
      </c>
      <c r="QHL2" s="5" t="s">
        <v>409</v>
      </c>
      <c r="QHM2" s="5" t="s">
        <v>409</v>
      </c>
      <c r="QHN2" s="5" t="s">
        <v>409</v>
      </c>
      <c r="QHO2" s="5" t="s">
        <v>409</v>
      </c>
      <c r="QHP2" s="5" t="s">
        <v>409</v>
      </c>
      <c r="QHQ2" s="5" t="s">
        <v>409</v>
      </c>
      <c r="QHR2" s="5" t="s">
        <v>409</v>
      </c>
      <c r="QHS2" s="5" t="s">
        <v>409</v>
      </c>
      <c r="QHT2" s="5" t="s">
        <v>409</v>
      </c>
      <c r="QHU2" s="5" t="s">
        <v>409</v>
      </c>
      <c r="QHV2" s="5" t="s">
        <v>409</v>
      </c>
      <c r="QHW2" s="5" t="s">
        <v>409</v>
      </c>
      <c r="QHX2" s="5" t="s">
        <v>409</v>
      </c>
      <c r="QHY2" s="5" t="s">
        <v>409</v>
      </c>
      <c r="QHZ2" s="5" t="s">
        <v>409</v>
      </c>
      <c r="QIA2" s="5" t="s">
        <v>409</v>
      </c>
      <c r="QIB2" s="5" t="s">
        <v>409</v>
      </c>
      <c r="QIC2" s="5" t="s">
        <v>409</v>
      </c>
      <c r="QID2" s="5" t="s">
        <v>409</v>
      </c>
      <c r="QIE2" s="5" t="s">
        <v>409</v>
      </c>
      <c r="QIF2" s="5" t="s">
        <v>409</v>
      </c>
      <c r="QIG2" s="5" t="s">
        <v>409</v>
      </c>
      <c r="QIH2" s="5" t="s">
        <v>409</v>
      </c>
      <c r="QII2" s="5" t="s">
        <v>409</v>
      </c>
      <c r="QIJ2" s="5" t="s">
        <v>409</v>
      </c>
      <c r="QIK2" s="5" t="s">
        <v>409</v>
      </c>
      <c r="QIL2" s="5" t="s">
        <v>409</v>
      </c>
      <c r="QIM2" s="5" t="s">
        <v>409</v>
      </c>
      <c r="QIN2" s="5" t="s">
        <v>409</v>
      </c>
      <c r="QIO2" s="5" t="s">
        <v>409</v>
      </c>
      <c r="QIP2" s="5" t="s">
        <v>409</v>
      </c>
      <c r="QIQ2" s="5" t="s">
        <v>409</v>
      </c>
      <c r="QIR2" s="5" t="s">
        <v>409</v>
      </c>
      <c r="QIS2" s="5" t="s">
        <v>409</v>
      </c>
      <c r="QIT2" s="5" t="s">
        <v>409</v>
      </c>
      <c r="QIU2" s="5" t="s">
        <v>409</v>
      </c>
      <c r="QIV2" s="5" t="s">
        <v>409</v>
      </c>
      <c r="QIW2" s="5" t="s">
        <v>409</v>
      </c>
      <c r="QIX2" s="5" t="s">
        <v>409</v>
      </c>
      <c r="QIY2" s="5" t="s">
        <v>409</v>
      </c>
      <c r="QIZ2" s="5" t="s">
        <v>409</v>
      </c>
      <c r="QJA2" s="5" t="s">
        <v>409</v>
      </c>
      <c r="QJB2" s="5" t="s">
        <v>409</v>
      </c>
      <c r="QJC2" s="5" t="s">
        <v>409</v>
      </c>
      <c r="QJD2" s="5" t="s">
        <v>409</v>
      </c>
      <c r="QJE2" s="5" t="s">
        <v>409</v>
      </c>
      <c r="QJF2" s="5" t="s">
        <v>409</v>
      </c>
      <c r="QJG2" s="5" t="s">
        <v>409</v>
      </c>
      <c r="QJH2" s="5" t="s">
        <v>409</v>
      </c>
      <c r="QJI2" s="5" t="s">
        <v>409</v>
      </c>
      <c r="QJJ2" s="5" t="s">
        <v>409</v>
      </c>
      <c r="QJK2" s="5" t="s">
        <v>409</v>
      </c>
      <c r="QJL2" s="5" t="s">
        <v>409</v>
      </c>
      <c r="QJM2" s="5" t="s">
        <v>409</v>
      </c>
      <c r="QJN2" s="5" t="s">
        <v>409</v>
      </c>
      <c r="QJO2" s="5" t="s">
        <v>409</v>
      </c>
      <c r="QJP2" s="5" t="s">
        <v>409</v>
      </c>
      <c r="QJQ2" s="5" t="s">
        <v>409</v>
      </c>
      <c r="QJR2" s="5" t="s">
        <v>409</v>
      </c>
      <c r="QJS2" s="5" t="s">
        <v>409</v>
      </c>
      <c r="QJT2" s="5" t="s">
        <v>409</v>
      </c>
      <c r="QJU2" s="5" t="s">
        <v>409</v>
      </c>
      <c r="QJV2" s="5" t="s">
        <v>409</v>
      </c>
      <c r="QJW2" s="5" t="s">
        <v>409</v>
      </c>
      <c r="QJX2" s="5" t="s">
        <v>409</v>
      </c>
      <c r="QJY2" s="5" t="s">
        <v>409</v>
      </c>
      <c r="QJZ2" s="5" t="s">
        <v>409</v>
      </c>
      <c r="QKA2" s="5" t="s">
        <v>409</v>
      </c>
      <c r="QKB2" s="5" t="s">
        <v>409</v>
      </c>
      <c r="QKC2" s="5" t="s">
        <v>409</v>
      </c>
      <c r="QKD2" s="5" t="s">
        <v>409</v>
      </c>
      <c r="QKE2" s="5" t="s">
        <v>409</v>
      </c>
      <c r="QKF2" s="5" t="s">
        <v>409</v>
      </c>
      <c r="QKG2" s="5" t="s">
        <v>409</v>
      </c>
      <c r="QKH2" s="5" t="s">
        <v>409</v>
      </c>
      <c r="QKI2" s="5" t="s">
        <v>409</v>
      </c>
      <c r="QKJ2" s="5" t="s">
        <v>409</v>
      </c>
      <c r="QKK2" s="5" t="s">
        <v>409</v>
      </c>
      <c r="QKL2" s="5" t="s">
        <v>409</v>
      </c>
      <c r="QKM2" s="5" t="s">
        <v>409</v>
      </c>
      <c r="QKN2" s="5" t="s">
        <v>409</v>
      </c>
      <c r="QKO2" s="5" t="s">
        <v>409</v>
      </c>
      <c r="QKP2" s="5" t="s">
        <v>409</v>
      </c>
      <c r="QKQ2" s="5" t="s">
        <v>409</v>
      </c>
      <c r="QKR2" s="5" t="s">
        <v>409</v>
      </c>
      <c r="QKS2" s="5" t="s">
        <v>409</v>
      </c>
      <c r="QKT2" s="5" t="s">
        <v>409</v>
      </c>
      <c r="QKU2" s="5" t="s">
        <v>409</v>
      </c>
      <c r="QKV2" s="5" t="s">
        <v>409</v>
      </c>
      <c r="QKW2" s="5" t="s">
        <v>409</v>
      </c>
      <c r="QKX2" s="5" t="s">
        <v>409</v>
      </c>
      <c r="QKY2" s="5" t="s">
        <v>409</v>
      </c>
      <c r="QKZ2" s="5" t="s">
        <v>409</v>
      </c>
      <c r="QLA2" s="5" t="s">
        <v>409</v>
      </c>
      <c r="QLB2" s="5" t="s">
        <v>409</v>
      </c>
      <c r="QLC2" s="5" t="s">
        <v>409</v>
      </c>
      <c r="QLD2" s="5" t="s">
        <v>409</v>
      </c>
      <c r="QLE2" s="5" t="s">
        <v>409</v>
      </c>
      <c r="QLF2" s="5" t="s">
        <v>409</v>
      </c>
      <c r="QLG2" s="5" t="s">
        <v>409</v>
      </c>
      <c r="QLH2" s="5" t="s">
        <v>409</v>
      </c>
      <c r="QLI2" s="5" t="s">
        <v>409</v>
      </c>
      <c r="QLJ2" s="5" t="s">
        <v>409</v>
      </c>
      <c r="QLK2" s="5" t="s">
        <v>409</v>
      </c>
      <c r="QLL2" s="5" t="s">
        <v>409</v>
      </c>
      <c r="QLM2" s="5" t="s">
        <v>409</v>
      </c>
      <c r="QLN2" s="5" t="s">
        <v>409</v>
      </c>
      <c r="QLO2" s="5" t="s">
        <v>409</v>
      </c>
      <c r="QLP2" s="5" t="s">
        <v>409</v>
      </c>
      <c r="QLQ2" s="5" t="s">
        <v>409</v>
      </c>
      <c r="QLR2" s="5" t="s">
        <v>409</v>
      </c>
      <c r="QLS2" s="5" t="s">
        <v>409</v>
      </c>
      <c r="QLT2" s="5" t="s">
        <v>409</v>
      </c>
      <c r="QLU2" s="5" t="s">
        <v>409</v>
      </c>
      <c r="QLV2" s="5" t="s">
        <v>409</v>
      </c>
      <c r="QLW2" s="5" t="s">
        <v>409</v>
      </c>
      <c r="QLX2" s="5" t="s">
        <v>409</v>
      </c>
      <c r="QLY2" s="5" t="s">
        <v>409</v>
      </c>
      <c r="QLZ2" s="5" t="s">
        <v>409</v>
      </c>
      <c r="QMA2" s="5" t="s">
        <v>409</v>
      </c>
      <c r="QMB2" s="5" t="s">
        <v>409</v>
      </c>
      <c r="QMC2" s="5" t="s">
        <v>409</v>
      </c>
      <c r="QMD2" s="5" t="s">
        <v>409</v>
      </c>
      <c r="QME2" s="5" t="s">
        <v>409</v>
      </c>
      <c r="QMF2" s="5" t="s">
        <v>409</v>
      </c>
      <c r="QMG2" s="5" t="s">
        <v>409</v>
      </c>
      <c r="QMH2" s="5" t="s">
        <v>409</v>
      </c>
      <c r="QMI2" s="5" t="s">
        <v>409</v>
      </c>
      <c r="QMJ2" s="5" t="s">
        <v>409</v>
      </c>
      <c r="QMK2" s="5" t="s">
        <v>409</v>
      </c>
      <c r="QML2" s="5" t="s">
        <v>409</v>
      </c>
      <c r="QMM2" s="5" t="s">
        <v>409</v>
      </c>
      <c r="QMN2" s="5" t="s">
        <v>409</v>
      </c>
      <c r="QMO2" s="5" t="s">
        <v>409</v>
      </c>
      <c r="QMP2" s="5" t="s">
        <v>409</v>
      </c>
      <c r="QMQ2" s="5" t="s">
        <v>409</v>
      </c>
      <c r="QMR2" s="5" t="s">
        <v>409</v>
      </c>
      <c r="QMS2" s="5" t="s">
        <v>409</v>
      </c>
      <c r="QMT2" s="5" t="s">
        <v>409</v>
      </c>
      <c r="QMU2" s="5" t="s">
        <v>409</v>
      </c>
      <c r="QMV2" s="5" t="s">
        <v>409</v>
      </c>
      <c r="QMW2" s="5" t="s">
        <v>409</v>
      </c>
      <c r="QMX2" s="5" t="s">
        <v>409</v>
      </c>
      <c r="QMY2" s="5" t="s">
        <v>409</v>
      </c>
      <c r="QMZ2" s="5" t="s">
        <v>409</v>
      </c>
      <c r="QNA2" s="5" t="s">
        <v>409</v>
      </c>
      <c r="QNB2" s="5" t="s">
        <v>409</v>
      </c>
      <c r="QNC2" s="5" t="s">
        <v>409</v>
      </c>
      <c r="QND2" s="5" t="s">
        <v>409</v>
      </c>
      <c r="QNE2" s="5" t="s">
        <v>409</v>
      </c>
      <c r="QNF2" s="5" t="s">
        <v>409</v>
      </c>
      <c r="QNG2" s="5" t="s">
        <v>409</v>
      </c>
      <c r="QNH2" s="5" t="s">
        <v>409</v>
      </c>
      <c r="QNI2" s="5" t="s">
        <v>409</v>
      </c>
      <c r="QNJ2" s="5" t="s">
        <v>409</v>
      </c>
      <c r="QNK2" s="5" t="s">
        <v>409</v>
      </c>
      <c r="QNL2" s="5" t="s">
        <v>409</v>
      </c>
      <c r="QNM2" s="5" t="s">
        <v>409</v>
      </c>
      <c r="QNN2" s="5" t="s">
        <v>409</v>
      </c>
      <c r="QNO2" s="5" t="s">
        <v>409</v>
      </c>
      <c r="QNP2" s="5" t="s">
        <v>409</v>
      </c>
      <c r="QNQ2" s="5" t="s">
        <v>409</v>
      </c>
      <c r="QNR2" s="5" t="s">
        <v>409</v>
      </c>
      <c r="QNS2" s="5" t="s">
        <v>409</v>
      </c>
      <c r="QNT2" s="5" t="s">
        <v>409</v>
      </c>
      <c r="QNU2" s="5" t="s">
        <v>409</v>
      </c>
      <c r="QNV2" s="5" t="s">
        <v>409</v>
      </c>
      <c r="QNW2" s="5" t="s">
        <v>409</v>
      </c>
      <c r="QNX2" s="5" t="s">
        <v>409</v>
      </c>
      <c r="QNY2" s="5" t="s">
        <v>409</v>
      </c>
      <c r="QNZ2" s="5" t="s">
        <v>409</v>
      </c>
      <c r="QOA2" s="5" t="s">
        <v>409</v>
      </c>
      <c r="QOB2" s="5" t="s">
        <v>409</v>
      </c>
      <c r="QOC2" s="5" t="s">
        <v>409</v>
      </c>
      <c r="QOD2" s="5" t="s">
        <v>409</v>
      </c>
      <c r="QOE2" s="5" t="s">
        <v>409</v>
      </c>
      <c r="QOF2" s="5" t="s">
        <v>409</v>
      </c>
      <c r="QOG2" s="5" t="s">
        <v>409</v>
      </c>
      <c r="QOH2" s="5" t="s">
        <v>409</v>
      </c>
      <c r="QOI2" s="5" t="s">
        <v>409</v>
      </c>
      <c r="QOJ2" s="5" t="s">
        <v>409</v>
      </c>
      <c r="QOK2" s="5" t="s">
        <v>409</v>
      </c>
      <c r="QOL2" s="5" t="s">
        <v>409</v>
      </c>
      <c r="QOM2" s="5" t="s">
        <v>409</v>
      </c>
      <c r="QON2" s="5" t="s">
        <v>409</v>
      </c>
      <c r="QOO2" s="5" t="s">
        <v>409</v>
      </c>
      <c r="QOP2" s="5" t="s">
        <v>409</v>
      </c>
      <c r="QOQ2" s="5" t="s">
        <v>409</v>
      </c>
      <c r="QOR2" s="5" t="s">
        <v>409</v>
      </c>
      <c r="QOS2" s="5" t="s">
        <v>409</v>
      </c>
      <c r="QOT2" s="5" t="s">
        <v>409</v>
      </c>
      <c r="QOU2" s="5" t="s">
        <v>409</v>
      </c>
      <c r="QOV2" s="5" t="s">
        <v>409</v>
      </c>
      <c r="QOW2" s="5" t="s">
        <v>409</v>
      </c>
      <c r="QOX2" s="5" t="s">
        <v>409</v>
      </c>
      <c r="QOY2" s="5" t="s">
        <v>409</v>
      </c>
      <c r="QOZ2" s="5" t="s">
        <v>409</v>
      </c>
      <c r="QPA2" s="5" t="s">
        <v>409</v>
      </c>
      <c r="QPB2" s="5" t="s">
        <v>409</v>
      </c>
      <c r="QPC2" s="5" t="s">
        <v>409</v>
      </c>
      <c r="QPD2" s="5" t="s">
        <v>409</v>
      </c>
      <c r="QPE2" s="5" t="s">
        <v>409</v>
      </c>
      <c r="QPF2" s="5" t="s">
        <v>409</v>
      </c>
      <c r="QPG2" s="5" t="s">
        <v>409</v>
      </c>
      <c r="QPH2" s="5" t="s">
        <v>409</v>
      </c>
      <c r="QPI2" s="5" t="s">
        <v>409</v>
      </c>
      <c r="QPJ2" s="5" t="s">
        <v>409</v>
      </c>
      <c r="QPK2" s="5" t="s">
        <v>409</v>
      </c>
      <c r="QPL2" s="5" t="s">
        <v>409</v>
      </c>
      <c r="QPM2" s="5" t="s">
        <v>409</v>
      </c>
      <c r="QPN2" s="5" t="s">
        <v>409</v>
      </c>
      <c r="QPO2" s="5" t="s">
        <v>409</v>
      </c>
      <c r="QPP2" s="5" t="s">
        <v>409</v>
      </c>
      <c r="QPQ2" s="5" t="s">
        <v>409</v>
      </c>
      <c r="QPR2" s="5" t="s">
        <v>409</v>
      </c>
      <c r="QPS2" s="5" t="s">
        <v>409</v>
      </c>
      <c r="QPT2" s="5" t="s">
        <v>409</v>
      </c>
      <c r="QPU2" s="5" t="s">
        <v>409</v>
      </c>
      <c r="QPV2" s="5" t="s">
        <v>409</v>
      </c>
      <c r="QPW2" s="5" t="s">
        <v>409</v>
      </c>
      <c r="QPX2" s="5" t="s">
        <v>409</v>
      </c>
      <c r="QPY2" s="5" t="s">
        <v>409</v>
      </c>
      <c r="QPZ2" s="5" t="s">
        <v>409</v>
      </c>
      <c r="QQA2" s="5" t="s">
        <v>409</v>
      </c>
      <c r="QQB2" s="5" t="s">
        <v>409</v>
      </c>
      <c r="QQC2" s="5" t="s">
        <v>409</v>
      </c>
      <c r="QQD2" s="5" t="s">
        <v>409</v>
      </c>
      <c r="QQE2" s="5" t="s">
        <v>409</v>
      </c>
      <c r="QQF2" s="5" t="s">
        <v>409</v>
      </c>
      <c r="QQG2" s="5" t="s">
        <v>409</v>
      </c>
      <c r="QQH2" s="5" t="s">
        <v>409</v>
      </c>
      <c r="QQI2" s="5" t="s">
        <v>409</v>
      </c>
      <c r="QQJ2" s="5" t="s">
        <v>409</v>
      </c>
      <c r="QQK2" s="5" t="s">
        <v>409</v>
      </c>
      <c r="QQL2" s="5" t="s">
        <v>409</v>
      </c>
      <c r="QQM2" s="5" t="s">
        <v>409</v>
      </c>
      <c r="QQN2" s="5" t="s">
        <v>409</v>
      </c>
      <c r="QQO2" s="5" t="s">
        <v>409</v>
      </c>
      <c r="QQP2" s="5" t="s">
        <v>409</v>
      </c>
      <c r="QQQ2" s="5" t="s">
        <v>409</v>
      </c>
      <c r="QQR2" s="5" t="s">
        <v>409</v>
      </c>
      <c r="QQS2" s="5" t="s">
        <v>409</v>
      </c>
      <c r="QQT2" s="5" t="s">
        <v>409</v>
      </c>
      <c r="QQU2" s="5" t="s">
        <v>409</v>
      </c>
      <c r="QQV2" s="5" t="s">
        <v>409</v>
      </c>
      <c r="QQW2" s="5" t="s">
        <v>409</v>
      </c>
      <c r="QQX2" s="5" t="s">
        <v>409</v>
      </c>
      <c r="QQY2" s="5" t="s">
        <v>409</v>
      </c>
      <c r="QQZ2" s="5" t="s">
        <v>409</v>
      </c>
      <c r="QRA2" s="5" t="s">
        <v>409</v>
      </c>
      <c r="QRB2" s="5" t="s">
        <v>409</v>
      </c>
      <c r="QRC2" s="5" t="s">
        <v>409</v>
      </c>
      <c r="QRD2" s="5" t="s">
        <v>409</v>
      </c>
      <c r="QRE2" s="5" t="s">
        <v>409</v>
      </c>
      <c r="QRF2" s="5" t="s">
        <v>409</v>
      </c>
      <c r="QRG2" s="5" t="s">
        <v>409</v>
      </c>
      <c r="QRH2" s="5" t="s">
        <v>409</v>
      </c>
      <c r="QRI2" s="5" t="s">
        <v>409</v>
      </c>
      <c r="QRJ2" s="5" t="s">
        <v>409</v>
      </c>
      <c r="QRK2" s="5" t="s">
        <v>409</v>
      </c>
      <c r="QRL2" s="5" t="s">
        <v>409</v>
      </c>
      <c r="QRM2" s="5" t="s">
        <v>409</v>
      </c>
      <c r="QRN2" s="5" t="s">
        <v>409</v>
      </c>
      <c r="QRO2" s="5" t="s">
        <v>409</v>
      </c>
      <c r="QRP2" s="5" t="s">
        <v>409</v>
      </c>
      <c r="QRQ2" s="5" t="s">
        <v>409</v>
      </c>
      <c r="QRR2" s="5" t="s">
        <v>409</v>
      </c>
      <c r="QRS2" s="5" t="s">
        <v>409</v>
      </c>
      <c r="QRT2" s="5" t="s">
        <v>409</v>
      </c>
      <c r="QRU2" s="5" t="s">
        <v>409</v>
      </c>
      <c r="QRV2" s="5" t="s">
        <v>409</v>
      </c>
      <c r="QRW2" s="5" t="s">
        <v>409</v>
      </c>
      <c r="QRX2" s="5" t="s">
        <v>409</v>
      </c>
      <c r="QRY2" s="5" t="s">
        <v>409</v>
      </c>
      <c r="QRZ2" s="5" t="s">
        <v>409</v>
      </c>
      <c r="QSA2" s="5" t="s">
        <v>409</v>
      </c>
      <c r="QSB2" s="5" t="s">
        <v>409</v>
      </c>
      <c r="QSC2" s="5" t="s">
        <v>409</v>
      </c>
      <c r="QSD2" s="5" t="s">
        <v>409</v>
      </c>
      <c r="QSE2" s="5" t="s">
        <v>409</v>
      </c>
      <c r="QSF2" s="5" t="s">
        <v>409</v>
      </c>
      <c r="QSG2" s="5" t="s">
        <v>409</v>
      </c>
      <c r="QSH2" s="5" t="s">
        <v>409</v>
      </c>
      <c r="QSI2" s="5" t="s">
        <v>409</v>
      </c>
      <c r="QSJ2" s="5" t="s">
        <v>409</v>
      </c>
      <c r="QSK2" s="5" t="s">
        <v>409</v>
      </c>
      <c r="QSL2" s="5" t="s">
        <v>409</v>
      </c>
      <c r="QSM2" s="5" t="s">
        <v>409</v>
      </c>
      <c r="QSN2" s="5" t="s">
        <v>409</v>
      </c>
      <c r="QSO2" s="5" t="s">
        <v>409</v>
      </c>
      <c r="QSP2" s="5" t="s">
        <v>409</v>
      </c>
      <c r="QSQ2" s="5" t="s">
        <v>409</v>
      </c>
      <c r="QSR2" s="5" t="s">
        <v>409</v>
      </c>
      <c r="QSS2" s="5" t="s">
        <v>409</v>
      </c>
      <c r="QST2" s="5" t="s">
        <v>409</v>
      </c>
      <c r="QSU2" s="5" t="s">
        <v>409</v>
      </c>
      <c r="QSV2" s="5" t="s">
        <v>409</v>
      </c>
      <c r="QSW2" s="5" t="s">
        <v>409</v>
      </c>
      <c r="QSX2" s="5" t="s">
        <v>409</v>
      </c>
      <c r="QSY2" s="5" t="s">
        <v>409</v>
      </c>
      <c r="QSZ2" s="5" t="s">
        <v>409</v>
      </c>
      <c r="QTA2" s="5" t="s">
        <v>409</v>
      </c>
      <c r="QTB2" s="5" t="s">
        <v>409</v>
      </c>
      <c r="QTC2" s="5" t="s">
        <v>409</v>
      </c>
      <c r="QTD2" s="5" t="s">
        <v>409</v>
      </c>
      <c r="QTE2" s="5" t="s">
        <v>409</v>
      </c>
      <c r="QTF2" s="5" t="s">
        <v>409</v>
      </c>
      <c r="QTG2" s="5" t="s">
        <v>409</v>
      </c>
      <c r="QTH2" s="5" t="s">
        <v>409</v>
      </c>
      <c r="QTI2" s="5" t="s">
        <v>409</v>
      </c>
      <c r="QTJ2" s="5" t="s">
        <v>409</v>
      </c>
      <c r="QTK2" s="5" t="s">
        <v>409</v>
      </c>
      <c r="QTL2" s="5" t="s">
        <v>409</v>
      </c>
      <c r="QTM2" s="5" t="s">
        <v>409</v>
      </c>
      <c r="QTN2" s="5" t="s">
        <v>409</v>
      </c>
      <c r="QTO2" s="5" t="s">
        <v>409</v>
      </c>
      <c r="QTP2" s="5" t="s">
        <v>409</v>
      </c>
      <c r="QTQ2" s="5" t="s">
        <v>409</v>
      </c>
      <c r="QTR2" s="5" t="s">
        <v>409</v>
      </c>
      <c r="QTS2" s="5" t="s">
        <v>409</v>
      </c>
      <c r="QTT2" s="5" t="s">
        <v>409</v>
      </c>
      <c r="QTU2" s="5" t="s">
        <v>409</v>
      </c>
      <c r="QTV2" s="5" t="s">
        <v>409</v>
      </c>
      <c r="QTW2" s="5" t="s">
        <v>409</v>
      </c>
      <c r="QTX2" s="5" t="s">
        <v>409</v>
      </c>
      <c r="QTY2" s="5" t="s">
        <v>409</v>
      </c>
      <c r="QTZ2" s="5" t="s">
        <v>409</v>
      </c>
      <c r="QUA2" s="5" t="s">
        <v>409</v>
      </c>
      <c r="QUB2" s="5" t="s">
        <v>409</v>
      </c>
      <c r="QUC2" s="5" t="s">
        <v>409</v>
      </c>
      <c r="QUD2" s="5" t="s">
        <v>409</v>
      </c>
      <c r="QUE2" s="5" t="s">
        <v>409</v>
      </c>
      <c r="QUF2" s="5" t="s">
        <v>409</v>
      </c>
      <c r="QUG2" s="5" t="s">
        <v>409</v>
      </c>
      <c r="QUH2" s="5" t="s">
        <v>409</v>
      </c>
      <c r="QUI2" s="5" t="s">
        <v>409</v>
      </c>
      <c r="QUJ2" s="5" t="s">
        <v>409</v>
      </c>
      <c r="QUK2" s="5" t="s">
        <v>409</v>
      </c>
      <c r="QUL2" s="5" t="s">
        <v>409</v>
      </c>
      <c r="QUM2" s="5" t="s">
        <v>409</v>
      </c>
      <c r="QUN2" s="5" t="s">
        <v>409</v>
      </c>
      <c r="QUO2" s="5" t="s">
        <v>409</v>
      </c>
      <c r="QUP2" s="5" t="s">
        <v>409</v>
      </c>
      <c r="QUQ2" s="5" t="s">
        <v>409</v>
      </c>
      <c r="QUR2" s="5" t="s">
        <v>409</v>
      </c>
      <c r="QUS2" s="5" t="s">
        <v>409</v>
      </c>
      <c r="QUT2" s="5" t="s">
        <v>409</v>
      </c>
      <c r="QUU2" s="5" t="s">
        <v>409</v>
      </c>
      <c r="QUV2" s="5" t="s">
        <v>409</v>
      </c>
      <c r="QUW2" s="5" t="s">
        <v>409</v>
      </c>
      <c r="QUX2" s="5" t="s">
        <v>409</v>
      </c>
      <c r="QUY2" s="5" t="s">
        <v>409</v>
      </c>
      <c r="QUZ2" s="5" t="s">
        <v>409</v>
      </c>
      <c r="QVA2" s="5" t="s">
        <v>409</v>
      </c>
      <c r="QVB2" s="5" t="s">
        <v>409</v>
      </c>
      <c r="QVC2" s="5" t="s">
        <v>409</v>
      </c>
      <c r="QVD2" s="5" t="s">
        <v>409</v>
      </c>
      <c r="QVE2" s="5" t="s">
        <v>409</v>
      </c>
      <c r="QVF2" s="5" t="s">
        <v>409</v>
      </c>
      <c r="QVG2" s="5" t="s">
        <v>409</v>
      </c>
      <c r="QVH2" s="5" t="s">
        <v>409</v>
      </c>
      <c r="QVI2" s="5" t="s">
        <v>409</v>
      </c>
      <c r="QVJ2" s="5" t="s">
        <v>409</v>
      </c>
      <c r="QVK2" s="5" t="s">
        <v>409</v>
      </c>
      <c r="QVL2" s="5" t="s">
        <v>409</v>
      </c>
      <c r="QVM2" s="5" t="s">
        <v>409</v>
      </c>
      <c r="QVN2" s="5" t="s">
        <v>409</v>
      </c>
      <c r="QVO2" s="5" t="s">
        <v>409</v>
      </c>
      <c r="QVP2" s="5" t="s">
        <v>409</v>
      </c>
      <c r="QVQ2" s="5" t="s">
        <v>409</v>
      </c>
      <c r="QVR2" s="5" t="s">
        <v>409</v>
      </c>
      <c r="QVS2" s="5" t="s">
        <v>409</v>
      </c>
      <c r="QVT2" s="5" t="s">
        <v>409</v>
      </c>
      <c r="QVU2" s="5" t="s">
        <v>409</v>
      </c>
      <c r="QVV2" s="5" t="s">
        <v>409</v>
      </c>
      <c r="QVW2" s="5" t="s">
        <v>409</v>
      </c>
      <c r="QVX2" s="5" t="s">
        <v>409</v>
      </c>
      <c r="QVY2" s="5" t="s">
        <v>409</v>
      </c>
      <c r="QVZ2" s="5" t="s">
        <v>409</v>
      </c>
      <c r="QWA2" s="5" t="s">
        <v>409</v>
      </c>
      <c r="QWB2" s="5" t="s">
        <v>409</v>
      </c>
      <c r="QWC2" s="5" t="s">
        <v>409</v>
      </c>
      <c r="QWD2" s="5" t="s">
        <v>409</v>
      </c>
      <c r="QWE2" s="5" t="s">
        <v>409</v>
      </c>
      <c r="QWF2" s="5" t="s">
        <v>409</v>
      </c>
      <c r="QWG2" s="5" t="s">
        <v>409</v>
      </c>
      <c r="QWH2" s="5" t="s">
        <v>409</v>
      </c>
      <c r="QWI2" s="5" t="s">
        <v>409</v>
      </c>
      <c r="QWJ2" s="5" t="s">
        <v>409</v>
      </c>
      <c r="QWK2" s="5" t="s">
        <v>409</v>
      </c>
      <c r="QWL2" s="5" t="s">
        <v>409</v>
      </c>
      <c r="QWM2" s="5" t="s">
        <v>409</v>
      </c>
      <c r="QWN2" s="5" t="s">
        <v>409</v>
      </c>
      <c r="QWO2" s="5" t="s">
        <v>409</v>
      </c>
      <c r="QWP2" s="5" t="s">
        <v>409</v>
      </c>
      <c r="QWQ2" s="5" t="s">
        <v>409</v>
      </c>
      <c r="QWR2" s="5" t="s">
        <v>409</v>
      </c>
      <c r="QWS2" s="5" t="s">
        <v>409</v>
      </c>
      <c r="QWT2" s="5" t="s">
        <v>409</v>
      </c>
      <c r="QWU2" s="5" t="s">
        <v>409</v>
      </c>
      <c r="QWV2" s="5" t="s">
        <v>409</v>
      </c>
      <c r="QWW2" s="5" t="s">
        <v>409</v>
      </c>
      <c r="QWX2" s="5" t="s">
        <v>409</v>
      </c>
      <c r="QWY2" s="5" t="s">
        <v>409</v>
      </c>
      <c r="QWZ2" s="5" t="s">
        <v>409</v>
      </c>
      <c r="QXA2" s="5" t="s">
        <v>409</v>
      </c>
      <c r="QXB2" s="5" t="s">
        <v>409</v>
      </c>
      <c r="QXC2" s="5" t="s">
        <v>409</v>
      </c>
      <c r="QXD2" s="5" t="s">
        <v>409</v>
      </c>
      <c r="QXE2" s="5" t="s">
        <v>409</v>
      </c>
      <c r="QXF2" s="5" t="s">
        <v>409</v>
      </c>
      <c r="QXG2" s="5" t="s">
        <v>409</v>
      </c>
      <c r="QXH2" s="5" t="s">
        <v>409</v>
      </c>
      <c r="QXI2" s="5" t="s">
        <v>409</v>
      </c>
      <c r="QXJ2" s="5" t="s">
        <v>409</v>
      </c>
      <c r="QXK2" s="5" t="s">
        <v>409</v>
      </c>
      <c r="QXL2" s="5" t="s">
        <v>409</v>
      </c>
      <c r="QXM2" s="5" t="s">
        <v>409</v>
      </c>
      <c r="QXN2" s="5" t="s">
        <v>409</v>
      </c>
      <c r="QXO2" s="5" t="s">
        <v>409</v>
      </c>
      <c r="QXP2" s="5" t="s">
        <v>409</v>
      </c>
      <c r="QXQ2" s="5" t="s">
        <v>409</v>
      </c>
      <c r="QXR2" s="5" t="s">
        <v>409</v>
      </c>
      <c r="QXS2" s="5" t="s">
        <v>409</v>
      </c>
      <c r="QXT2" s="5" t="s">
        <v>409</v>
      </c>
      <c r="QXU2" s="5" t="s">
        <v>409</v>
      </c>
      <c r="QXV2" s="5" t="s">
        <v>409</v>
      </c>
      <c r="QXW2" s="5" t="s">
        <v>409</v>
      </c>
      <c r="QXX2" s="5" t="s">
        <v>409</v>
      </c>
      <c r="QXY2" s="5" t="s">
        <v>409</v>
      </c>
      <c r="QXZ2" s="5" t="s">
        <v>409</v>
      </c>
      <c r="QYA2" s="5" t="s">
        <v>409</v>
      </c>
      <c r="QYB2" s="5" t="s">
        <v>409</v>
      </c>
      <c r="QYC2" s="5" t="s">
        <v>409</v>
      </c>
      <c r="QYD2" s="5" t="s">
        <v>409</v>
      </c>
      <c r="QYE2" s="5" t="s">
        <v>409</v>
      </c>
      <c r="QYF2" s="5" t="s">
        <v>409</v>
      </c>
      <c r="QYG2" s="5" t="s">
        <v>409</v>
      </c>
      <c r="QYH2" s="5" t="s">
        <v>409</v>
      </c>
      <c r="QYI2" s="5" t="s">
        <v>409</v>
      </c>
      <c r="QYJ2" s="5" t="s">
        <v>409</v>
      </c>
      <c r="QYK2" s="5" t="s">
        <v>409</v>
      </c>
      <c r="QYL2" s="5" t="s">
        <v>409</v>
      </c>
      <c r="QYM2" s="5" t="s">
        <v>409</v>
      </c>
      <c r="QYN2" s="5" t="s">
        <v>409</v>
      </c>
      <c r="QYO2" s="5" t="s">
        <v>409</v>
      </c>
      <c r="QYP2" s="5" t="s">
        <v>409</v>
      </c>
      <c r="QYQ2" s="5" t="s">
        <v>409</v>
      </c>
      <c r="QYR2" s="5" t="s">
        <v>409</v>
      </c>
      <c r="QYS2" s="5" t="s">
        <v>409</v>
      </c>
      <c r="QYT2" s="5" t="s">
        <v>409</v>
      </c>
      <c r="QYU2" s="5" t="s">
        <v>409</v>
      </c>
      <c r="QYV2" s="5" t="s">
        <v>409</v>
      </c>
      <c r="QYW2" s="5" t="s">
        <v>409</v>
      </c>
      <c r="QYX2" s="5" t="s">
        <v>409</v>
      </c>
      <c r="QYY2" s="5" t="s">
        <v>409</v>
      </c>
      <c r="QYZ2" s="5" t="s">
        <v>409</v>
      </c>
      <c r="QZA2" s="5" t="s">
        <v>409</v>
      </c>
      <c r="QZB2" s="5" t="s">
        <v>409</v>
      </c>
      <c r="QZC2" s="5" t="s">
        <v>409</v>
      </c>
      <c r="QZD2" s="5" t="s">
        <v>409</v>
      </c>
      <c r="QZE2" s="5" t="s">
        <v>409</v>
      </c>
      <c r="QZF2" s="5" t="s">
        <v>409</v>
      </c>
      <c r="QZG2" s="5" t="s">
        <v>409</v>
      </c>
      <c r="QZH2" s="5" t="s">
        <v>409</v>
      </c>
      <c r="QZI2" s="5" t="s">
        <v>409</v>
      </c>
      <c r="QZJ2" s="5" t="s">
        <v>409</v>
      </c>
      <c r="QZK2" s="5" t="s">
        <v>409</v>
      </c>
      <c r="QZL2" s="5" t="s">
        <v>409</v>
      </c>
      <c r="QZM2" s="5" t="s">
        <v>409</v>
      </c>
      <c r="QZN2" s="5" t="s">
        <v>409</v>
      </c>
      <c r="QZO2" s="5" t="s">
        <v>409</v>
      </c>
      <c r="QZP2" s="5" t="s">
        <v>409</v>
      </c>
      <c r="QZQ2" s="5" t="s">
        <v>409</v>
      </c>
      <c r="QZR2" s="5" t="s">
        <v>409</v>
      </c>
      <c r="QZS2" s="5" t="s">
        <v>409</v>
      </c>
      <c r="QZT2" s="5" t="s">
        <v>409</v>
      </c>
      <c r="QZU2" s="5" t="s">
        <v>409</v>
      </c>
      <c r="QZV2" s="5" t="s">
        <v>409</v>
      </c>
      <c r="QZW2" s="5" t="s">
        <v>409</v>
      </c>
      <c r="QZX2" s="5" t="s">
        <v>409</v>
      </c>
      <c r="QZY2" s="5" t="s">
        <v>409</v>
      </c>
      <c r="QZZ2" s="5" t="s">
        <v>409</v>
      </c>
      <c r="RAA2" s="5" t="s">
        <v>409</v>
      </c>
      <c r="RAB2" s="5" t="s">
        <v>409</v>
      </c>
      <c r="RAC2" s="5" t="s">
        <v>409</v>
      </c>
      <c r="RAD2" s="5" t="s">
        <v>409</v>
      </c>
      <c r="RAE2" s="5" t="s">
        <v>409</v>
      </c>
      <c r="RAF2" s="5" t="s">
        <v>409</v>
      </c>
      <c r="RAG2" s="5" t="s">
        <v>409</v>
      </c>
      <c r="RAH2" s="5" t="s">
        <v>409</v>
      </c>
      <c r="RAI2" s="5" t="s">
        <v>409</v>
      </c>
      <c r="RAJ2" s="5" t="s">
        <v>409</v>
      </c>
      <c r="RAK2" s="5" t="s">
        <v>409</v>
      </c>
      <c r="RAL2" s="5" t="s">
        <v>409</v>
      </c>
      <c r="RAM2" s="5" t="s">
        <v>409</v>
      </c>
      <c r="RAN2" s="5" t="s">
        <v>409</v>
      </c>
      <c r="RAO2" s="5" t="s">
        <v>409</v>
      </c>
      <c r="RAP2" s="5" t="s">
        <v>409</v>
      </c>
      <c r="RAQ2" s="5" t="s">
        <v>409</v>
      </c>
      <c r="RAR2" s="5" t="s">
        <v>409</v>
      </c>
      <c r="RAS2" s="5" t="s">
        <v>409</v>
      </c>
      <c r="RAT2" s="5" t="s">
        <v>409</v>
      </c>
      <c r="RAU2" s="5" t="s">
        <v>409</v>
      </c>
      <c r="RAV2" s="5" t="s">
        <v>409</v>
      </c>
      <c r="RAW2" s="5" t="s">
        <v>409</v>
      </c>
      <c r="RAX2" s="5" t="s">
        <v>409</v>
      </c>
      <c r="RAY2" s="5" t="s">
        <v>409</v>
      </c>
      <c r="RAZ2" s="5" t="s">
        <v>409</v>
      </c>
      <c r="RBA2" s="5" t="s">
        <v>409</v>
      </c>
      <c r="RBB2" s="5" t="s">
        <v>409</v>
      </c>
      <c r="RBC2" s="5" t="s">
        <v>409</v>
      </c>
      <c r="RBD2" s="5" t="s">
        <v>409</v>
      </c>
      <c r="RBE2" s="5" t="s">
        <v>409</v>
      </c>
      <c r="RBF2" s="5" t="s">
        <v>409</v>
      </c>
      <c r="RBG2" s="5" t="s">
        <v>409</v>
      </c>
      <c r="RBH2" s="5" t="s">
        <v>409</v>
      </c>
      <c r="RBI2" s="5" t="s">
        <v>409</v>
      </c>
      <c r="RBJ2" s="5" t="s">
        <v>409</v>
      </c>
      <c r="RBK2" s="5" t="s">
        <v>409</v>
      </c>
      <c r="RBL2" s="5" t="s">
        <v>409</v>
      </c>
      <c r="RBM2" s="5" t="s">
        <v>409</v>
      </c>
      <c r="RBN2" s="5" t="s">
        <v>409</v>
      </c>
      <c r="RBO2" s="5" t="s">
        <v>409</v>
      </c>
      <c r="RBP2" s="5" t="s">
        <v>409</v>
      </c>
      <c r="RBQ2" s="5" t="s">
        <v>409</v>
      </c>
      <c r="RBR2" s="5" t="s">
        <v>409</v>
      </c>
      <c r="RBS2" s="5" t="s">
        <v>409</v>
      </c>
      <c r="RBT2" s="5" t="s">
        <v>409</v>
      </c>
      <c r="RBU2" s="5" t="s">
        <v>409</v>
      </c>
      <c r="RBV2" s="5" t="s">
        <v>409</v>
      </c>
      <c r="RBW2" s="5" t="s">
        <v>409</v>
      </c>
      <c r="RBX2" s="5" t="s">
        <v>409</v>
      </c>
      <c r="RBY2" s="5" t="s">
        <v>409</v>
      </c>
      <c r="RBZ2" s="5" t="s">
        <v>409</v>
      </c>
      <c r="RCA2" s="5" t="s">
        <v>409</v>
      </c>
      <c r="RCB2" s="5" t="s">
        <v>409</v>
      </c>
      <c r="RCC2" s="5" t="s">
        <v>409</v>
      </c>
      <c r="RCD2" s="5" t="s">
        <v>409</v>
      </c>
      <c r="RCE2" s="5" t="s">
        <v>409</v>
      </c>
      <c r="RCF2" s="5" t="s">
        <v>409</v>
      </c>
      <c r="RCG2" s="5" t="s">
        <v>409</v>
      </c>
      <c r="RCH2" s="5" t="s">
        <v>409</v>
      </c>
      <c r="RCI2" s="5" t="s">
        <v>409</v>
      </c>
      <c r="RCJ2" s="5" t="s">
        <v>409</v>
      </c>
      <c r="RCK2" s="5" t="s">
        <v>409</v>
      </c>
      <c r="RCL2" s="5" t="s">
        <v>409</v>
      </c>
      <c r="RCM2" s="5" t="s">
        <v>409</v>
      </c>
      <c r="RCN2" s="5" t="s">
        <v>409</v>
      </c>
      <c r="RCO2" s="5" t="s">
        <v>409</v>
      </c>
      <c r="RCP2" s="5" t="s">
        <v>409</v>
      </c>
      <c r="RCQ2" s="5" t="s">
        <v>409</v>
      </c>
      <c r="RCR2" s="5" t="s">
        <v>409</v>
      </c>
      <c r="RCS2" s="5" t="s">
        <v>409</v>
      </c>
      <c r="RCT2" s="5" t="s">
        <v>409</v>
      </c>
      <c r="RCU2" s="5" t="s">
        <v>409</v>
      </c>
      <c r="RCV2" s="5" t="s">
        <v>409</v>
      </c>
      <c r="RCW2" s="5" t="s">
        <v>409</v>
      </c>
      <c r="RCX2" s="5" t="s">
        <v>409</v>
      </c>
      <c r="RCY2" s="5" t="s">
        <v>409</v>
      </c>
      <c r="RCZ2" s="5" t="s">
        <v>409</v>
      </c>
      <c r="RDA2" s="5" t="s">
        <v>409</v>
      </c>
      <c r="RDB2" s="5" t="s">
        <v>409</v>
      </c>
      <c r="RDC2" s="5" t="s">
        <v>409</v>
      </c>
      <c r="RDD2" s="5" t="s">
        <v>409</v>
      </c>
      <c r="RDE2" s="5" t="s">
        <v>409</v>
      </c>
      <c r="RDF2" s="5" t="s">
        <v>409</v>
      </c>
      <c r="RDG2" s="5" t="s">
        <v>409</v>
      </c>
      <c r="RDH2" s="5" t="s">
        <v>409</v>
      </c>
      <c r="RDI2" s="5" t="s">
        <v>409</v>
      </c>
      <c r="RDJ2" s="5" t="s">
        <v>409</v>
      </c>
      <c r="RDK2" s="5" t="s">
        <v>409</v>
      </c>
      <c r="RDL2" s="5" t="s">
        <v>409</v>
      </c>
      <c r="RDM2" s="5" t="s">
        <v>409</v>
      </c>
      <c r="RDN2" s="5" t="s">
        <v>409</v>
      </c>
      <c r="RDO2" s="5" t="s">
        <v>409</v>
      </c>
      <c r="RDP2" s="5" t="s">
        <v>409</v>
      </c>
      <c r="RDQ2" s="5" t="s">
        <v>409</v>
      </c>
      <c r="RDR2" s="5" t="s">
        <v>409</v>
      </c>
      <c r="RDS2" s="5" t="s">
        <v>409</v>
      </c>
      <c r="RDT2" s="5" t="s">
        <v>409</v>
      </c>
      <c r="RDU2" s="5" t="s">
        <v>409</v>
      </c>
      <c r="RDV2" s="5" t="s">
        <v>409</v>
      </c>
      <c r="RDW2" s="5" t="s">
        <v>409</v>
      </c>
      <c r="RDX2" s="5" t="s">
        <v>409</v>
      </c>
      <c r="RDY2" s="5" t="s">
        <v>409</v>
      </c>
      <c r="RDZ2" s="5" t="s">
        <v>409</v>
      </c>
      <c r="REA2" s="5" t="s">
        <v>409</v>
      </c>
      <c r="REB2" s="5" t="s">
        <v>409</v>
      </c>
      <c r="REC2" s="5" t="s">
        <v>409</v>
      </c>
      <c r="RED2" s="5" t="s">
        <v>409</v>
      </c>
      <c r="REE2" s="5" t="s">
        <v>409</v>
      </c>
      <c r="REF2" s="5" t="s">
        <v>409</v>
      </c>
      <c r="REG2" s="5" t="s">
        <v>409</v>
      </c>
      <c r="REH2" s="5" t="s">
        <v>409</v>
      </c>
      <c r="REI2" s="5" t="s">
        <v>409</v>
      </c>
      <c r="REJ2" s="5" t="s">
        <v>409</v>
      </c>
      <c r="REK2" s="5" t="s">
        <v>409</v>
      </c>
      <c r="REL2" s="5" t="s">
        <v>409</v>
      </c>
      <c r="REM2" s="5" t="s">
        <v>409</v>
      </c>
      <c r="REN2" s="5" t="s">
        <v>409</v>
      </c>
      <c r="REO2" s="5" t="s">
        <v>409</v>
      </c>
      <c r="REP2" s="5" t="s">
        <v>409</v>
      </c>
      <c r="REQ2" s="5" t="s">
        <v>409</v>
      </c>
      <c r="RER2" s="5" t="s">
        <v>409</v>
      </c>
      <c r="RES2" s="5" t="s">
        <v>409</v>
      </c>
      <c r="RET2" s="5" t="s">
        <v>409</v>
      </c>
      <c r="REU2" s="5" t="s">
        <v>409</v>
      </c>
      <c r="REV2" s="5" t="s">
        <v>409</v>
      </c>
      <c r="REW2" s="5" t="s">
        <v>409</v>
      </c>
      <c r="REX2" s="5" t="s">
        <v>409</v>
      </c>
      <c r="REY2" s="5" t="s">
        <v>409</v>
      </c>
      <c r="REZ2" s="5" t="s">
        <v>409</v>
      </c>
      <c r="RFA2" s="5" t="s">
        <v>409</v>
      </c>
      <c r="RFB2" s="5" t="s">
        <v>409</v>
      </c>
      <c r="RFC2" s="5" t="s">
        <v>409</v>
      </c>
      <c r="RFD2" s="5" t="s">
        <v>409</v>
      </c>
      <c r="RFE2" s="5" t="s">
        <v>409</v>
      </c>
      <c r="RFF2" s="5" t="s">
        <v>409</v>
      </c>
      <c r="RFG2" s="5" t="s">
        <v>409</v>
      </c>
      <c r="RFH2" s="5" t="s">
        <v>409</v>
      </c>
      <c r="RFI2" s="5" t="s">
        <v>409</v>
      </c>
      <c r="RFJ2" s="5" t="s">
        <v>409</v>
      </c>
      <c r="RFK2" s="5" t="s">
        <v>409</v>
      </c>
      <c r="RFL2" s="5" t="s">
        <v>409</v>
      </c>
      <c r="RFM2" s="5" t="s">
        <v>409</v>
      </c>
      <c r="RFN2" s="5" t="s">
        <v>409</v>
      </c>
      <c r="RFO2" s="5" t="s">
        <v>409</v>
      </c>
      <c r="RFP2" s="5" t="s">
        <v>409</v>
      </c>
      <c r="RFQ2" s="5" t="s">
        <v>409</v>
      </c>
      <c r="RFR2" s="5" t="s">
        <v>409</v>
      </c>
      <c r="RFS2" s="5" t="s">
        <v>409</v>
      </c>
      <c r="RFT2" s="5" t="s">
        <v>409</v>
      </c>
      <c r="RFU2" s="5" t="s">
        <v>409</v>
      </c>
      <c r="RFV2" s="5" t="s">
        <v>409</v>
      </c>
      <c r="RFW2" s="5" t="s">
        <v>409</v>
      </c>
      <c r="RFX2" s="5" t="s">
        <v>409</v>
      </c>
      <c r="RFY2" s="5" t="s">
        <v>409</v>
      </c>
      <c r="RFZ2" s="5" t="s">
        <v>409</v>
      </c>
      <c r="RGA2" s="5" t="s">
        <v>409</v>
      </c>
      <c r="RGB2" s="5" t="s">
        <v>409</v>
      </c>
      <c r="RGC2" s="5" t="s">
        <v>409</v>
      </c>
      <c r="RGD2" s="5" t="s">
        <v>409</v>
      </c>
      <c r="RGE2" s="5" t="s">
        <v>409</v>
      </c>
      <c r="RGF2" s="5" t="s">
        <v>409</v>
      </c>
      <c r="RGG2" s="5" t="s">
        <v>409</v>
      </c>
      <c r="RGH2" s="5" t="s">
        <v>409</v>
      </c>
      <c r="RGI2" s="5" t="s">
        <v>409</v>
      </c>
      <c r="RGJ2" s="5" t="s">
        <v>409</v>
      </c>
      <c r="RGK2" s="5" t="s">
        <v>409</v>
      </c>
      <c r="RGL2" s="5" t="s">
        <v>409</v>
      </c>
      <c r="RGM2" s="5" t="s">
        <v>409</v>
      </c>
      <c r="RGN2" s="5" t="s">
        <v>409</v>
      </c>
      <c r="RGO2" s="5" t="s">
        <v>409</v>
      </c>
      <c r="RGP2" s="5" t="s">
        <v>409</v>
      </c>
      <c r="RGQ2" s="5" t="s">
        <v>409</v>
      </c>
      <c r="RGR2" s="5" t="s">
        <v>409</v>
      </c>
      <c r="RGS2" s="5" t="s">
        <v>409</v>
      </c>
      <c r="RGT2" s="5" t="s">
        <v>409</v>
      </c>
      <c r="RGU2" s="5" t="s">
        <v>409</v>
      </c>
      <c r="RGV2" s="5" t="s">
        <v>409</v>
      </c>
      <c r="RGW2" s="5" t="s">
        <v>409</v>
      </c>
      <c r="RGX2" s="5" t="s">
        <v>409</v>
      </c>
      <c r="RGY2" s="5" t="s">
        <v>409</v>
      </c>
      <c r="RGZ2" s="5" t="s">
        <v>409</v>
      </c>
      <c r="RHA2" s="5" t="s">
        <v>409</v>
      </c>
      <c r="RHB2" s="5" t="s">
        <v>409</v>
      </c>
      <c r="RHC2" s="5" t="s">
        <v>409</v>
      </c>
      <c r="RHD2" s="5" t="s">
        <v>409</v>
      </c>
      <c r="RHE2" s="5" t="s">
        <v>409</v>
      </c>
      <c r="RHF2" s="5" t="s">
        <v>409</v>
      </c>
      <c r="RHG2" s="5" t="s">
        <v>409</v>
      </c>
      <c r="RHH2" s="5" t="s">
        <v>409</v>
      </c>
      <c r="RHI2" s="5" t="s">
        <v>409</v>
      </c>
      <c r="RHJ2" s="5" t="s">
        <v>409</v>
      </c>
      <c r="RHK2" s="5" t="s">
        <v>409</v>
      </c>
      <c r="RHL2" s="5" t="s">
        <v>409</v>
      </c>
      <c r="RHM2" s="5" t="s">
        <v>409</v>
      </c>
      <c r="RHN2" s="5" t="s">
        <v>409</v>
      </c>
      <c r="RHO2" s="5" t="s">
        <v>409</v>
      </c>
      <c r="RHP2" s="5" t="s">
        <v>409</v>
      </c>
      <c r="RHQ2" s="5" t="s">
        <v>409</v>
      </c>
      <c r="RHR2" s="5" t="s">
        <v>409</v>
      </c>
      <c r="RHS2" s="5" t="s">
        <v>409</v>
      </c>
      <c r="RHT2" s="5" t="s">
        <v>409</v>
      </c>
      <c r="RHU2" s="5" t="s">
        <v>409</v>
      </c>
      <c r="RHV2" s="5" t="s">
        <v>409</v>
      </c>
      <c r="RHW2" s="5" t="s">
        <v>409</v>
      </c>
      <c r="RHX2" s="5" t="s">
        <v>409</v>
      </c>
      <c r="RHY2" s="5" t="s">
        <v>409</v>
      </c>
      <c r="RHZ2" s="5" t="s">
        <v>409</v>
      </c>
      <c r="RIA2" s="5" t="s">
        <v>409</v>
      </c>
      <c r="RIB2" s="5" t="s">
        <v>409</v>
      </c>
      <c r="RIC2" s="5" t="s">
        <v>409</v>
      </c>
      <c r="RID2" s="5" t="s">
        <v>409</v>
      </c>
      <c r="RIE2" s="5" t="s">
        <v>409</v>
      </c>
      <c r="RIF2" s="5" t="s">
        <v>409</v>
      </c>
      <c r="RIG2" s="5" t="s">
        <v>409</v>
      </c>
      <c r="RIH2" s="5" t="s">
        <v>409</v>
      </c>
      <c r="RII2" s="5" t="s">
        <v>409</v>
      </c>
      <c r="RIJ2" s="5" t="s">
        <v>409</v>
      </c>
      <c r="RIK2" s="5" t="s">
        <v>409</v>
      </c>
      <c r="RIL2" s="5" t="s">
        <v>409</v>
      </c>
      <c r="RIM2" s="5" t="s">
        <v>409</v>
      </c>
      <c r="RIN2" s="5" t="s">
        <v>409</v>
      </c>
      <c r="RIO2" s="5" t="s">
        <v>409</v>
      </c>
      <c r="RIP2" s="5" t="s">
        <v>409</v>
      </c>
      <c r="RIQ2" s="5" t="s">
        <v>409</v>
      </c>
      <c r="RIR2" s="5" t="s">
        <v>409</v>
      </c>
      <c r="RIS2" s="5" t="s">
        <v>409</v>
      </c>
      <c r="RIT2" s="5" t="s">
        <v>409</v>
      </c>
      <c r="RIU2" s="5" t="s">
        <v>409</v>
      </c>
      <c r="RIV2" s="5" t="s">
        <v>409</v>
      </c>
      <c r="RIW2" s="5" t="s">
        <v>409</v>
      </c>
      <c r="RIX2" s="5" t="s">
        <v>409</v>
      </c>
      <c r="RIY2" s="5" t="s">
        <v>409</v>
      </c>
      <c r="RIZ2" s="5" t="s">
        <v>409</v>
      </c>
      <c r="RJA2" s="5" t="s">
        <v>409</v>
      </c>
      <c r="RJB2" s="5" t="s">
        <v>409</v>
      </c>
      <c r="RJC2" s="5" t="s">
        <v>409</v>
      </c>
      <c r="RJD2" s="5" t="s">
        <v>409</v>
      </c>
      <c r="RJE2" s="5" t="s">
        <v>409</v>
      </c>
      <c r="RJF2" s="5" t="s">
        <v>409</v>
      </c>
      <c r="RJG2" s="5" t="s">
        <v>409</v>
      </c>
      <c r="RJH2" s="5" t="s">
        <v>409</v>
      </c>
      <c r="RJI2" s="5" t="s">
        <v>409</v>
      </c>
      <c r="RJJ2" s="5" t="s">
        <v>409</v>
      </c>
      <c r="RJK2" s="5" t="s">
        <v>409</v>
      </c>
      <c r="RJL2" s="5" t="s">
        <v>409</v>
      </c>
      <c r="RJM2" s="5" t="s">
        <v>409</v>
      </c>
      <c r="RJN2" s="5" t="s">
        <v>409</v>
      </c>
      <c r="RJO2" s="5" t="s">
        <v>409</v>
      </c>
      <c r="RJP2" s="5" t="s">
        <v>409</v>
      </c>
      <c r="RJQ2" s="5" t="s">
        <v>409</v>
      </c>
      <c r="RJR2" s="5" t="s">
        <v>409</v>
      </c>
      <c r="RJS2" s="5" t="s">
        <v>409</v>
      </c>
      <c r="RJT2" s="5" t="s">
        <v>409</v>
      </c>
      <c r="RJU2" s="5" t="s">
        <v>409</v>
      </c>
      <c r="RJV2" s="5" t="s">
        <v>409</v>
      </c>
      <c r="RJW2" s="5" t="s">
        <v>409</v>
      </c>
      <c r="RJX2" s="5" t="s">
        <v>409</v>
      </c>
      <c r="RJY2" s="5" t="s">
        <v>409</v>
      </c>
      <c r="RJZ2" s="5" t="s">
        <v>409</v>
      </c>
      <c r="RKA2" s="5" t="s">
        <v>409</v>
      </c>
      <c r="RKB2" s="5" t="s">
        <v>409</v>
      </c>
      <c r="RKC2" s="5" t="s">
        <v>409</v>
      </c>
      <c r="RKD2" s="5" t="s">
        <v>409</v>
      </c>
      <c r="RKE2" s="5" t="s">
        <v>409</v>
      </c>
      <c r="RKF2" s="5" t="s">
        <v>409</v>
      </c>
      <c r="RKG2" s="5" t="s">
        <v>409</v>
      </c>
      <c r="RKH2" s="5" t="s">
        <v>409</v>
      </c>
      <c r="RKI2" s="5" t="s">
        <v>409</v>
      </c>
      <c r="RKJ2" s="5" t="s">
        <v>409</v>
      </c>
      <c r="RKK2" s="5" t="s">
        <v>409</v>
      </c>
      <c r="RKL2" s="5" t="s">
        <v>409</v>
      </c>
      <c r="RKM2" s="5" t="s">
        <v>409</v>
      </c>
      <c r="RKN2" s="5" t="s">
        <v>409</v>
      </c>
      <c r="RKO2" s="5" t="s">
        <v>409</v>
      </c>
      <c r="RKP2" s="5" t="s">
        <v>409</v>
      </c>
      <c r="RKQ2" s="5" t="s">
        <v>409</v>
      </c>
      <c r="RKR2" s="5" t="s">
        <v>409</v>
      </c>
      <c r="RKS2" s="5" t="s">
        <v>409</v>
      </c>
      <c r="RKT2" s="5" t="s">
        <v>409</v>
      </c>
      <c r="RKU2" s="5" t="s">
        <v>409</v>
      </c>
      <c r="RKV2" s="5" t="s">
        <v>409</v>
      </c>
      <c r="RKW2" s="5" t="s">
        <v>409</v>
      </c>
      <c r="RKX2" s="5" t="s">
        <v>409</v>
      </c>
      <c r="RKY2" s="5" t="s">
        <v>409</v>
      </c>
      <c r="RKZ2" s="5" t="s">
        <v>409</v>
      </c>
      <c r="RLA2" s="5" t="s">
        <v>409</v>
      </c>
      <c r="RLB2" s="5" t="s">
        <v>409</v>
      </c>
      <c r="RLC2" s="5" t="s">
        <v>409</v>
      </c>
      <c r="RLD2" s="5" t="s">
        <v>409</v>
      </c>
      <c r="RLE2" s="5" t="s">
        <v>409</v>
      </c>
      <c r="RLF2" s="5" t="s">
        <v>409</v>
      </c>
      <c r="RLG2" s="5" t="s">
        <v>409</v>
      </c>
      <c r="RLH2" s="5" t="s">
        <v>409</v>
      </c>
      <c r="RLI2" s="5" t="s">
        <v>409</v>
      </c>
      <c r="RLJ2" s="5" t="s">
        <v>409</v>
      </c>
      <c r="RLK2" s="5" t="s">
        <v>409</v>
      </c>
      <c r="RLL2" s="5" t="s">
        <v>409</v>
      </c>
      <c r="RLM2" s="5" t="s">
        <v>409</v>
      </c>
      <c r="RLN2" s="5" t="s">
        <v>409</v>
      </c>
      <c r="RLO2" s="5" t="s">
        <v>409</v>
      </c>
      <c r="RLP2" s="5" t="s">
        <v>409</v>
      </c>
      <c r="RLQ2" s="5" t="s">
        <v>409</v>
      </c>
      <c r="RLR2" s="5" t="s">
        <v>409</v>
      </c>
      <c r="RLS2" s="5" t="s">
        <v>409</v>
      </c>
      <c r="RLT2" s="5" t="s">
        <v>409</v>
      </c>
      <c r="RLU2" s="5" t="s">
        <v>409</v>
      </c>
      <c r="RLV2" s="5" t="s">
        <v>409</v>
      </c>
      <c r="RLW2" s="5" t="s">
        <v>409</v>
      </c>
      <c r="RLX2" s="5" t="s">
        <v>409</v>
      </c>
      <c r="RLY2" s="5" t="s">
        <v>409</v>
      </c>
      <c r="RLZ2" s="5" t="s">
        <v>409</v>
      </c>
      <c r="RMA2" s="5" t="s">
        <v>409</v>
      </c>
      <c r="RMB2" s="5" t="s">
        <v>409</v>
      </c>
      <c r="RMC2" s="5" t="s">
        <v>409</v>
      </c>
      <c r="RMD2" s="5" t="s">
        <v>409</v>
      </c>
      <c r="RME2" s="5" t="s">
        <v>409</v>
      </c>
      <c r="RMF2" s="5" t="s">
        <v>409</v>
      </c>
      <c r="RMG2" s="5" t="s">
        <v>409</v>
      </c>
      <c r="RMH2" s="5" t="s">
        <v>409</v>
      </c>
      <c r="RMI2" s="5" t="s">
        <v>409</v>
      </c>
      <c r="RMJ2" s="5" t="s">
        <v>409</v>
      </c>
      <c r="RMK2" s="5" t="s">
        <v>409</v>
      </c>
      <c r="RML2" s="5" t="s">
        <v>409</v>
      </c>
      <c r="RMM2" s="5" t="s">
        <v>409</v>
      </c>
      <c r="RMN2" s="5" t="s">
        <v>409</v>
      </c>
      <c r="RMO2" s="5" t="s">
        <v>409</v>
      </c>
      <c r="RMP2" s="5" t="s">
        <v>409</v>
      </c>
      <c r="RMQ2" s="5" t="s">
        <v>409</v>
      </c>
      <c r="RMR2" s="5" t="s">
        <v>409</v>
      </c>
      <c r="RMS2" s="5" t="s">
        <v>409</v>
      </c>
      <c r="RMT2" s="5" t="s">
        <v>409</v>
      </c>
      <c r="RMU2" s="5" t="s">
        <v>409</v>
      </c>
      <c r="RMV2" s="5" t="s">
        <v>409</v>
      </c>
      <c r="RMW2" s="5" t="s">
        <v>409</v>
      </c>
      <c r="RMX2" s="5" t="s">
        <v>409</v>
      </c>
      <c r="RMY2" s="5" t="s">
        <v>409</v>
      </c>
      <c r="RMZ2" s="5" t="s">
        <v>409</v>
      </c>
      <c r="RNA2" s="5" t="s">
        <v>409</v>
      </c>
      <c r="RNB2" s="5" t="s">
        <v>409</v>
      </c>
      <c r="RNC2" s="5" t="s">
        <v>409</v>
      </c>
      <c r="RND2" s="5" t="s">
        <v>409</v>
      </c>
      <c r="RNE2" s="5" t="s">
        <v>409</v>
      </c>
      <c r="RNF2" s="5" t="s">
        <v>409</v>
      </c>
      <c r="RNG2" s="5" t="s">
        <v>409</v>
      </c>
      <c r="RNH2" s="5" t="s">
        <v>409</v>
      </c>
      <c r="RNI2" s="5" t="s">
        <v>409</v>
      </c>
      <c r="RNJ2" s="5" t="s">
        <v>409</v>
      </c>
      <c r="RNK2" s="5" t="s">
        <v>409</v>
      </c>
      <c r="RNL2" s="5" t="s">
        <v>409</v>
      </c>
      <c r="RNM2" s="5" t="s">
        <v>409</v>
      </c>
      <c r="RNN2" s="5" t="s">
        <v>409</v>
      </c>
      <c r="RNO2" s="5" t="s">
        <v>409</v>
      </c>
      <c r="RNP2" s="5" t="s">
        <v>409</v>
      </c>
      <c r="RNQ2" s="5" t="s">
        <v>409</v>
      </c>
      <c r="RNR2" s="5" t="s">
        <v>409</v>
      </c>
      <c r="RNS2" s="5" t="s">
        <v>409</v>
      </c>
      <c r="RNT2" s="5" t="s">
        <v>409</v>
      </c>
      <c r="RNU2" s="5" t="s">
        <v>409</v>
      </c>
      <c r="RNV2" s="5" t="s">
        <v>409</v>
      </c>
      <c r="RNW2" s="5" t="s">
        <v>409</v>
      </c>
      <c r="RNX2" s="5" t="s">
        <v>409</v>
      </c>
      <c r="RNY2" s="5" t="s">
        <v>409</v>
      </c>
      <c r="RNZ2" s="5" t="s">
        <v>409</v>
      </c>
      <c r="ROA2" s="5" t="s">
        <v>409</v>
      </c>
      <c r="ROB2" s="5" t="s">
        <v>409</v>
      </c>
      <c r="ROC2" s="5" t="s">
        <v>409</v>
      </c>
      <c r="ROD2" s="5" t="s">
        <v>409</v>
      </c>
      <c r="ROE2" s="5" t="s">
        <v>409</v>
      </c>
      <c r="ROF2" s="5" t="s">
        <v>409</v>
      </c>
      <c r="ROG2" s="5" t="s">
        <v>409</v>
      </c>
      <c r="ROH2" s="5" t="s">
        <v>409</v>
      </c>
      <c r="ROI2" s="5" t="s">
        <v>409</v>
      </c>
      <c r="ROJ2" s="5" t="s">
        <v>409</v>
      </c>
      <c r="ROK2" s="5" t="s">
        <v>409</v>
      </c>
      <c r="ROL2" s="5" t="s">
        <v>409</v>
      </c>
      <c r="ROM2" s="5" t="s">
        <v>409</v>
      </c>
      <c r="RON2" s="5" t="s">
        <v>409</v>
      </c>
      <c r="ROO2" s="5" t="s">
        <v>409</v>
      </c>
      <c r="ROP2" s="5" t="s">
        <v>409</v>
      </c>
      <c r="ROQ2" s="5" t="s">
        <v>409</v>
      </c>
      <c r="ROR2" s="5" t="s">
        <v>409</v>
      </c>
      <c r="ROS2" s="5" t="s">
        <v>409</v>
      </c>
      <c r="ROT2" s="5" t="s">
        <v>409</v>
      </c>
      <c r="ROU2" s="5" t="s">
        <v>409</v>
      </c>
      <c r="ROV2" s="5" t="s">
        <v>409</v>
      </c>
      <c r="ROW2" s="5" t="s">
        <v>409</v>
      </c>
      <c r="ROX2" s="5" t="s">
        <v>409</v>
      </c>
      <c r="ROY2" s="5" t="s">
        <v>409</v>
      </c>
      <c r="ROZ2" s="5" t="s">
        <v>409</v>
      </c>
      <c r="RPA2" s="5" t="s">
        <v>409</v>
      </c>
      <c r="RPB2" s="5" t="s">
        <v>409</v>
      </c>
      <c r="RPC2" s="5" t="s">
        <v>409</v>
      </c>
      <c r="RPD2" s="5" t="s">
        <v>409</v>
      </c>
      <c r="RPE2" s="5" t="s">
        <v>409</v>
      </c>
      <c r="RPF2" s="5" t="s">
        <v>409</v>
      </c>
      <c r="RPG2" s="5" t="s">
        <v>409</v>
      </c>
      <c r="RPH2" s="5" t="s">
        <v>409</v>
      </c>
      <c r="RPI2" s="5" t="s">
        <v>409</v>
      </c>
      <c r="RPJ2" s="5" t="s">
        <v>409</v>
      </c>
      <c r="RPK2" s="5" t="s">
        <v>409</v>
      </c>
      <c r="RPL2" s="5" t="s">
        <v>409</v>
      </c>
      <c r="RPM2" s="5" t="s">
        <v>409</v>
      </c>
      <c r="RPN2" s="5" t="s">
        <v>409</v>
      </c>
      <c r="RPO2" s="5" t="s">
        <v>409</v>
      </c>
      <c r="RPP2" s="5" t="s">
        <v>409</v>
      </c>
      <c r="RPQ2" s="5" t="s">
        <v>409</v>
      </c>
      <c r="RPR2" s="5" t="s">
        <v>409</v>
      </c>
      <c r="RPS2" s="5" t="s">
        <v>409</v>
      </c>
      <c r="RPT2" s="5" t="s">
        <v>409</v>
      </c>
      <c r="RPU2" s="5" t="s">
        <v>409</v>
      </c>
      <c r="RPV2" s="5" t="s">
        <v>409</v>
      </c>
      <c r="RPW2" s="5" t="s">
        <v>409</v>
      </c>
      <c r="RPX2" s="5" t="s">
        <v>409</v>
      </c>
      <c r="RPY2" s="5" t="s">
        <v>409</v>
      </c>
      <c r="RPZ2" s="5" t="s">
        <v>409</v>
      </c>
      <c r="RQA2" s="5" t="s">
        <v>409</v>
      </c>
      <c r="RQB2" s="5" t="s">
        <v>409</v>
      </c>
      <c r="RQC2" s="5" t="s">
        <v>409</v>
      </c>
      <c r="RQD2" s="5" t="s">
        <v>409</v>
      </c>
      <c r="RQE2" s="5" t="s">
        <v>409</v>
      </c>
      <c r="RQF2" s="5" t="s">
        <v>409</v>
      </c>
      <c r="RQG2" s="5" t="s">
        <v>409</v>
      </c>
      <c r="RQH2" s="5" t="s">
        <v>409</v>
      </c>
      <c r="RQI2" s="5" t="s">
        <v>409</v>
      </c>
      <c r="RQJ2" s="5" t="s">
        <v>409</v>
      </c>
      <c r="RQK2" s="5" t="s">
        <v>409</v>
      </c>
      <c r="RQL2" s="5" t="s">
        <v>409</v>
      </c>
      <c r="RQM2" s="5" t="s">
        <v>409</v>
      </c>
      <c r="RQN2" s="5" t="s">
        <v>409</v>
      </c>
      <c r="RQO2" s="5" t="s">
        <v>409</v>
      </c>
      <c r="RQP2" s="5" t="s">
        <v>409</v>
      </c>
      <c r="RQQ2" s="5" t="s">
        <v>409</v>
      </c>
      <c r="RQR2" s="5" t="s">
        <v>409</v>
      </c>
      <c r="RQS2" s="5" t="s">
        <v>409</v>
      </c>
      <c r="RQT2" s="5" t="s">
        <v>409</v>
      </c>
      <c r="RQU2" s="5" t="s">
        <v>409</v>
      </c>
      <c r="RQV2" s="5" t="s">
        <v>409</v>
      </c>
      <c r="RQW2" s="5" t="s">
        <v>409</v>
      </c>
      <c r="RQX2" s="5" t="s">
        <v>409</v>
      </c>
      <c r="RQY2" s="5" t="s">
        <v>409</v>
      </c>
      <c r="RQZ2" s="5" t="s">
        <v>409</v>
      </c>
      <c r="RRA2" s="5" t="s">
        <v>409</v>
      </c>
      <c r="RRB2" s="5" t="s">
        <v>409</v>
      </c>
      <c r="RRC2" s="5" t="s">
        <v>409</v>
      </c>
      <c r="RRD2" s="5" t="s">
        <v>409</v>
      </c>
      <c r="RRE2" s="5" t="s">
        <v>409</v>
      </c>
      <c r="RRF2" s="5" t="s">
        <v>409</v>
      </c>
      <c r="RRG2" s="5" t="s">
        <v>409</v>
      </c>
      <c r="RRH2" s="5" t="s">
        <v>409</v>
      </c>
      <c r="RRI2" s="5" t="s">
        <v>409</v>
      </c>
      <c r="RRJ2" s="5" t="s">
        <v>409</v>
      </c>
      <c r="RRK2" s="5" t="s">
        <v>409</v>
      </c>
      <c r="RRL2" s="5" t="s">
        <v>409</v>
      </c>
      <c r="RRM2" s="5" t="s">
        <v>409</v>
      </c>
      <c r="RRN2" s="5" t="s">
        <v>409</v>
      </c>
      <c r="RRO2" s="5" t="s">
        <v>409</v>
      </c>
      <c r="RRP2" s="5" t="s">
        <v>409</v>
      </c>
      <c r="RRQ2" s="5" t="s">
        <v>409</v>
      </c>
      <c r="RRR2" s="5" t="s">
        <v>409</v>
      </c>
      <c r="RRS2" s="5" t="s">
        <v>409</v>
      </c>
      <c r="RRT2" s="5" t="s">
        <v>409</v>
      </c>
      <c r="RRU2" s="5" t="s">
        <v>409</v>
      </c>
      <c r="RRV2" s="5" t="s">
        <v>409</v>
      </c>
      <c r="RRW2" s="5" t="s">
        <v>409</v>
      </c>
      <c r="RRX2" s="5" t="s">
        <v>409</v>
      </c>
      <c r="RRY2" s="5" t="s">
        <v>409</v>
      </c>
      <c r="RRZ2" s="5" t="s">
        <v>409</v>
      </c>
      <c r="RSA2" s="5" t="s">
        <v>409</v>
      </c>
      <c r="RSB2" s="5" t="s">
        <v>409</v>
      </c>
      <c r="RSC2" s="5" t="s">
        <v>409</v>
      </c>
      <c r="RSD2" s="5" t="s">
        <v>409</v>
      </c>
      <c r="RSE2" s="5" t="s">
        <v>409</v>
      </c>
      <c r="RSF2" s="5" t="s">
        <v>409</v>
      </c>
      <c r="RSG2" s="5" t="s">
        <v>409</v>
      </c>
      <c r="RSH2" s="5" t="s">
        <v>409</v>
      </c>
      <c r="RSI2" s="5" t="s">
        <v>409</v>
      </c>
      <c r="RSJ2" s="5" t="s">
        <v>409</v>
      </c>
      <c r="RSK2" s="5" t="s">
        <v>409</v>
      </c>
      <c r="RSL2" s="5" t="s">
        <v>409</v>
      </c>
      <c r="RSM2" s="5" t="s">
        <v>409</v>
      </c>
      <c r="RSN2" s="5" t="s">
        <v>409</v>
      </c>
      <c r="RSO2" s="5" t="s">
        <v>409</v>
      </c>
      <c r="RSP2" s="5" t="s">
        <v>409</v>
      </c>
      <c r="RSQ2" s="5" t="s">
        <v>409</v>
      </c>
      <c r="RSR2" s="5" t="s">
        <v>409</v>
      </c>
      <c r="RSS2" s="5" t="s">
        <v>409</v>
      </c>
      <c r="RST2" s="5" t="s">
        <v>409</v>
      </c>
      <c r="RSU2" s="5" t="s">
        <v>409</v>
      </c>
      <c r="RSV2" s="5" t="s">
        <v>409</v>
      </c>
      <c r="RSW2" s="5" t="s">
        <v>409</v>
      </c>
      <c r="RSX2" s="5" t="s">
        <v>409</v>
      </c>
      <c r="RSY2" s="5" t="s">
        <v>409</v>
      </c>
      <c r="RSZ2" s="5" t="s">
        <v>409</v>
      </c>
      <c r="RTA2" s="5" t="s">
        <v>409</v>
      </c>
      <c r="RTB2" s="5" t="s">
        <v>409</v>
      </c>
      <c r="RTC2" s="5" t="s">
        <v>409</v>
      </c>
      <c r="RTD2" s="5" t="s">
        <v>409</v>
      </c>
      <c r="RTE2" s="5" t="s">
        <v>409</v>
      </c>
      <c r="RTF2" s="5" t="s">
        <v>409</v>
      </c>
      <c r="RTG2" s="5" t="s">
        <v>409</v>
      </c>
      <c r="RTH2" s="5" t="s">
        <v>409</v>
      </c>
      <c r="RTI2" s="5" t="s">
        <v>409</v>
      </c>
      <c r="RTJ2" s="5" t="s">
        <v>409</v>
      </c>
      <c r="RTK2" s="5" t="s">
        <v>409</v>
      </c>
      <c r="RTL2" s="5" t="s">
        <v>409</v>
      </c>
      <c r="RTM2" s="5" t="s">
        <v>409</v>
      </c>
      <c r="RTN2" s="5" t="s">
        <v>409</v>
      </c>
      <c r="RTO2" s="5" t="s">
        <v>409</v>
      </c>
      <c r="RTP2" s="5" t="s">
        <v>409</v>
      </c>
      <c r="RTQ2" s="5" t="s">
        <v>409</v>
      </c>
      <c r="RTR2" s="5" t="s">
        <v>409</v>
      </c>
      <c r="RTS2" s="5" t="s">
        <v>409</v>
      </c>
      <c r="RTT2" s="5" t="s">
        <v>409</v>
      </c>
      <c r="RTU2" s="5" t="s">
        <v>409</v>
      </c>
      <c r="RTV2" s="5" t="s">
        <v>409</v>
      </c>
      <c r="RTW2" s="5" t="s">
        <v>409</v>
      </c>
      <c r="RTX2" s="5" t="s">
        <v>409</v>
      </c>
      <c r="RTY2" s="5" t="s">
        <v>409</v>
      </c>
      <c r="RTZ2" s="5" t="s">
        <v>409</v>
      </c>
      <c r="RUA2" s="5" t="s">
        <v>409</v>
      </c>
      <c r="RUB2" s="5" t="s">
        <v>409</v>
      </c>
      <c r="RUC2" s="5" t="s">
        <v>409</v>
      </c>
      <c r="RUD2" s="5" t="s">
        <v>409</v>
      </c>
      <c r="RUE2" s="5" t="s">
        <v>409</v>
      </c>
      <c r="RUF2" s="5" t="s">
        <v>409</v>
      </c>
      <c r="RUG2" s="5" t="s">
        <v>409</v>
      </c>
      <c r="RUH2" s="5" t="s">
        <v>409</v>
      </c>
      <c r="RUI2" s="5" t="s">
        <v>409</v>
      </c>
      <c r="RUJ2" s="5" t="s">
        <v>409</v>
      </c>
      <c r="RUK2" s="5" t="s">
        <v>409</v>
      </c>
      <c r="RUL2" s="5" t="s">
        <v>409</v>
      </c>
      <c r="RUM2" s="5" t="s">
        <v>409</v>
      </c>
      <c r="RUN2" s="5" t="s">
        <v>409</v>
      </c>
      <c r="RUO2" s="5" t="s">
        <v>409</v>
      </c>
      <c r="RUP2" s="5" t="s">
        <v>409</v>
      </c>
      <c r="RUQ2" s="5" t="s">
        <v>409</v>
      </c>
      <c r="RUR2" s="5" t="s">
        <v>409</v>
      </c>
      <c r="RUS2" s="5" t="s">
        <v>409</v>
      </c>
      <c r="RUT2" s="5" t="s">
        <v>409</v>
      </c>
      <c r="RUU2" s="5" t="s">
        <v>409</v>
      </c>
      <c r="RUV2" s="5" t="s">
        <v>409</v>
      </c>
      <c r="RUW2" s="5" t="s">
        <v>409</v>
      </c>
      <c r="RUX2" s="5" t="s">
        <v>409</v>
      </c>
      <c r="RUY2" s="5" t="s">
        <v>409</v>
      </c>
      <c r="RUZ2" s="5" t="s">
        <v>409</v>
      </c>
      <c r="RVA2" s="5" t="s">
        <v>409</v>
      </c>
      <c r="RVB2" s="5" t="s">
        <v>409</v>
      </c>
      <c r="RVC2" s="5" t="s">
        <v>409</v>
      </c>
      <c r="RVD2" s="5" t="s">
        <v>409</v>
      </c>
      <c r="RVE2" s="5" t="s">
        <v>409</v>
      </c>
      <c r="RVF2" s="5" t="s">
        <v>409</v>
      </c>
      <c r="RVG2" s="5" t="s">
        <v>409</v>
      </c>
      <c r="RVH2" s="5" t="s">
        <v>409</v>
      </c>
      <c r="RVI2" s="5" t="s">
        <v>409</v>
      </c>
      <c r="RVJ2" s="5" t="s">
        <v>409</v>
      </c>
      <c r="RVK2" s="5" t="s">
        <v>409</v>
      </c>
      <c r="RVL2" s="5" t="s">
        <v>409</v>
      </c>
      <c r="RVM2" s="5" t="s">
        <v>409</v>
      </c>
      <c r="RVN2" s="5" t="s">
        <v>409</v>
      </c>
      <c r="RVO2" s="5" t="s">
        <v>409</v>
      </c>
      <c r="RVP2" s="5" t="s">
        <v>409</v>
      </c>
      <c r="RVQ2" s="5" t="s">
        <v>409</v>
      </c>
      <c r="RVR2" s="5" t="s">
        <v>409</v>
      </c>
      <c r="RVS2" s="5" t="s">
        <v>409</v>
      </c>
      <c r="RVT2" s="5" t="s">
        <v>409</v>
      </c>
      <c r="RVU2" s="5" t="s">
        <v>409</v>
      </c>
      <c r="RVV2" s="5" t="s">
        <v>409</v>
      </c>
      <c r="RVW2" s="5" t="s">
        <v>409</v>
      </c>
      <c r="RVX2" s="5" t="s">
        <v>409</v>
      </c>
      <c r="RVY2" s="5" t="s">
        <v>409</v>
      </c>
      <c r="RVZ2" s="5" t="s">
        <v>409</v>
      </c>
      <c r="RWA2" s="5" t="s">
        <v>409</v>
      </c>
      <c r="RWB2" s="5" t="s">
        <v>409</v>
      </c>
      <c r="RWC2" s="5" t="s">
        <v>409</v>
      </c>
      <c r="RWD2" s="5" t="s">
        <v>409</v>
      </c>
      <c r="RWE2" s="5" t="s">
        <v>409</v>
      </c>
      <c r="RWF2" s="5" t="s">
        <v>409</v>
      </c>
      <c r="RWG2" s="5" t="s">
        <v>409</v>
      </c>
      <c r="RWH2" s="5" t="s">
        <v>409</v>
      </c>
      <c r="RWI2" s="5" t="s">
        <v>409</v>
      </c>
      <c r="RWJ2" s="5" t="s">
        <v>409</v>
      </c>
      <c r="RWK2" s="5" t="s">
        <v>409</v>
      </c>
      <c r="RWL2" s="5" t="s">
        <v>409</v>
      </c>
      <c r="RWM2" s="5" t="s">
        <v>409</v>
      </c>
      <c r="RWN2" s="5" t="s">
        <v>409</v>
      </c>
      <c r="RWO2" s="5" t="s">
        <v>409</v>
      </c>
      <c r="RWP2" s="5" t="s">
        <v>409</v>
      </c>
      <c r="RWQ2" s="5" t="s">
        <v>409</v>
      </c>
      <c r="RWR2" s="5" t="s">
        <v>409</v>
      </c>
      <c r="RWS2" s="5" t="s">
        <v>409</v>
      </c>
      <c r="RWT2" s="5" t="s">
        <v>409</v>
      </c>
      <c r="RWU2" s="5" t="s">
        <v>409</v>
      </c>
      <c r="RWV2" s="5" t="s">
        <v>409</v>
      </c>
      <c r="RWW2" s="5" t="s">
        <v>409</v>
      </c>
      <c r="RWX2" s="5" t="s">
        <v>409</v>
      </c>
      <c r="RWY2" s="5" t="s">
        <v>409</v>
      </c>
      <c r="RWZ2" s="5" t="s">
        <v>409</v>
      </c>
      <c r="RXA2" s="5" t="s">
        <v>409</v>
      </c>
      <c r="RXB2" s="5" t="s">
        <v>409</v>
      </c>
      <c r="RXC2" s="5" t="s">
        <v>409</v>
      </c>
      <c r="RXD2" s="5" t="s">
        <v>409</v>
      </c>
      <c r="RXE2" s="5" t="s">
        <v>409</v>
      </c>
      <c r="RXF2" s="5" t="s">
        <v>409</v>
      </c>
      <c r="RXG2" s="5" t="s">
        <v>409</v>
      </c>
      <c r="RXH2" s="5" t="s">
        <v>409</v>
      </c>
      <c r="RXI2" s="5" t="s">
        <v>409</v>
      </c>
      <c r="RXJ2" s="5" t="s">
        <v>409</v>
      </c>
      <c r="RXK2" s="5" t="s">
        <v>409</v>
      </c>
      <c r="RXL2" s="5" t="s">
        <v>409</v>
      </c>
      <c r="RXM2" s="5" t="s">
        <v>409</v>
      </c>
      <c r="RXN2" s="5" t="s">
        <v>409</v>
      </c>
      <c r="RXO2" s="5" t="s">
        <v>409</v>
      </c>
      <c r="RXP2" s="5" t="s">
        <v>409</v>
      </c>
      <c r="RXQ2" s="5" t="s">
        <v>409</v>
      </c>
      <c r="RXR2" s="5" t="s">
        <v>409</v>
      </c>
      <c r="RXS2" s="5" t="s">
        <v>409</v>
      </c>
      <c r="RXT2" s="5" t="s">
        <v>409</v>
      </c>
      <c r="RXU2" s="5" t="s">
        <v>409</v>
      </c>
      <c r="RXV2" s="5" t="s">
        <v>409</v>
      </c>
      <c r="RXW2" s="5" t="s">
        <v>409</v>
      </c>
      <c r="RXX2" s="5" t="s">
        <v>409</v>
      </c>
      <c r="RXY2" s="5" t="s">
        <v>409</v>
      </c>
      <c r="RXZ2" s="5" t="s">
        <v>409</v>
      </c>
      <c r="RYA2" s="5" t="s">
        <v>409</v>
      </c>
      <c r="RYB2" s="5" t="s">
        <v>409</v>
      </c>
      <c r="RYC2" s="5" t="s">
        <v>409</v>
      </c>
      <c r="RYD2" s="5" t="s">
        <v>409</v>
      </c>
      <c r="RYE2" s="5" t="s">
        <v>409</v>
      </c>
      <c r="RYF2" s="5" t="s">
        <v>409</v>
      </c>
      <c r="RYG2" s="5" t="s">
        <v>409</v>
      </c>
      <c r="RYH2" s="5" t="s">
        <v>409</v>
      </c>
      <c r="RYI2" s="5" t="s">
        <v>409</v>
      </c>
      <c r="RYJ2" s="5" t="s">
        <v>409</v>
      </c>
      <c r="RYK2" s="5" t="s">
        <v>409</v>
      </c>
      <c r="RYL2" s="5" t="s">
        <v>409</v>
      </c>
      <c r="RYM2" s="5" t="s">
        <v>409</v>
      </c>
      <c r="RYN2" s="5" t="s">
        <v>409</v>
      </c>
      <c r="RYO2" s="5" t="s">
        <v>409</v>
      </c>
      <c r="RYP2" s="5" t="s">
        <v>409</v>
      </c>
      <c r="RYQ2" s="5" t="s">
        <v>409</v>
      </c>
      <c r="RYR2" s="5" t="s">
        <v>409</v>
      </c>
      <c r="RYS2" s="5" t="s">
        <v>409</v>
      </c>
      <c r="RYT2" s="5" t="s">
        <v>409</v>
      </c>
      <c r="RYU2" s="5" t="s">
        <v>409</v>
      </c>
      <c r="RYV2" s="5" t="s">
        <v>409</v>
      </c>
      <c r="RYW2" s="5" t="s">
        <v>409</v>
      </c>
      <c r="RYX2" s="5" t="s">
        <v>409</v>
      </c>
      <c r="RYY2" s="5" t="s">
        <v>409</v>
      </c>
      <c r="RYZ2" s="5" t="s">
        <v>409</v>
      </c>
      <c r="RZA2" s="5" t="s">
        <v>409</v>
      </c>
      <c r="RZB2" s="5" t="s">
        <v>409</v>
      </c>
      <c r="RZC2" s="5" t="s">
        <v>409</v>
      </c>
      <c r="RZD2" s="5" t="s">
        <v>409</v>
      </c>
      <c r="RZE2" s="5" t="s">
        <v>409</v>
      </c>
      <c r="RZF2" s="5" t="s">
        <v>409</v>
      </c>
      <c r="RZG2" s="5" t="s">
        <v>409</v>
      </c>
      <c r="RZH2" s="5" t="s">
        <v>409</v>
      </c>
      <c r="RZI2" s="5" t="s">
        <v>409</v>
      </c>
      <c r="RZJ2" s="5" t="s">
        <v>409</v>
      </c>
      <c r="RZK2" s="5" t="s">
        <v>409</v>
      </c>
      <c r="RZL2" s="5" t="s">
        <v>409</v>
      </c>
      <c r="RZM2" s="5" t="s">
        <v>409</v>
      </c>
      <c r="RZN2" s="5" t="s">
        <v>409</v>
      </c>
      <c r="RZO2" s="5" t="s">
        <v>409</v>
      </c>
      <c r="RZP2" s="5" t="s">
        <v>409</v>
      </c>
      <c r="RZQ2" s="5" t="s">
        <v>409</v>
      </c>
      <c r="RZR2" s="5" t="s">
        <v>409</v>
      </c>
      <c r="RZS2" s="5" t="s">
        <v>409</v>
      </c>
      <c r="RZT2" s="5" t="s">
        <v>409</v>
      </c>
      <c r="RZU2" s="5" t="s">
        <v>409</v>
      </c>
      <c r="RZV2" s="5" t="s">
        <v>409</v>
      </c>
      <c r="RZW2" s="5" t="s">
        <v>409</v>
      </c>
      <c r="RZX2" s="5" t="s">
        <v>409</v>
      </c>
      <c r="RZY2" s="5" t="s">
        <v>409</v>
      </c>
      <c r="RZZ2" s="5" t="s">
        <v>409</v>
      </c>
      <c r="SAA2" s="5" t="s">
        <v>409</v>
      </c>
      <c r="SAB2" s="5" t="s">
        <v>409</v>
      </c>
      <c r="SAC2" s="5" t="s">
        <v>409</v>
      </c>
      <c r="SAD2" s="5" t="s">
        <v>409</v>
      </c>
      <c r="SAE2" s="5" t="s">
        <v>409</v>
      </c>
      <c r="SAF2" s="5" t="s">
        <v>409</v>
      </c>
      <c r="SAG2" s="5" t="s">
        <v>409</v>
      </c>
      <c r="SAH2" s="5" t="s">
        <v>409</v>
      </c>
      <c r="SAI2" s="5" t="s">
        <v>409</v>
      </c>
      <c r="SAJ2" s="5" t="s">
        <v>409</v>
      </c>
      <c r="SAK2" s="5" t="s">
        <v>409</v>
      </c>
      <c r="SAL2" s="5" t="s">
        <v>409</v>
      </c>
      <c r="SAM2" s="5" t="s">
        <v>409</v>
      </c>
      <c r="SAN2" s="5" t="s">
        <v>409</v>
      </c>
      <c r="SAO2" s="5" t="s">
        <v>409</v>
      </c>
      <c r="SAP2" s="5" t="s">
        <v>409</v>
      </c>
      <c r="SAQ2" s="5" t="s">
        <v>409</v>
      </c>
      <c r="SAR2" s="5" t="s">
        <v>409</v>
      </c>
      <c r="SAS2" s="5" t="s">
        <v>409</v>
      </c>
      <c r="SAT2" s="5" t="s">
        <v>409</v>
      </c>
      <c r="SAU2" s="5" t="s">
        <v>409</v>
      </c>
      <c r="SAV2" s="5" t="s">
        <v>409</v>
      </c>
      <c r="SAW2" s="5" t="s">
        <v>409</v>
      </c>
      <c r="SAX2" s="5" t="s">
        <v>409</v>
      </c>
      <c r="SAY2" s="5" t="s">
        <v>409</v>
      </c>
      <c r="SAZ2" s="5" t="s">
        <v>409</v>
      </c>
      <c r="SBA2" s="5" t="s">
        <v>409</v>
      </c>
      <c r="SBB2" s="5" t="s">
        <v>409</v>
      </c>
      <c r="SBC2" s="5" t="s">
        <v>409</v>
      </c>
      <c r="SBD2" s="5" t="s">
        <v>409</v>
      </c>
      <c r="SBE2" s="5" t="s">
        <v>409</v>
      </c>
      <c r="SBF2" s="5" t="s">
        <v>409</v>
      </c>
      <c r="SBG2" s="5" t="s">
        <v>409</v>
      </c>
      <c r="SBH2" s="5" t="s">
        <v>409</v>
      </c>
      <c r="SBI2" s="5" t="s">
        <v>409</v>
      </c>
      <c r="SBJ2" s="5" t="s">
        <v>409</v>
      </c>
      <c r="SBK2" s="5" t="s">
        <v>409</v>
      </c>
      <c r="SBL2" s="5" t="s">
        <v>409</v>
      </c>
      <c r="SBM2" s="5" t="s">
        <v>409</v>
      </c>
      <c r="SBN2" s="5" t="s">
        <v>409</v>
      </c>
      <c r="SBO2" s="5" t="s">
        <v>409</v>
      </c>
      <c r="SBP2" s="5" t="s">
        <v>409</v>
      </c>
      <c r="SBQ2" s="5" t="s">
        <v>409</v>
      </c>
      <c r="SBR2" s="5" t="s">
        <v>409</v>
      </c>
      <c r="SBS2" s="5" t="s">
        <v>409</v>
      </c>
      <c r="SBT2" s="5" t="s">
        <v>409</v>
      </c>
      <c r="SBU2" s="5" t="s">
        <v>409</v>
      </c>
      <c r="SBV2" s="5" t="s">
        <v>409</v>
      </c>
      <c r="SBW2" s="5" t="s">
        <v>409</v>
      </c>
      <c r="SBX2" s="5" t="s">
        <v>409</v>
      </c>
      <c r="SBY2" s="5" t="s">
        <v>409</v>
      </c>
      <c r="SBZ2" s="5" t="s">
        <v>409</v>
      </c>
      <c r="SCA2" s="5" t="s">
        <v>409</v>
      </c>
      <c r="SCB2" s="5" t="s">
        <v>409</v>
      </c>
      <c r="SCC2" s="5" t="s">
        <v>409</v>
      </c>
      <c r="SCD2" s="5" t="s">
        <v>409</v>
      </c>
      <c r="SCE2" s="5" t="s">
        <v>409</v>
      </c>
      <c r="SCF2" s="5" t="s">
        <v>409</v>
      </c>
      <c r="SCG2" s="5" t="s">
        <v>409</v>
      </c>
      <c r="SCH2" s="5" t="s">
        <v>409</v>
      </c>
      <c r="SCI2" s="5" t="s">
        <v>409</v>
      </c>
      <c r="SCJ2" s="5" t="s">
        <v>409</v>
      </c>
      <c r="SCK2" s="5" t="s">
        <v>409</v>
      </c>
      <c r="SCL2" s="5" t="s">
        <v>409</v>
      </c>
      <c r="SCM2" s="5" t="s">
        <v>409</v>
      </c>
      <c r="SCN2" s="5" t="s">
        <v>409</v>
      </c>
      <c r="SCO2" s="5" t="s">
        <v>409</v>
      </c>
      <c r="SCP2" s="5" t="s">
        <v>409</v>
      </c>
      <c r="SCQ2" s="5" t="s">
        <v>409</v>
      </c>
      <c r="SCR2" s="5" t="s">
        <v>409</v>
      </c>
      <c r="SCS2" s="5" t="s">
        <v>409</v>
      </c>
      <c r="SCT2" s="5" t="s">
        <v>409</v>
      </c>
      <c r="SCU2" s="5" t="s">
        <v>409</v>
      </c>
      <c r="SCV2" s="5" t="s">
        <v>409</v>
      </c>
      <c r="SCW2" s="5" t="s">
        <v>409</v>
      </c>
      <c r="SCX2" s="5" t="s">
        <v>409</v>
      </c>
      <c r="SCY2" s="5" t="s">
        <v>409</v>
      </c>
      <c r="SCZ2" s="5" t="s">
        <v>409</v>
      </c>
      <c r="SDA2" s="5" t="s">
        <v>409</v>
      </c>
      <c r="SDB2" s="5" t="s">
        <v>409</v>
      </c>
      <c r="SDC2" s="5" t="s">
        <v>409</v>
      </c>
      <c r="SDD2" s="5" t="s">
        <v>409</v>
      </c>
      <c r="SDE2" s="5" t="s">
        <v>409</v>
      </c>
      <c r="SDF2" s="5" t="s">
        <v>409</v>
      </c>
      <c r="SDG2" s="5" t="s">
        <v>409</v>
      </c>
      <c r="SDH2" s="5" t="s">
        <v>409</v>
      </c>
      <c r="SDI2" s="5" t="s">
        <v>409</v>
      </c>
      <c r="SDJ2" s="5" t="s">
        <v>409</v>
      </c>
      <c r="SDK2" s="5" t="s">
        <v>409</v>
      </c>
      <c r="SDL2" s="5" t="s">
        <v>409</v>
      </c>
      <c r="SDM2" s="5" t="s">
        <v>409</v>
      </c>
      <c r="SDN2" s="5" t="s">
        <v>409</v>
      </c>
      <c r="SDO2" s="5" t="s">
        <v>409</v>
      </c>
      <c r="SDP2" s="5" t="s">
        <v>409</v>
      </c>
      <c r="SDQ2" s="5" t="s">
        <v>409</v>
      </c>
      <c r="SDR2" s="5" t="s">
        <v>409</v>
      </c>
      <c r="SDS2" s="5" t="s">
        <v>409</v>
      </c>
      <c r="SDT2" s="5" t="s">
        <v>409</v>
      </c>
      <c r="SDU2" s="5" t="s">
        <v>409</v>
      </c>
      <c r="SDV2" s="5" t="s">
        <v>409</v>
      </c>
      <c r="SDW2" s="5" t="s">
        <v>409</v>
      </c>
      <c r="SDX2" s="5" t="s">
        <v>409</v>
      </c>
      <c r="SDY2" s="5" t="s">
        <v>409</v>
      </c>
      <c r="SDZ2" s="5" t="s">
        <v>409</v>
      </c>
      <c r="SEA2" s="5" t="s">
        <v>409</v>
      </c>
      <c r="SEB2" s="5" t="s">
        <v>409</v>
      </c>
      <c r="SEC2" s="5" t="s">
        <v>409</v>
      </c>
      <c r="SED2" s="5" t="s">
        <v>409</v>
      </c>
      <c r="SEE2" s="5" t="s">
        <v>409</v>
      </c>
      <c r="SEF2" s="5" t="s">
        <v>409</v>
      </c>
      <c r="SEG2" s="5" t="s">
        <v>409</v>
      </c>
      <c r="SEH2" s="5" t="s">
        <v>409</v>
      </c>
      <c r="SEI2" s="5" t="s">
        <v>409</v>
      </c>
      <c r="SEJ2" s="5" t="s">
        <v>409</v>
      </c>
      <c r="SEK2" s="5" t="s">
        <v>409</v>
      </c>
      <c r="SEL2" s="5" t="s">
        <v>409</v>
      </c>
      <c r="SEM2" s="5" t="s">
        <v>409</v>
      </c>
      <c r="SEN2" s="5" t="s">
        <v>409</v>
      </c>
      <c r="SEO2" s="5" t="s">
        <v>409</v>
      </c>
      <c r="SEP2" s="5" t="s">
        <v>409</v>
      </c>
      <c r="SEQ2" s="5" t="s">
        <v>409</v>
      </c>
      <c r="SER2" s="5" t="s">
        <v>409</v>
      </c>
      <c r="SES2" s="5" t="s">
        <v>409</v>
      </c>
      <c r="SET2" s="5" t="s">
        <v>409</v>
      </c>
      <c r="SEU2" s="5" t="s">
        <v>409</v>
      </c>
      <c r="SEV2" s="5" t="s">
        <v>409</v>
      </c>
      <c r="SEW2" s="5" t="s">
        <v>409</v>
      </c>
      <c r="SEX2" s="5" t="s">
        <v>409</v>
      </c>
      <c r="SEY2" s="5" t="s">
        <v>409</v>
      </c>
      <c r="SEZ2" s="5" t="s">
        <v>409</v>
      </c>
      <c r="SFA2" s="5" t="s">
        <v>409</v>
      </c>
      <c r="SFB2" s="5" t="s">
        <v>409</v>
      </c>
      <c r="SFC2" s="5" t="s">
        <v>409</v>
      </c>
      <c r="SFD2" s="5" t="s">
        <v>409</v>
      </c>
      <c r="SFE2" s="5" t="s">
        <v>409</v>
      </c>
      <c r="SFF2" s="5" t="s">
        <v>409</v>
      </c>
      <c r="SFG2" s="5" t="s">
        <v>409</v>
      </c>
      <c r="SFH2" s="5" t="s">
        <v>409</v>
      </c>
      <c r="SFI2" s="5" t="s">
        <v>409</v>
      </c>
      <c r="SFJ2" s="5" t="s">
        <v>409</v>
      </c>
      <c r="SFK2" s="5" t="s">
        <v>409</v>
      </c>
      <c r="SFL2" s="5" t="s">
        <v>409</v>
      </c>
      <c r="SFM2" s="5" t="s">
        <v>409</v>
      </c>
      <c r="SFN2" s="5" t="s">
        <v>409</v>
      </c>
      <c r="SFO2" s="5" t="s">
        <v>409</v>
      </c>
      <c r="SFP2" s="5" t="s">
        <v>409</v>
      </c>
      <c r="SFQ2" s="5" t="s">
        <v>409</v>
      </c>
      <c r="SFR2" s="5" t="s">
        <v>409</v>
      </c>
      <c r="SFS2" s="5" t="s">
        <v>409</v>
      </c>
      <c r="SFT2" s="5" t="s">
        <v>409</v>
      </c>
      <c r="SFU2" s="5" t="s">
        <v>409</v>
      </c>
      <c r="SFV2" s="5" t="s">
        <v>409</v>
      </c>
      <c r="SFW2" s="5" t="s">
        <v>409</v>
      </c>
      <c r="SFX2" s="5" t="s">
        <v>409</v>
      </c>
      <c r="SFY2" s="5" t="s">
        <v>409</v>
      </c>
      <c r="SFZ2" s="5" t="s">
        <v>409</v>
      </c>
      <c r="SGA2" s="5" t="s">
        <v>409</v>
      </c>
      <c r="SGB2" s="5" t="s">
        <v>409</v>
      </c>
      <c r="SGC2" s="5" t="s">
        <v>409</v>
      </c>
      <c r="SGD2" s="5" t="s">
        <v>409</v>
      </c>
      <c r="SGE2" s="5" t="s">
        <v>409</v>
      </c>
      <c r="SGF2" s="5" t="s">
        <v>409</v>
      </c>
      <c r="SGG2" s="5" t="s">
        <v>409</v>
      </c>
      <c r="SGH2" s="5" t="s">
        <v>409</v>
      </c>
      <c r="SGI2" s="5" t="s">
        <v>409</v>
      </c>
      <c r="SGJ2" s="5" t="s">
        <v>409</v>
      </c>
      <c r="SGK2" s="5" t="s">
        <v>409</v>
      </c>
      <c r="SGL2" s="5" t="s">
        <v>409</v>
      </c>
      <c r="SGM2" s="5" t="s">
        <v>409</v>
      </c>
      <c r="SGN2" s="5" t="s">
        <v>409</v>
      </c>
      <c r="SGO2" s="5" t="s">
        <v>409</v>
      </c>
      <c r="SGP2" s="5" t="s">
        <v>409</v>
      </c>
      <c r="SGQ2" s="5" t="s">
        <v>409</v>
      </c>
      <c r="SGR2" s="5" t="s">
        <v>409</v>
      </c>
      <c r="SGS2" s="5" t="s">
        <v>409</v>
      </c>
      <c r="SGT2" s="5" t="s">
        <v>409</v>
      </c>
      <c r="SGU2" s="5" t="s">
        <v>409</v>
      </c>
      <c r="SGV2" s="5" t="s">
        <v>409</v>
      </c>
      <c r="SGW2" s="5" t="s">
        <v>409</v>
      </c>
      <c r="SGX2" s="5" t="s">
        <v>409</v>
      </c>
      <c r="SGY2" s="5" t="s">
        <v>409</v>
      </c>
      <c r="SGZ2" s="5" t="s">
        <v>409</v>
      </c>
      <c r="SHA2" s="5" t="s">
        <v>409</v>
      </c>
      <c r="SHB2" s="5" t="s">
        <v>409</v>
      </c>
      <c r="SHC2" s="5" t="s">
        <v>409</v>
      </c>
      <c r="SHD2" s="5" t="s">
        <v>409</v>
      </c>
      <c r="SHE2" s="5" t="s">
        <v>409</v>
      </c>
      <c r="SHF2" s="5" t="s">
        <v>409</v>
      </c>
      <c r="SHG2" s="5" t="s">
        <v>409</v>
      </c>
      <c r="SHH2" s="5" t="s">
        <v>409</v>
      </c>
      <c r="SHI2" s="5" t="s">
        <v>409</v>
      </c>
      <c r="SHJ2" s="5" t="s">
        <v>409</v>
      </c>
      <c r="SHK2" s="5" t="s">
        <v>409</v>
      </c>
      <c r="SHL2" s="5" t="s">
        <v>409</v>
      </c>
      <c r="SHM2" s="5" t="s">
        <v>409</v>
      </c>
      <c r="SHN2" s="5" t="s">
        <v>409</v>
      </c>
      <c r="SHO2" s="5" t="s">
        <v>409</v>
      </c>
      <c r="SHP2" s="5" t="s">
        <v>409</v>
      </c>
      <c r="SHQ2" s="5" t="s">
        <v>409</v>
      </c>
      <c r="SHR2" s="5" t="s">
        <v>409</v>
      </c>
      <c r="SHS2" s="5" t="s">
        <v>409</v>
      </c>
      <c r="SHT2" s="5" t="s">
        <v>409</v>
      </c>
      <c r="SHU2" s="5" t="s">
        <v>409</v>
      </c>
      <c r="SHV2" s="5" t="s">
        <v>409</v>
      </c>
      <c r="SHW2" s="5" t="s">
        <v>409</v>
      </c>
      <c r="SHX2" s="5" t="s">
        <v>409</v>
      </c>
      <c r="SHY2" s="5" t="s">
        <v>409</v>
      </c>
      <c r="SHZ2" s="5" t="s">
        <v>409</v>
      </c>
      <c r="SIA2" s="5" t="s">
        <v>409</v>
      </c>
      <c r="SIB2" s="5" t="s">
        <v>409</v>
      </c>
      <c r="SIC2" s="5" t="s">
        <v>409</v>
      </c>
      <c r="SID2" s="5" t="s">
        <v>409</v>
      </c>
      <c r="SIE2" s="5" t="s">
        <v>409</v>
      </c>
      <c r="SIF2" s="5" t="s">
        <v>409</v>
      </c>
      <c r="SIG2" s="5" t="s">
        <v>409</v>
      </c>
      <c r="SIH2" s="5" t="s">
        <v>409</v>
      </c>
      <c r="SII2" s="5" t="s">
        <v>409</v>
      </c>
      <c r="SIJ2" s="5" t="s">
        <v>409</v>
      </c>
      <c r="SIK2" s="5" t="s">
        <v>409</v>
      </c>
      <c r="SIL2" s="5" t="s">
        <v>409</v>
      </c>
      <c r="SIM2" s="5" t="s">
        <v>409</v>
      </c>
      <c r="SIN2" s="5" t="s">
        <v>409</v>
      </c>
      <c r="SIO2" s="5" t="s">
        <v>409</v>
      </c>
      <c r="SIP2" s="5" t="s">
        <v>409</v>
      </c>
      <c r="SIQ2" s="5" t="s">
        <v>409</v>
      </c>
      <c r="SIR2" s="5" t="s">
        <v>409</v>
      </c>
      <c r="SIS2" s="5" t="s">
        <v>409</v>
      </c>
      <c r="SIT2" s="5" t="s">
        <v>409</v>
      </c>
      <c r="SIU2" s="5" t="s">
        <v>409</v>
      </c>
      <c r="SIV2" s="5" t="s">
        <v>409</v>
      </c>
      <c r="SIW2" s="5" t="s">
        <v>409</v>
      </c>
      <c r="SIX2" s="5" t="s">
        <v>409</v>
      </c>
      <c r="SIY2" s="5" t="s">
        <v>409</v>
      </c>
      <c r="SIZ2" s="5" t="s">
        <v>409</v>
      </c>
      <c r="SJA2" s="5" t="s">
        <v>409</v>
      </c>
      <c r="SJB2" s="5" t="s">
        <v>409</v>
      </c>
      <c r="SJC2" s="5" t="s">
        <v>409</v>
      </c>
      <c r="SJD2" s="5" t="s">
        <v>409</v>
      </c>
      <c r="SJE2" s="5" t="s">
        <v>409</v>
      </c>
      <c r="SJF2" s="5" t="s">
        <v>409</v>
      </c>
      <c r="SJG2" s="5" t="s">
        <v>409</v>
      </c>
      <c r="SJH2" s="5" t="s">
        <v>409</v>
      </c>
      <c r="SJI2" s="5" t="s">
        <v>409</v>
      </c>
      <c r="SJJ2" s="5" t="s">
        <v>409</v>
      </c>
      <c r="SJK2" s="5" t="s">
        <v>409</v>
      </c>
      <c r="SJL2" s="5" t="s">
        <v>409</v>
      </c>
      <c r="SJM2" s="5" t="s">
        <v>409</v>
      </c>
      <c r="SJN2" s="5" t="s">
        <v>409</v>
      </c>
      <c r="SJO2" s="5" t="s">
        <v>409</v>
      </c>
      <c r="SJP2" s="5" t="s">
        <v>409</v>
      </c>
      <c r="SJQ2" s="5" t="s">
        <v>409</v>
      </c>
      <c r="SJR2" s="5" t="s">
        <v>409</v>
      </c>
      <c r="SJS2" s="5" t="s">
        <v>409</v>
      </c>
      <c r="SJT2" s="5" t="s">
        <v>409</v>
      </c>
      <c r="SJU2" s="5" t="s">
        <v>409</v>
      </c>
      <c r="SJV2" s="5" t="s">
        <v>409</v>
      </c>
      <c r="SJW2" s="5" t="s">
        <v>409</v>
      </c>
      <c r="SJX2" s="5" t="s">
        <v>409</v>
      </c>
      <c r="SJY2" s="5" t="s">
        <v>409</v>
      </c>
      <c r="SJZ2" s="5" t="s">
        <v>409</v>
      </c>
      <c r="SKA2" s="5" t="s">
        <v>409</v>
      </c>
      <c r="SKB2" s="5" t="s">
        <v>409</v>
      </c>
      <c r="SKC2" s="5" t="s">
        <v>409</v>
      </c>
      <c r="SKD2" s="5" t="s">
        <v>409</v>
      </c>
      <c r="SKE2" s="5" t="s">
        <v>409</v>
      </c>
      <c r="SKF2" s="5" t="s">
        <v>409</v>
      </c>
      <c r="SKG2" s="5" t="s">
        <v>409</v>
      </c>
      <c r="SKH2" s="5" t="s">
        <v>409</v>
      </c>
      <c r="SKI2" s="5" t="s">
        <v>409</v>
      </c>
      <c r="SKJ2" s="5" t="s">
        <v>409</v>
      </c>
      <c r="SKK2" s="5" t="s">
        <v>409</v>
      </c>
      <c r="SKL2" s="5" t="s">
        <v>409</v>
      </c>
      <c r="SKM2" s="5" t="s">
        <v>409</v>
      </c>
      <c r="SKN2" s="5" t="s">
        <v>409</v>
      </c>
      <c r="SKO2" s="5" t="s">
        <v>409</v>
      </c>
      <c r="SKP2" s="5" t="s">
        <v>409</v>
      </c>
      <c r="SKQ2" s="5" t="s">
        <v>409</v>
      </c>
      <c r="SKR2" s="5" t="s">
        <v>409</v>
      </c>
      <c r="SKS2" s="5" t="s">
        <v>409</v>
      </c>
      <c r="SKT2" s="5" t="s">
        <v>409</v>
      </c>
      <c r="SKU2" s="5" t="s">
        <v>409</v>
      </c>
      <c r="SKV2" s="5" t="s">
        <v>409</v>
      </c>
      <c r="SKW2" s="5" t="s">
        <v>409</v>
      </c>
      <c r="SKX2" s="5" t="s">
        <v>409</v>
      </c>
      <c r="SKY2" s="5" t="s">
        <v>409</v>
      </c>
      <c r="SKZ2" s="5" t="s">
        <v>409</v>
      </c>
      <c r="SLA2" s="5" t="s">
        <v>409</v>
      </c>
      <c r="SLB2" s="5" t="s">
        <v>409</v>
      </c>
      <c r="SLC2" s="5" t="s">
        <v>409</v>
      </c>
      <c r="SLD2" s="5" t="s">
        <v>409</v>
      </c>
      <c r="SLE2" s="5" t="s">
        <v>409</v>
      </c>
      <c r="SLF2" s="5" t="s">
        <v>409</v>
      </c>
      <c r="SLG2" s="5" t="s">
        <v>409</v>
      </c>
      <c r="SLH2" s="5" t="s">
        <v>409</v>
      </c>
      <c r="SLI2" s="5" t="s">
        <v>409</v>
      </c>
      <c r="SLJ2" s="5" t="s">
        <v>409</v>
      </c>
      <c r="SLK2" s="5" t="s">
        <v>409</v>
      </c>
      <c r="SLL2" s="5" t="s">
        <v>409</v>
      </c>
      <c r="SLM2" s="5" t="s">
        <v>409</v>
      </c>
      <c r="SLN2" s="5" t="s">
        <v>409</v>
      </c>
      <c r="SLO2" s="5" t="s">
        <v>409</v>
      </c>
      <c r="SLP2" s="5" t="s">
        <v>409</v>
      </c>
      <c r="SLQ2" s="5" t="s">
        <v>409</v>
      </c>
      <c r="SLR2" s="5" t="s">
        <v>409</v>
      </c>
      <c r="SLS2" s="5" t="s">
        <v>409</v>
      </c>
      <c r="SLT2" s="5" t="s">
        <v>409</v>
      </c>
      <c r="SLU2" s="5" t="s">
        <v>409</v>
      </c>
      <c r="SLV2" s="5" t="s">
        <v>409</v>
      </c>
      <c r="SLW2" s="5" t="s">
        <v>409</v>
      </c>
      <c r="SLX2" s="5" t="s">
        <v>409</v>
      </c>
      <c r="SLY2" s="5" t="s">
        <v>409</v>
      </c>
      <c r="SLZ2" s="5" t="s">
        <v>409</v>
      </c>
      <c r="SMA2" s="5" t="s">
        <v>409</v>
      </c>
      <c r="SMB2" s="5" t="s">
        <v>409</v>
      </c>
      <c r="SMC2" s="5" t="s">
        <v>409</v>
      </c>
      <c r="SMD2" s="5" t="s">
        <v>409</v>
      </c>
      <c r="SME2" s="5" t="s">
        <v>409</v>
      </c>
      <c r="SMF2" s="5" t="s">
        <v>409</v>
      </c>
      <c r="SMG2" s="5" t="s">
        <v>409</v>
      </c>
      <c r="SMH2" s="5" t="s">
        <v>409</v>
      </c>
      <c r="SMI2" s="5" t="s">
        <v>409</v>
      </c>
      <c r="SMJ2" s="5" t="s">
        <v>409</v>
      </c>
      <c r="SMK2" s="5" t="s">
        <v>409</v>
      </c>
      <c r="SML2" s="5" t="s">
        <v>409</v>
      </c>
      <c r="SMM2" s="5" t="s">
        <v>409</v>
      </c>
      <c r="SMN2" s="5" t="s">
        <v>409</v>
      </c>
      <c r="SMO2" s="5" t="s">
        <v>409</v>
      </c>
      <c r="SMP2" s="5" t="s">
        <v>409</v>
      </c>
      <c r="SMQ2" s="5" t="s">
        <v>409</v>
      </c>
      <c r="SMR2" s="5" t="s">
        <v>409</v>
      </c>
      <c r="SMS2" s="5" t="s">
        <v>409</v>
      </c>
      <c r="SMT2" s="5" t="s">
        <v>409</v>
      </c>
      <c r="SMU2" s="5" t="s">
        <v>409</v>
      </c>
      <c r="SMV2" s="5" t="s">
        <v>409</v>
      </c>
      <c r="SMW2" s="5" t="s">
        <v>409</v>
      </c>
      <c r="SMX2" s="5" t="s">
        <v>409</v>
      </c>
      <c r="SMY2" s="5" t="s">
        <v>409</v>
      </c>
      <c r="SMZ2" s="5" t="s">
        <v>409</v>
      </c>
      <c r="SNA2" s="5" t="s">
        <v>409</v>
      </c>
      <c r="SNB2" s="5" t="s">
        <v>409</v>
      </c>
      <c r="SNC2" s="5" t="s">
        <v>409</v>
      </c>
      <c r="SND2" s="5" t="s">
        <v>409</v>
      </c>
      <c r="SNE2" s="5" t="s">
        <v>409</v>
      </c>
      <c r="SNF2" s="5" t="s">
        <v>409</v>
      </c>
      <c r="SNG2" s="5" t="s">
        <v>409</v>
      </c>
      <c r="SNH2" s="5" t="s">
        <v>409</v>
      </c>
      <c r="SNI2" s="5" t="s">
        <v>409</v>
      </c>
      <c r="SNJ2" s="5" t="s">
        <v>409</v>
      </c>
      <c r="SNK2" s="5" t="s">
        <v>409</v>
      </c>
      <c r="SNL2" s="5" t="s">
        <v>409</v>
      </c>
      <c r="SNM2" s="5" t="s">
        <v>409</v>
      </c>
      <c r="SNN2" s="5" t="s">
        <v>409</v>
      </c>
      <c r="SNO2" s="5" t="s">
        <v>409</v>
      </c>
      <c r="SNP2" s="5" t="s">
        <v>409</v>
      </c>
      <c r="SNQ2" s="5" t="s">
        <v>409</v>
      </c>
      <c r="SNR2" s="5" t="s">
        <v>409</v>
      </c>
      <c r="SNS2" s="5" t="s">
        <v>409</v>
      </c>
      <c r="SNT2" s="5" t="s">
        <v>409</v>
      </c>
      <c r="SNU2" s="5" t="s">
        <v>409</v>
      </c>
      <c r="SNV2" s="5" t="s">
        <v>409</v>
      </c>
      <c r="SNW2" s="5" t="s">
        <v>409</v>
      </c>
      <c r="SNX2" s="5" t="s">
        <v>409</v>
      </c>
      <c r="SNY2" s="5" t="s">
        <v>409</v>
      </c>
      <c r="SNZ2" s="5" t="s">
        <v>409</v>
      </c>
      <c r="SOA2" s="5" t="s">
        <v>409</v>
      </c>
      <c r="SOB2" s="5" t="s">
        <v>409</v>
      </c>
      <c r="SOC2" s="5" t="s">
        <v>409</v>
      </c>
      <c r="SOD2" s="5" t="s">
        <v>409</v>
      </c>
      <c r="SOE2" s="5" t="s">
        <v>409</v>
      </c>
      <c r="SOF2" s="5" t="s">
        <v>409</v>
      </c>
      <c r="SOG2" s="5" t="s">
        <v>409</v>
      </c>
      <c r="SOH2" s="5" t="s">
        <v>409</v>
      </c>
      <c r="SOI2" s="5" t="s">
        <v>409</v>
      </c>
      <c r="SOJ2" s="5" t="s">
        <v>409</v>
      </c>
      <c r="SOK2" s="5" t="s">
        <v>409</v>
      </c>
      <c r="SOL2" s="5" t="s">
        <v>409</v>
      </c>
      <c r="SOM2" s="5" t="s">
        <v>409</v>
      </c>
      <c r="SON2" s="5" t="s">
        <v>409</v>
      </c>
      <c r="SOO2" s="5" t="s">
        <v>409</v>
      </c>
      <c r="SOP2" s="5" t="s">
        <v>409</v>
      </c>
      <c r="SOQ2" s="5" t="s">
        <v>409</v>
      </c>
      <c r="SOR2" s="5" t="s">
        <v>409</v>
      </c>
      <c r="SOS2" s="5" t="s">
        <v>409</v>
      </c>
      <c r="SOT2" s="5" t="s">
        <v>409</v>
      </c>
      <c r="SOU2" s="5" t="s">
        <v>409</v>
      </c>
      <c r="SOV2" s="5" t="s">
        <v>409</v>
      </c>
      <c r="SOW2" s="5" t="s">
        <v>409</v>
      </c>
      <c r="SOX2" s="5" t="s">
        <v>409</v>
      </c>
      <c r="SOY2" s="5" t="s">
        <v>409</v>
      </c>
      <c r="SOZ2" s="5" t="s">
        <v>409</v>
      </c>
      <c r="SPA2" s="5" t="s">
        <v>409</v>
      </c>
      <c r="SPB2" s="5" t="s">
        <v>409</v>
      </c>
      <c r="SPC2" s="5" t="s">
        <v>409</v>
      </c>
      <c r="SPD2" s="5" t="s">
        <v>409</v>
      </c>
      <c r="SPE2" s="5" t="s">
        <v>409</v>
      </c>
      <c r="SPF2" s="5" t="s">
        <v>409</v>
      </c>
      <c r="SPG2" s="5" t="s">
        <v>409</v>
      </c>
      <c r="SPH2" s="5" t="s">
        <v>409</v>
      </c>
      <c r="SPI2" s="5" t="s">
        <v>409</v>
      </c>
      <c r="SPJ2" s="5" t="s">
        <v>409</v>
      </c>
      <c r="SPK2" s="5" t="s">
        <v>409</v>
      </c>
      <c r="SPL2" s="5" t="s">
        <v>409</v>
      </c>
      <c r="SPM2" s="5" t="s">
        <v>409</v>
      </c>
      <c r="SPN2" s="5" t="s">
        <v>409</v>
      </c>
      <c r="SPO2" s="5" t="s">
        <v>409</v>
      </c>
      <c r="SPP2" s="5" t="s">
        <v>409</v>
      </c>
      <c r="SPQ2" s="5" t="s">
        <v>409</v>
      </c>
      <c r="SPR2" s="5" t="s">
        <v>409</v>
      </c>
      <c r="SPS2" s="5" t="s">
        <v>409</v>
      </c>
      <c r="SPT2" s="5" t="s">
        <v>409</v>
      </c>
      <c r="SPU2" s="5" t="s">
        <v>409</v>
      </c>
      <c r="SPV2" s="5" t="s">
        <v>409</v>
      </c>
      <c r="SPW2" s="5" t="s">
        <v>409</v>
      </c>
      <c r="SPX2" s="5" t="s">
        <v>409</v>
      </c>
      <c r="SPY2" s="5" t="s">
        <v>409</v>
      </c>
      <c r="SPZ2" s="5" t="s">
        <v>409</v>
      </c>
      <c r="SQA2" s="5" t="s">
        <v>409</v>
      </c>
      <c r="SQB2" s="5" t="s">
        <v>409</v>
      </c>
      <c r="SQC2" s="5" t="s">
        <v>409</v>
      </c>
      <c r="SQD2" s="5" t="s">
        <v>409</v>
      </c>
      <c r="SQE2" s="5" t="s">
        <v>409</v>
      </c>
      <c r="SQF2" s="5" t="s">
        <v>409</v>
      </c>
      <c r="SQG2" s="5" t="s">
        <v>409</v>
      </c>
      <c r="SQH2" s="5" t="s">
        <v>409</v>
      </c>
      <c r="SQI2" s="5" t="s">
        <v>409</v>
      </c>
      <c r="SQJ2" s="5" t="s">
        <v>409</v>
      </c>
      <c r="SQK2" s="5" t="s">
        <v>409</v>
      </c>
      <c r="SQL2" s="5" t="s">
        <v>409</v>
      </c>
      <c r="SQM2" s="5" t="s">
        <v>409</v>
      </c>
      <c r="SQN2" s="5" t="s">
        <v>409</v>
      </c>
      <c r="SQO2" s="5" t="s">
        <v>409</v>
      </c>
      <c r="SQP2" s="5" t="s">
        <v>409</v>
      </c>
      <c r="SQQ2" s="5" t="s">
        <v>409</v>
      </c>
      <c r="SQR2" s="5" t="s">
        <v>409</v>
      </c>
      <c r="SQS2" s="5" t="s">
        <v>409</v>
      </c>
      <c r="SQT2" s="5" t="s">
        <v>409</v>
      </c>
      <c r="SQU2" s="5" t="s">
        <v>409</v>
      </c>
      <c r="SQV2" s="5" t="s">
        <v>409</v>
      </c>
      <c r="SQW2" s="5" t="s">
        <v>409</v>
      </c>
      <c r="SQX2" s="5" t="s">
        <v>409</v>
      </c>
      <c r="SQY2" s="5" t="s">
        <v>409</v>
      </c>
      <c r="SQZ2" s="5" t="s">
        <v>409</v>
      </c>
      <c r="SRA2" s="5" t="s">
        <v>409</v>
      </c>
      <c r="SRB2" s="5" t="s">
        <v>409</v>
      </c>
      <c r="SRC2" s="5" t="s">
        <v>409</v>
      </c>
      <c r="SRD2" s="5" t="s">
        <v>409</v>
      </c>
      <c r="SRE2" s="5" t="s">
        <v>409</v>
      </c>
      <c r="SRF2" s="5" t="s">
        <v>409</v>
      </c>
      <c r="SRG2" s="5" t="s">
        <v>409</v>
      </c>
      <c r="SRH2" s="5" t="s">
        <v>409</v>
      </c>
      <c r="SRI2" s="5" t="s">
        <v>409</v>
      </c>
      <c r="SRJ2" s="5" t="s">
        <v>409</v>
      </c>
      <c r="SRK2" s="5" t="s">
        <v>409</v>
      </c>
      <c r="SRL2" s="5" t="s">
        <v>409</v>
      </c>
      <c r="SRM2" s="5" t="s">
        <v>409</v>
      </c>
      <c r="SRN2" s="5" t="s">
        <v>409</v>
      </c>
      <c r="SRO2" s="5" t="s">
        <v>409</v>
      </c>
      <c r="SRP2" s="5" t="s">
        <v>409</v>
      </c>
      <c r="SRQ2" s="5" t="s">
        <v>409</v>
      </c>
      <c r="SRR2" s="5" t="s">
        <v>409</v>
      </c>
      <c r="SRS2" s="5" t="s">
        <v>409</v>
      </c>
      <c r="SRT2" s="5" t="s">
        <v>409</v>
      </c>
      <c r="SRU2" s="5" t="s">
        <v>409</v>
      </c>
      <c r="SRV2" s="5" t="s">
        <v>409</v>
      </c>
      <c r="SRW2" s="5" t="s">
        <v>409</v>
      </c>
      <c r="SRX2" s="5" t="s">
        <v>409</v>
      </c>
      <c r="SRY2" s="5" t="s">
        <v>409</v>
      </c>
      <c r="SRZ2" s="5" t="s">
        <v>409</v>
      </c>
      <c r="SSA2" s="5" t="s">
        <v>409</v>
      </c>
      <c r="SSB2" s="5" t="s">
        <v>409</v>
      </c>
      <c r="SSC2" s="5" t="s">
        <v>409</v>
      </c>
      <c r="SSD2" s="5" t="s">
        <v>409</v>
      </c>
      <c r="SSE2" s="5" t="s">
        <v>409</v>
      </c>
      <c r="SSF2" s="5" t="s">
        <v>409</v>
      </c>
      <c r="SSG2" s="5" t="s">
        <v>409</v>
      </c>
      <c r="SSH2" s="5" t="s">
        <v>409</v>
      </c>
      <c r="SSI2" s="5" t="s">
        <v>409</v>
      </c>
      <c r="SSJ2" s="5" t="s">
        <v>409</v>
      </c>
      <c r="SSK2" s="5" t="s">
        <v>409</v>
      </c>
      <c r="SSL2" s="5" t="s">
        <v>409</v>
      </c>
      <c r="SSM2" s="5" t="s">
        <v>409</v>
      </c>
      <c r="SSN2" s="5" t="s">
        <v>409</v>
      </c>
      <c r="SSO2" s="5" t="s">
        <v>409</v>
      </c>
      <c r="SSP2" s="5" t="s">
        <v>409</v>
      </c>
      <c r="SSQ2" s="5" t="s">
        <v>409</v>
      </c>
      <c r="SSR2" s="5" t="s">
        <v>409</v>
      </c>
      <c r="SSS2" s="5" t="s">
        <v>409</v>
      </c>
      <c r="SST2" s="5" t="s">
        <v>409</v>
      </c>
      <c r="SSU2" s="5" t="s">
        <v>409</v>
      </c>
      <c r="SSV2" s="5" t="s">
        <v>409</v>
      </c>
      <c r="SSW2" s="5" t="s">
        <v>409</v>
      </c>
      <c r="SSX2" s="5" t="s">
        <v>409</v>
      </c>
      <c r="SSY2" s="5" t="s">
        <v>409</v>
      </c>
      <c r="SSZ2" s="5" t="s">
        <v>409</v>
      </c>
      <c r="STA2" s="5" t="s">
        <v>409</v>
      </c>
      <c r="STB2" s="5" t="s">
        <v>409</v>
      </c>
      <c r="STC2" s="5" t="s">
        <v>409</v>
      </c>
      <c r="STD2" s="5" t="s">
        <v>409</v>
      </c>
      <c r="STE2" s="5" t="s">
        <v>409</v>
      </c>
      <c r="STF2" s="5" t="s">
        <v>409</v>
      </c>
      <c r="STG2" s="5" t="s">
        <v>409</v>
      </c>
      <c r="STH2" s="5" t="s">
        <v>409</v>
      </c>
      <c r="STI2" s="5" t="s">
        <v>409</v>
      </c>
      <c r="STJ2" s="5" t="s">
        <v>409</v>
      </c>
      <c r="STK2" s="5" t="s">
        <v>409</v>
      </c>
      <c r="STL2" s="5" t="s">
        <v>409</v>
      </c>
      <c r="STM2" s="5" t="s">
        <v>409</v>
      </c>
      <c r="STN2" s="5" t="s">
        <v>409</v>
      </c>
      <c r="STO2" s="5" t="s">
        <v>409</v>
      </c>
      <c r="STP2" s="5" t="s">
        <v>409</v>
      </c>
      <c r="STQ2" s="5" t="s">
        <v>409</v>
      </c>
      <c r="STR2" s="5" t="s">
        <v>409</v>
      </c>
      <c r="STS2" s="5" t="s">
        <v>409</v>
      </c>
      <c r="STT2" s="5" t="s">
        <v>409</v>
      </c>
      <c r="STU2" s="5" t="s">
        <v>409</v>
      </c>
      <c r="STV2" s="5" t="s">
        <v>409</v>
      </c>
      <c r="STW2" s="5" t="s">
        <v>409</v>
      </c>
      <c r="STX2" s="5" t="s">
        <v>409</v>
      </c>
      <c r="STY2" s="5" t="s">
        <v>409</v>
      </c>
      <c r="STZ2" s="5" t="s">
        <v>409</v>
      </c>
      <c r="SUA2" s="5" t="s">
        <v>409</v>
      </c>
      <c r="SUB2" s="5" t="s">
        <v>409</v>
      </c>
      <c r="SUC2" s="5" t="s">
        <v>409</v>
      </c>
      <c r="SUD2" s="5" t="s">
        <v>409</v>
      </c>
      <c r="SUE2" s="5" t="s">
        <v>409</v>
      </c>
      <c r="SUF2" s="5" t="s">
        <v>409</v>
      </c>
      <c r="SUG2" s="5" t="s">
        <v>409</v>
      </c>
      <c r="SUH2" s="5" t="s">
        <v>409</v>
      </c>
      <c r="SUI2" s="5" t="s">
        <v>409</v>
      </c>
      <c r="SUJ2" s="5" t="s">
        <v>409</v>
      </c>
      <c r="SUK2" s="5" t="s">
        <v>409</v>
      </c>
      <c r="SUL2" s="5" t="s">
        <v>409</v>
      </c>
      <c r="SUM2" s="5" t="s">
        <v>409</v>
      </c>
      <c r="SUN2" s="5" t="s">
        <v>409</v>
      </c>
      <c r="SUO2" s="5" t="s">
        <v>409</v>
      </c>
      <c r="SUP2" s="5" t="s">
        <v>409</v>
      </c>
      <c r="SUQ2" s="5" t="s">
        <v>409</v>
      </c>
      <c r="SUR2" s="5" t="s">
        <v>409</v>
      </c>
      <c r="SUS2" s="5" t="s">
        <v>409</v>
      </c>
      <c r="SUT2" s="5" t="s">
        <v>409</v>
      </c>
      <c r="SUU2" s="5" t="s">
        <v>409</v>
      </c>
      <c r="SUV2" s="5" t="s">
        <v>409</v>
      </c>
      <c r="SUW2" s="5" t="s">
        <v>409</v>
      </c>
      <c r="SUX2" s="5" t="s">
        <v>409</v>
      </c>
      <c r="SUY2" s="5" t="s">
        <v>409</v>
      </c>
      <c r="SUZ2" s="5" t="s">
        <v>409</v>
      </c>
      <c r="SVA2" s="5" t="s">
        <v>409</v>
      </c>
      <c r="SVB2" s="5" t="s">
        <v>409</v>
      </c>
      <c r="SVC2" s="5" t="s">
        <v>409</v>
      </c>
      <c r="SVD2" s="5" t="s">
        <v>409</v>
      </c>
      <c r="SVE2" s="5" t="s">
        <v>409</v>
      </c>
      <c r="SVF2" s="5" t="s">
        <v>409</v>
      </c>
      <c r="SVG2" s="5" t="s">
        <v>409</v>
      </c>
      <c r="SVH2" s="5" t="s">
        <v>409</v>
      </c>
      <c r="SVI2" s="5" t="s">
        <v>409</v>
      </c>
      <c r="SVJ2" s="5" t="s">
        <v>409</v>
      </c>
      <c r="SVK2" s="5" t="s">
        <v>409</v>
      </c>
      <c r="SVL2" s="5" t="s">
        <v>409</v>
      </c>
      <c r="SVM2" s="5" t="s">
        <v>409</v>
      </c>
      <c r="SVN2" s="5" t="s">
        <v>409</v>
      </c>
      <c r="SVO2" s="5" t="s">
        <v>409</v>
      </c>
      <c r="SVP2" s="5" t="s">
        <v>409</v>
      </c>
      <c r="SVQ2" s="5" t="s">
        <v>409</v>
      </c>
      <c r="SVR2" s="5" t="s">
        <v>409</v>
      </c>
      <c r="SVS2" s="5" t="s">
        <v>409</v>
      </c>
      <c r="SVT2" s="5" t="s">
        <v>409</v>
      </c>
      <c r="SVU2" s="5" t="s">
        <v>409</v>
      </c>
      <c r="SVV2" s="5" t="s">
        <v>409</v>
      </c>
      <c r="SVW2" s="5" t="s">
        <v>409</v>
      </c>
      <c r="SVX2" s="5" t="s">
        <v>409</v>
      </c>
      <c r="SVY2" s="5" t="s">
        <v>409</v>
      </c>
      <c r="SVZ2" s="5" t="s">
        <v>409</v>
      </c>
      <c r="SWA2" s="5" t="s">
        <v>409</v>
      </c>
      <c r="SWB2" s="5" t="s">
        <v>409</v>
      </c>
      <c r="SWC2" s="5" t="s">
        <v>409</v>
      </c>
      <c r="SWD2" s="5" t="s">
        <v>409</v>
      </c>
      <c r="SWE2" s="5" t="s">
        <v>409</v>
      </c>
      <c r="SWF2" s="5" t="s">
        <v>409</v>
      </c>
      <c r="SWG2" s="5" t="s">
        <v>409</v>
      </c>
      <c r="SWH2" s="5" t="s">
        <v>409</v>
      </c>
      <c r="SWI2" s="5" t="s">
        <v>409</v>
      </c>
      <c r="SWJ2" s="5" t="s">
        <v>409</v>
      </c>
      <c r="SWK2" s="5" t="s">
        <v>409</v>
      </c>
      <c r="SWL2" s="5" t="s">
        <v>409</v>
      </c>
      <c r="SWM2" s="5" t="s">
        <v>409</v>
      </c>
      <c r="SWN2" s="5" t="s">
        <v>409</v>
      </c>
      <c r="SWO2" s="5" t="s">
        <v>409</v>
      </c>
      <c r="SWP2" s="5" t="s">
        <v>409</v>
      </c>
      <c r="SWQ2" s="5" t="s">
        <v>409</v>
      </c>
      <c r="SWR2" s="5" t="s">
        <v>409</v>
      </c>
      <c r="SWS2" s="5" t="s">
        <v>409</v>
      </c>
      <c r="SWT2" s="5" t="s">
        <v>409</v>
      </c>
      <c r="SWU2" s="5" t="s">
        <v>409</v>
      </c>
      <c r="SWV2" s="5" t="s">
        <v>409</v>
      </c>
      <c r="SWW2" s="5" t="s">
        <v>409</v>
      </c>
      <c r="SWX2" s="5" t="s">
        <v>409</v>
      </c>
      <c r="SWY2" s="5" t="s">
        <v>409</v>
      </c>
      <c r="SWZ2" s="5" t="s">
        <v>409</v>
      </c>
      <c r="SXA2" s="5" t="s">
        <v>409</v>
      </c>
      <c r="SXB2" s="5" t="s">
        <v>409</v>
      </c>
      <c r="SXC2" s="5" t="s">
        <v>409</v>
      </c>
      <c r="SXD2" s="5" t="s">
        <v>409</v>
      </c>
      <c r="SXE2" s="5" t="s">
        <v>409</v>
      </c>
      <c r="SXF2" s="5" t="s">
        <v>409</v>
      </c>
      <c r="SXG2" s="5" t="s">
        <v>409</v>
      </c>
      <c r="SXH2" s="5" t="s">
        <v>409</v>
      </c>
      <c r="SXI2" s="5" t="s">
        <v>409</v>
      </c>
      <c r="SXJ2" s="5" t="s">
        <v>409</v>
      </c>
      <c r="SXK2" s="5" t="s">
        <v>409</v>
      </c>
      <c r="SXL2" s="5" t="s">
        <v>409</v>
      </c>
      <c r="SXM2" s="5" t="s">
        <v>409</v>
      </c>
      <c r="SXN2" s="5" t="s">
        <v>409</v>
      </c>
      <c r="SXO2" s="5" t="s">
        <v>409</v>
      </c>
      <c r="SXP2" s="5" t="s">
        <v>409</v>
      </c>
      <c r="SXQ2" s="5" t="s">
        <v>409</v>
      </c>
      <c r="SXR2" s="5" t="s">
        <v>409</v>
      </c>
      <c r="SXS2" s="5" t="s">
        <v>409</v>
      </c>
      <c r="SXT2" s="5" t="s">
        <v>409</v>
      </c>
      <c r="SXU2" s="5" t="s">
        <v>409</v>
      </c>
      <c r="SXV2" s="5" t="s">
        <v>409</v>
      </c>
      <c r="SXW2" s="5" t="s">
        <v>409</v>
      </c>
      <c r="SXX2" s="5" t="s">
        <v>409</v>
      </c>
      <c r="SXY2" s="5" t="s">
        <v>409</v>
      </c>
      <c r="SXZ2" s="5" t="s">
        <v>409</v>
      </c>
      <c r="SYA2" s="5" t="s">
        <v>409</v>
      </c>
      <c r="SYB2" s="5" t="s">
        <v>409</v>
      </c>
      <c r="SYC2" s="5" t="s">
        <v>409</v>
      </c>
      <c r="SYD2" s="5" t="s">
        <v>409</v>
      </c>
      <c r="SYE2" s="5" t="s">
        <v>409</v>
      </c>
      <c r="SYF2" s="5" t="s">
        <v>409</v>
      </c>
      <c r="SYG2" s="5" t="s">
        <v>409</v>
      </c>
      <c r="SYH2" s="5" t="s">
        <v>409</v>
      </c>
      <c r="SYI2" s="5" t="s">
        <v>409</v>
      </c>
      <c r="SYJ2" s="5" t="s">
        <v>409</v>
      </c>
      <c r="SYK2" s="5" t="s">
        <v>409</v>
      </c>
      <c r="SYL2" s="5" t="s">
        <v>409</v>
      </c>
      <c r="SYM2" s="5" t="s">
        <v>409</v>
      </c>
      <c r="SYN2" s="5" t="s">
        <v>409</v>
      </c>
      <c r="SYO2" s="5" t="s">
        <v>409</v>
      </c>
      <c r="SYP2" s="5" t="s">
        <v>409</v>
      </c>
      <c r="SYQ2" s="5" t="s">
        <v>409</v>
      </c>
      <c r="SYR2" s="5" t="s">
        <v>409</v>
      </c>
      <c r="SYS2" s="5" t="s">
        <v>409</v>
      </c>
      <c r="SYT2" s="5" t="s">
        <v>409</v>
      </c>
      <c r="SYU2" s="5" t="s">
        <v>409</v>
      </c>
      <c r="SYV2" s="5" t="s">
        <v>409</v>
      </c>
      <c r="SYW2" s="5" t="s">
        <v>409</v>
      </c>
      <c r="SYX2" s="5" t="s">
        <v>409</v>
      </c>
      <c r="SYY2" s="5" t="s">
        <v>409</v>
      </c>
      <c r="SYZ2" s="5" t="s">
        <v>409</v>
      </c>
      <c r="SZA2" s="5" t="s">
        <v>409</v>
      </c>
      <c r="SZB2" s="5" t="s">
        <v>409</v>
      </c>
      <c r="SZC2" s="5" t="s">
        <v>409</v>
      </c>
      <c r="SZD2" s="5" t="s">
        <v>409</v>
      </c>
      <c r="SZE2" s="5" t="s">
        <v>409</v>
      </c>
      <c r="SZF2" s="5" t="s">
        <v>409</v>
      </c>
      <c r="SZG2" s="5" t="s">
        <v>409</v>
      </c>
      <c r="SZH2" s="5" t="s">
        <v>409</v>
      </c>
      <c r="SZI2" s="5" t="s">
        <v>409</v>
      </c>
      <c r="SZJ2" s="5" t="s">
        <v>409</v>
      </c>
      <c r="SZK2" s="5" t="s">
        <v>409</v>
      </c>
      <c r="SZL2" s="5" t="s">
        <v>409</v>
      </c>
      <c r="SZM2" s="5" t="s">
        <v>409</v>
      </c>
      <c r="SZN2" s="5" t="s">
        <v>409</v>
      </c>
      <c r="SZO2" s="5" t="s">
        <v>409</v>
      </c>
      <c r="SZP2" s="5" t="s">
        <v>409</v>
      </c>
      <c r="SZQ2" s="5" t="s">
        <v>409</v>
      </c>
      <c r="SZR2" s="5" t="s">
        <v>409</v>
      </c>
      <c r="SZS2" s="5" t="s">
        <v>409</v>
      </c>
      <c r="SZT2" s="5" t="s">
        <v>409</v>
      </c>
      <c r="SZU2" s="5" t="s">
        <v>409</v>
      </c>
      <c r="SZV2" s="5" t="s">
        <v>409</v>
      </c>
      <c r="SZW2" s="5" t="s">
        <v>409</v>
      </c>
      <c r="SZX2" s="5" t="s">
        <v>409</v>
      </c>
      <c r="SZY2" s="5" t="s">
        <v>409</v>
      </c>
      <c r="SZZ2" s="5" t="s">
        <v>409</v>
      </c>
      <c r="TAA2" s="5" t="s">
        <v>409</v>
      </c>
      <c r="TAB2" s="5" t="s">
        <v>409</v>
      </c>
      <c r="TAC2" s="5" t="s">
        <v>409</v>
      </c>
      <c r="TAD2" s="5" t="s">
        <v>409</v>
      </c>
      <c r="TAE2" s="5" t="s">
        <v>409</v>
      </c>
      <c r="TAF2" s="5" t="s">
        <v>409</v>
      </c>
      <c r="TAG2" s="5" t="s">
        <v>409</v>
      </c>
      <c r="TAH2" s="5" t="s">
        <v>409</v>
      </c>
      <c r="TAI2" s="5" t="s">
        <v>409</v>
      </c>
      <c r="TAJ2" s="5" t="s">
        <v>409</v>
      </c>
      <c r="TAK2" s="5" t="s">
        <v>409</v>
      </c>
      <c r="TAL2" s="5" t="s">
        <v>409</v>
      </c>
      <c r="TAM2" s="5" t="s">
        <v>409</v>
      </c>
      <c r="TAN2" s="5" t="s">
        <v>409</v>
      </c>
      <c r="TAO2" s="5" t="s">
        <v>409</v>
      </c>
      <c r="TAP2" s="5" t="s">
        <v>409</v>
      </c>
      <c r="TAQ2" s="5" t="s">
        <v>409</v>
      </c>
      <c r="TAR2" s="5" t="s">
        <v>409</v>
      </c>
      <c r="TAS2" s="5" t="s">
        <v>409</v>
      </c>
      <c r="TAT2" s="5" t="s">
        <v>409</v>
      </c>
      <c r="TAU2" s="5" t="s">
        <v>409</v>
      </c>
      <c r="TAV2" s="5" t="s">
        <v>409</v>
      </c>
      <c r="TAW2" s="5" t="s">
        <v>409</v>
      </c>
      <c r="TAX2" s="5" t="s">
        <v>409</v>
      </c>
      <c r="TAY2" s="5" t="s">
        <v>409</v>
      </c>
      <c r="TAZ2" s="5" t="s">
        <v>409</v>
      </c>
      <c r="TBA2" s="5" t="s">
        <v>409</v>
      </c>
      <c r="TBB2" s="5" t="s">
        <v>409</v>
      </c>
      <c r="TBC2" s="5" t="s">
        <v>409</v>
      </c>
      <c r="TBD2" s="5" t="s">
        <v>409</v>
      </c>
      <c r="TBE2" s="5" t="s">
        <v>409</v>
      </c>
      <c r="TBF2" s="5" t="s">
        <v>409</v>
      </c>
      <c r="TBG2" s="5" t="s">
        <v>409</v>
      </c>
      <c r="TBH2" s="5" t="s">
        <v>409</v>
      </c>
      <c r="TBI2" s="5" t="s">
        <v>409</v>
      </c>
      <c r="TBJ2" s="5" t="s">
        <v>409</v>
      </c>
      <c r="TBK2" s="5" t="s">
        <v>409</v>
      </c>
      <c r="TBL2" s="5" t="s">
        <v>409</v>
      </c>
      <c r="TBM2" s="5" t="s">
        <v>409</v>
      </c>
      <c r="TBN2" s="5" t="s">
        <v>409</v>
      </c>
      <c r="TBO2" s="5" t="s">
        <v>409</v>
      </c>
      <c r="TBP2" s="5" t="s">
        <v>409</v>
      </c>
      <c r="TBQ2" s="5" t="s">
        <v>409</v>
      </c>
      <c r="TBR2" s="5" t="s">
        <v>409</v>
      </c>
      <c r="TBS2" s="5" t="s">
        <v>409</v>
      </c>
      <c r="TBT2" s="5" t="s">
        <v>409</v>
      </c>
      <c r="TBU2" s="5" t="s">
        <v>409</v>
      </c>
      <c r="TBV2" s="5" t="s">
        <v>409</v>
      </c>
      <c r="TBW2" s="5" t="s">
        <v>409</v>
      </c>
      <c r="TBX2" s="5" t="s">
        <v>409</v>
      </c>
      <c r="TBY2" s="5" t="s">
        <v>409</v>
      </c>
      <c r="TBZ2" s="5" t="s">
        <v>409</v>
      </c>
      <c r="TCA2" s="5" t="s">
        <v>409</v>
      </c>
      <c r="TCB2" s="5" t="s">
        <v>409</v>
      </c>
      <c r="TCC2" s="5" t="s">
        <v>409</v>
      </c>
      <c r="TCD2" s="5" t="s">
        <v>409</v>
      </c>
      <c r="TCE2" s="5" t="s">
        <v>409</v>
      </c>
      <c r="TCF2" s="5" t="s">
        <v>409</v>
      </c>
      <c r="TCG2" s="5" t="s">
        <v>409</v>
      </c>
      <c r="TCH2" s="5" t="s">
        <v>409</v>
      </c>
      <c r="TCI2" s="5" t="s">
        <v>409</v>
      </c>
      <c r="TCJ2" s="5" t="s">
        <v>409</v>
      </c>
      <c r="TCK2" s="5" t="s">
        <v>409</v>
      </c>
      <c r="TCL2" s="5" t="s">
        <v>409</v>
      </c>
      <c r="TCM2" s="5" t="s">
        <v>409</v>
      </c>
      <c r="TCN2" s="5" t="s">
        <v>409</v>
      </c>
      <c r="TCO2" s="5" t="s">
        <v>409</v>
      </c>
      <c r="TCP2" s="5" t="s">
        <v>409</v>
      </c>
      <c r="TCQ2" s="5" t="s">
        <v>409</v>
      </c>
      <c r="TCR2" s="5" t="s">
        <v>409</v>
      </c>
      <c r="TCS2" s="5" t="s">
        <v>409</v>
      </c>
      <c r="TCT2" s="5" t="s">
        <v>409</v>
      </c>
      <c r="TCU2" s="5" t="s">
        <v>409</v>
      </c>
      <c r="TCV2" s="5" t="s">
        <v>409</v>
      </c>
      <c r="TCW2" s="5" t="s">
        <v>409</v>
      </c>
      <c r="TCX2" s="5" t="s">
        <v>409</v>
      </c>
      <c r="TCY2" s="5" t="s">
        <v>409</v>
      </c>
      <c r="TCZ2" s="5" t="s">
        <v>409</v>
      </c>
      <c r="TDA2" s="5" t="s">
        <v>409</v>
      </c>
      <c r="TDB2" s="5" t="s">
        <v>409</v>
      </c>
      <c r="TDC2" s="5" t="s">
        <v>409</v>
      </c>
      <c r="TDD2" s="5" t="s">
        <v>409</v>
      </c>
      <c r="TDE2" s="5" t="s">
        <v>409</v>
      </c>
      <c r="TDF2" s="5" t="s">
        <v>409</v>
      </c>
      <c r="TDG2" s="5" t="s">
        <v>409</v>
      </c>
      <c r="TDH2" s="5" t="s">
        <v>409</v>
      </c>
      <c r="TDI2" s="5" t="s">
        <v>409</v>
      </c>
      <c r="TDJ2" s="5" t="s">
        <v>409</v>
      </c>
      <c r="TDK2" s="5" t="s">
        <v>409</v>
      </c>
      <c r="TDL2" s="5" t="s">
        <v>409</v>
      </c>
      <c r="TDM2" s="5" t="s">
        <v>409</v>
      </c>
      <c r="TDN2" s="5" t="s">
        <v>409</v>
      </c>
      <c r="TDO2" s="5" t="s">
        <v>409</v>
      </c>
      <c r="TDP2" s="5" t="s">
        <v>409</v>
      </c>
      <c r="TDQ2" s="5" t="s">
        <v>409</v>
      </c>
      <c r="TDR2" s="5" t="s">
        <v>409</v>
      </c>
      <c r="TDS2" s="5" t="s">
        <v>409</v>
      </c>
      <c r="TDT2" s="5" t="s">
        <v>409</v>
      </c>
      <c r="TDU2" s="5" t="s">
        <v>409</v>
      </c>
      <c r="TDV2" s="5" t="s">
        <v>409</v>
      </c>
      <c r="TDW2" s="5" t="s">
        <v>409</v>
      </c>
      <c r="TDX2" s="5" t="s">
        <v>409</v>
      </c>
      <c r="TDY2" s="5" t="s">
        <v>409</v>
      </c>
      <c r="TDZ2" s="5" t="s">
        <v>409</v>
      </c>
      <c r="TEA2" s="5" t="s">
        <v>409</v>
      </c>
      <c r="TEB2" s="5" t="s">
        <v>409</v>
      </c>
      <c r="TEC2" s="5" t="s">
        <v>409</v>
      </c>
      <c r="TED2" s="5" t="s">
        <v>409</v>
      </c>
      <c r="TEE2" s="5" t="s">
        <v>409</v>
      </c>
      <c r="TEF2" s="5" t="s">
        <v>409</v>
      </c>
      <c r="TEG2" s="5" t="s">
        <v>409</v>
      </c>
      <c r="TEH2" s="5" t="s">
        <v>409</v>
      </c>
      <c r="TEI2" s="5" t="s">
        <v>409</v>
      </c>
      <c r="TEJ2" s="5" t="s">
        <v>409</v>
      </c>
      <c r="TEK2" s="5" t="s">
        <v>409</v>
      </c>
      <c r="TEL2" s="5" t="s">
        <v>409</v>
      </c>
      <c r="TEM2" s="5" t="s">
        <v>409</v>
      </c>
      <c r="TEN2" s="5" t="s">
        <v>409</v>
      </c>
      <c r="TEO2" s="5" t="s">
        <v>409</v>
      </c>
      <c r="TEP2" s="5" t="s">
        <v>409</v>
      </c>
      <c r="TEQ2" s="5" t="s">
        <v>409</v>
      </c>
      <c r="TER2" s="5" t="s">
        <v>409</v>
      </c>
      <c r="TES2" s="5" t="s">
        <v>409</v>
      </c>
      <c r="TET2" s="5" t="s">
        <v>409</v>
      </c>
      <c r="TEU2" s="5" t="s">
        <v>409</v>
      </c>
      <c r="TEV2" s="5" t="s">
        <v>409</v>
      </c>
      <c r="TEW2" s="5" t="s">
        <v>409</v>
      </c>
      <c r="TEX2" s="5" t="s">
        <v>409</v>
      </c>
      <c r="TEY2" s="5" t="s">
        <v>409</v>
      </c>
      <c r="TEZ2" s="5" t="s">
        <v>409</v>
      </c>
      <c r="TFA2" s="5" t="s">
        <v>409</v>
      </c>
      <c r="TFB2" s="5" t="s">
        <v>409</v>
      </c>
      <c r="TFC2" s="5" t="s">
        <v>409</v>
      </c>
      <c r="TFD2" s="5" t="s">
        <v>409</v>
      </c>
      <c r="TFE2" s="5" t="s">
        <v>409</v>
      </c>
      <c r="TFF2" s="5" t="s">
        <v>409</v>
      </c>
      <c r="TFG2" s="5" t="s">
        <v>409</v>
      </c>
      <c r="TFH2" s="5" t="s">
        <v>409</v>
      </c>
      <c r="TFI2" s="5" t="s">
        <v>409</v>
      </c>
      <c r="TFJ2" s="5" t="s">
        <v>409</v>
      </c>
      <c r="TFK2" s="5" t="s">
        <v>409</v>
      </c>
      <c r="TFL2" s="5" t="s">
        <v>409</v>
      </c>
      <c r="TFM2" s="5" t="s">
        <v>409</v>
      </c>
      <c r="TFN2" s="5" t="s">
        <v>409</v>
      </c>
      <c r="TFO2" s="5" t="s">
        <v>409</v>
      </c>
      <c r="TFP2" s="5" t="s">
        <v>409</v>
      </c>
      <c r="TFQ2" s="5" t="s">
        <v>409</v>
      </c>
      <c r="TFR2" s="5" t="s">
        <v>409</v>
      </c>
      <c r="TFS2" s="5" t="s">
        <v>409</v>
      </c>
      <c r="TFT2" s="5" t="s">
        <v>409</v>
      </c>
      <c r="TFU2" s="5" t="s">
        <v>409</v>
      </c>
      <c r="TFV2" s="5" t="s">
        <v>409</v>
      </c>
      <c r="TFW2" s="5" t="s">
        <v>409</v>
      </c>
      <c r="TFX2" s="5" t="s">
        <v>409</v>
      </c>
      <c r="TFY2" s="5" t="s">
        <v>409</v>
      </c>
      <c r="TFZ2" s="5" t="s">
        <v>409</v>
      </c>
      <c r="TGA2" s="5" t="s">
        <v>409</v>
      </c>
      <c r="TGB2" s="5" t="s">
        <v>409</v>
      </c>
      <c r="TGC2" s="5" t="s">
        <v>409</v>
      </c>
      <c r="TGD2" s="5" t="s">
        <v>409</v>
      </c>
      <c r="TGE2" s="5" t="s">
        <v>409</v>
      </c>
      <c r="TGF2" s="5" t="s">
        <v>409</v>
      </c>
      <c r="TGG2" s="5" t="s">
        <v>409</v>
      </c>
      <c r="TGH2" s="5" t="s">
        <v>409</v>
      </c>
      <c r="TGI2" s="5" t="s">
        <v>409</v>
      </c>
      <c r="TGJ2" s="5" t="s">
        <v>409</v>
      </c>
      <c r="TGK2" s="5" t="s">
        <v>409</v>
      </c>
      <c r="TGL2" s="5" t="s">
        <v>409</v>
      </c>
      <c r="TGM2" s="5" t="s">
        <v>409</v>
      </c>
      <c r="TGN2" s="5" t="s">
        <v>409</v>
      </c>
      <c r="TGO2" s="5" t="s">
        <v>409</v>
      </c>
      <c r="TGP2" s="5" t="s">
        <v>409</v>
      </c>
      <c r="TGQ2" s="5" t="s">
        <v>409</v>
      </c>
      <c r="TGR2" s="5" t="s">
        <v>409</v>
      </c>
      <c r="TGS2" s="5" t="s">
        <v>409</v>
      </c>
      <c r="TGT2" s="5" t="s">
        <v>409</v>
      </c>
      <c r="TGU2" s="5" t="s">
        <v>409</v>
      </c>
      <c r="TGV2" s="5" t="s">
        <v>409</v>
      </c>
      <c r="TGW2" s="5" t="s">
        <v>409</v>
      </c>
      <c r="TGX2" s="5" t="s">
        <v>409</v>
      </c>
      <c r="TGY2" s="5" t="s">
        <v>409</v>
      </c>
      <c r="TGZ2" s="5" t="s">
        <v>409</v>
      </c>
      <c r="THA2" s="5" t="s">
        <v>409</v>
      </c>
      <c r="THB2" s="5" t="s">
        <v>409</v>
      </c>
      <c r="THC2" s="5" t="s">
        <v>409</v>
      </c>
      <c r="THD2" s="5" t="s">
        <v>409</v>
      </c>
      <c r="THE2" s="5" t="s">
        <v>409</v>
      </c>
      <c r="THF2" s="5" t="s">
        <v>409</v>
      </c>
      <c r="THG2" s="5" t="s">
        <v>409</v>
      </c>
      <c r="THH2" s="5" t="s">
        <v>409</v>
      </c>
      <c r="THI2" s="5" t="s">
        <v>409</v>
      </c>
      <c r="THJ2" s="5" t="s">
        <v>409</v>
      </c>
      <c r="THK2" s="5" t="s">
        <v>409</v>
      </c>
      <c r="THL2" s="5" t="s">
        <v>409</v>
      </c>
      <c r="THM2" s="5" t="s">
        <v>409</v>
      </c>
      <c r="THN2" s="5" t="s">
        <v>409</v>
      </c>
      <c r="THO2" s="5" t="s">
        <v>409</v>
      </c>
      <c r="THP2" s="5" t="s">
        <v>409</v>
      </c>
      <c r="THQ2" s="5" t="s">
        <v>409</v>
      </c>
      <c r="THR2" s="5" t="s">
        <v>409</v>
      </c>
      <c r="THS2" s="5" t="s">
        <v>409</v>
      </c>
      <c r="THT2" s="5" t="s">
        <v>409</v>
      </c>
      <c r="THU2" s="5" t="s">
        <v>409</v>
      </c>
      <c r="THV2" s="5" t="s">
        <v>409</v>
      </c>
      <c r="THW2" s="5" t="s">
        <v>409</v>
      </c>
      <c r="THX2" s="5" t="s">
        <v>409</v>
      </c>
      <c r="THY2" s="5" t="s">
        <v>409</v>
      </c>
      <c r="THZ2" s="5" t="s">
        <v>409</v>
      </c>
      <c r="TIA2" s="5" t="s">
        <v>409</v>
      </c>
      <c r="TIB2" s="5" t="s">
        <v>409</v>
      </c>
      <c r="TIC2" s="5" t="s">
        <v>409</v>
      </c>
      <c r="TID2" s="5" t="s">
        <v>409</v>
      </c>
      <c r="TIE2" s="5" t="s">
        <v>409</v>
      </c>
      <c r="TIF2" s="5" t="s">
        <v>409</v>
      </c>
      <c r="TIG2" s="5" t="s">
        <v>409</v>
      </c>
      <c r="TIH2" s="5" t="s">
        <v>409</v>
      </c>
      <c r="TII2" s="5" t="s">
        <v>409</v>
      </c>
      <c r="TIJ2" s="5" t="s">
        <v>409</v>
      </c>
      <c r="TIK2" s="5" t="s">
        <v>409</v>
      </c>
      <c r="TIL2" s="5" t="s">
        <v>409</v>
      </c>
      <c r="TIM2" s="5" t="s">
        <v>409</v>
      </c>
      <c r="TIN2" s="5" t="s">
        <v>409</v>
      </c>
      <c r="TIO2" s="5" t="s">
        <v>409</v>
      </c>
      <c r="TIP2" s="5" t="s">
        <v>409</v>
      </c>
      <c r="TIQ2" s="5" t="s">
        <v>409</v>
      </c>
      <c r="TIR2" s="5" t="s">
        <v>409</v>
      </c>
      <c r="TIS2" s="5" t="s">
        <v>409</v>
      </c>
      <c r="TIT2" s="5" t="s">
        <v>409</v>
      </c>
      <c r="TIU2" s="5" t="s">
        <v>409</v>
      </c>
      <c r="TIV2" s="5" t="s">
        <v>409</v>
      </c>
      <c r="TIW2" s="5" t="s">
        <v>409</v>
      </c>
      <c r="TIX2" s="5" t="s">
        <v>409</v>
      </c>
      <c r="TIY2" s="5" t="s">
        <v>409</v>
      </c>
      <c r="TIZ2" s="5" t="s">
        <v>409</v>
      </c>
      <c r="TJA2" s="5" t="s">
        <v>409</v>
      </c>
      <c r="TJB2" s="5" t="s">
        <v>409</v>
      </c>
      <c r="TJC2" s="5" t="s">
        <v>409</v>
      </c>
      <c r="TJD2" s="5" t="s">
        <v>409</v>
      </c>
      <c r="TJE2" s="5" t="s">
        <v>409</v>
      </c>
      <c r="TJF2" s="5" t="s">
        <v>409</v>
      </c>
      <c r="TJG2" s="5" t="s">
        <v>409</v>
      </c>
      <c r="TJH2" s="5" t="s">
        <v>409</v>
      </c>
      <c r="TJI2" s="5" t="s">
        <v>409</v>
      </c>
      <c r="TJJ2" s="5" t="s">
        <v>409</v>
      </c>
      <c r="TJK2" s="5" t="s">
        <v>409</v>
      </c>
      <c r="TJL2" s="5" t="s">
        <v>409</v>
      </c>
      <c r="TJM2" s="5" t="s">
        <v>409</v>
      </c>
      <c r="TJN2" s="5" t="s">
        <v>409</v>
      </c>
      <c r="TJO2" s="5" t="s">
        <v>409</v>
      </c>
      <c r="TJP2" s="5" t="s">
        <v>409</v>
      </c>
      <c r="TJQ2" s="5" t="s">
        <v>409</v>
      </c>
      <c r="TJR2" s="5" t="s">
        <v>409</v>
      </c>
      <c r="TJS2" s="5" t="s">
        <v>409</v>
      </c>
      <c r="TJT2" s="5" t="s">
        <v>409</v>
      </c>
      <c r="TJU2" s="5" t="s">
        <v>409</v>
      </c>
      <c r="TJV2" s="5" t="s">
        <v>409</v>
      </c>
      <c r="TJW2" s="5" t="s">
        <v>409</v>
      </c>
      <c r="TJX2" s="5" t="s">
        <v>409</v>
      </c>
      <c r="TJY2" s="5" t="s">
        <v>409</v>
      </c>
      <c r="TJZ2" s="5" t="s">
        <v>409</v>
      </c>
      <c r="TKA2" s="5" t="s">
        <v>409</v>
      </c>
      <c r="TKB2" s="5" t="s">
        <v>409</v>
      </c>
      <c r="TKC2" s="5" t="s">
        <v>409</v>
      </c>
      <c r="TKD2" s="5" t="s">
        <v>409</v>
      </c>
      <c r="TKE2" s="5" t="s">
        <v>409</v>
      </c>
      <c r="TKF2" s="5" t="s">
        <v>409</v>
      </c>
      <c r="TKG2" s="5" t="s">
        <v>409</v>
      </c>
      <c r="TKH2" s="5" t="s">
        <v>409</v>
      </c>
      <c r="TKI2" s="5" t="s">
        <v>409</v>
      </c>
      <c r="TKJ2" s="5" t="s">
        <v>409</v>
      </c>
      <c r="TKK2" s="5" t="s">
        <v>409</v>
      </c>
      <c r="TKL2" s="5" t="s">
        <v>409</v>
      </c>
      <c r="TKM2" s="5" t="s">
        <v>409</v>
      </c>
      <c r="TKN2" s="5" t="s">
        <v>409</v>
      </c>
      <c r="TKO2" s="5" t="s">
        <v>409</v>
      </c>
      <c r="TKP2" s="5" t="s">
        <v>409</v>
      </c>
      <c r="TKQ2" s="5" t="s">
        <v>409</v>
      </c>
      <c r="TKR2" s="5" t="s">
        <v>409</v>
      </c>
      <c r="TKS2" s="5" t="s">
        <v>409</v>
      </c>
      <c r="TKT2" s="5" t="s">
        <v>409</v>
      </c>
      <c r="TKU2" s="5" t="s">
        <v>409</v>
      </c>
      <c r="TKV2" s="5" t="s">
        <v>409</v>
      </c>
      <c r="TKW2" s="5" t="s">
        <v>409</v>
      </c>
      <c r="TKX2" s="5" t="s">
        <v>409</v>
      </c>
      <c r="TKY2" s="5" t="s">
        <v>409</v>
      </c>
      <c r="TKZ2" s="5" t="s">
        <v>409</v>
      </c>
      <c r="TLA2" s="5" t="s">
        <v>409</v>
      </c>
      <c r="TLB2" s="5" t="s">
        <v>409</v>
      </c>
      <c r="TLC2" s="5" t="s">
        <v>409</v>
      </c>
      <c r="TLD2" s="5" t="s">
        <v>409</v>
      </c>
      <c r="TLE2" s="5" t="s">
        <v>409</v>
      </c>
      <c r="TLF2" s="5" t="s">
        <v>409</v>
      </c>
      <c r="TLG2" s="5" t="s">
        <v>409</v>
      </c>
      <c r="TLH2" s="5" t="s">
        <v>409</v>
      </c>
      <c r="TLI2" s="5" t="s">
        <v>409</v>
      </c>
      <c r="TLJ2" s="5" t="s">
        <v>409</v>
      </c>
      <c r="TLK2" s="5" t="s">
        <v>409</v>
      </c>
      <c r="TLL2" s="5" t="s">
        <v>409</v>
      </c>
      <c r="TLM2" s="5" t="s">
        <v>409</v>
      </c>
      <c r="TLN2" s="5" t="s">
        <v>409</v>
      </c>
      <c r="TLO2" s="5" t="s">
        <v>409</v>
      </c>
      <c r="TLP2" s="5" t="s">
        <v>409</v>
      </c>
      <c r="TLQ2" s="5" t="s">
        <v>409</v>
      </c>
      <c r="TLR2" s="5" t="s">
        <v>409</v>
      </c>
      <c r="TLS2" s="5" t="s">
        <v>409</v>
      </c>
      <c r="TLT2" s="5" t="s">
        <v>409</v>
      </c>
      <c r="TLU2" s="5" t="s">
        <v>409</v>
      </c>
      <c r="TLV2" s="5" t="s">
        <v>409</v>
      </c>
      <c r="TLW2" s="5" t="s">
        <v>409</v>
      </c>
      <c r="TLX2" s="5" t="s">
        <v>409</v>
      </c>
      <c r="TLY2" s="5" t="s">
        <v>409</v>
      </c>
      <c r="TLZ2" s="5" t="s">
        <v>409</v>
      </c>
      <c r="TMA2" s="5" t="s">
        <v>409</v>
      </c>
      <c r="TMB2" s="5" t="s">
        <v>409</v>
      </c>
      <c r="TMC2" s="5" t="s">
        <v>409</v>
      </c>
      <c r="TMD2" s="5" t="s">
        <v>409</v>
      </c>
      <c r="TME2" s="5" t="s">
        <v>409</v>
      </c>
      <c r="TMF2" s="5" t="s">
        <v>409</v>
      </c>
      <c r="TMG2" s="5" t="s">
        <v>409</v>
      </c>
      <c r="TMH2" s="5" t="s">
        <v>409</v>
      </c>
      <c r="TMI2" s="5" t="s">
        <v>409</v>
      </c>
      <c r="TMJ2" s="5" t="s">
        <v>409</v>
      </c>
      <c r="TMK2" s="5" t="s">
        <v>409</v>
      </c>
      <c r="TML2" s="5" t="s">
        <v>409</v>
      </c>
      <c r="TMM2" s="5" t="s">
        <v>409</v>
      </c>
      <c r="TMN2" s="5" t="s">
        <v>409</v>
      </c>
      <c r="TMO2" s="5" t="s">
        <v>409</v>
      </c>
      <c r="TMP2" s="5" t="s">
        <v>409</v>
      </c>
      <c r="TMQ2" s="5" t="s">
        <v>409</v>
      </c>
      <c r="TMR2" s="5" t="s">
        <v>409</v>
      </c>
      <c r="TMS2" s="5" t="s">
        <v>409</v>
      </c>
      <c r="TMT2" s="5" t="s">
        <v>409</v>
      </c>
      <c r="TMU2" s="5" t="s">
        <v>409</v>
      </c>
      <c r="TMV2" s="5" t="s">
        <v>409</v>
      </c>
      <c r="TMW2" s="5" t="s">
        <v>409</v>
      </c>
      <c r="TMX2" s="5" t="s">
        <v>409</v>
      </c>
      <c r="TMY2" s="5" t="s">
        <v>409</v>
      </c>
      <c r="TMZ2" s="5" t="s">
        <v>409</v>
      </c>
      <c r="TNA2" s="5" t="s">
        <v>409</v>
      </c>
      <c r="TNB2" s="5" t="s">
        <v>409</v>
      </c>
      <c r="TNC2" s="5" t="s">
        <v>409</v>
      </c>
      <c r="TND2" s="5" t="s">
        <v>409</v>
      </c>
      <c r="TNE2" s="5" t="s">
        <v>409</v>
      </c>
      <c r="TNF2" s="5" t="s">
        <v>409</v>
      </c>
      <c r="TNG2" s="5" t="s">
        <v>409</v>
      </c>
      <c r="TNH2" s="5" t="s">
        <v>409</v>
      </c>
      <c r="TNI2" s="5" t="s">
        <v>409</v>
      </c>
      <c r="TNJ2" s="5" t="s">
        <v>409</v>
      </c>
      <c r="TNK2" s="5" t="s">
        <v>409</v>
      </c>
      <c r="TNL2" s="5" t="s">
        <v>409</v>
      </c>
      <c r="TNM2" s="5" t="s">
        <v>409</v>
      </c>
      <c r="TNN2" s="5" t="s">
        <v>409</v>
      </c>
      <c r="TNO2" s="5" t="s">
        <v>409</v>
      </c>
      <c r="TNP2" s="5" t="s">
        <v>409</v>
      </c>
      <c r="TNQ2" s="5" t="s">
        <v>409</v>
      </c>
      <c r="TNR2" s="5" t="s">
        <v>409</v>
      </c>
      <c r="TNS2" s="5" t="s">
        <v>409</v>
      </c>
      <c r="TNT2" s="5" t="s">
        <v>409</v>
      </c>
      <c r="TNU2" s="5" t="s">
        <v>409</v>
      </c>
      <c r="TNV2" s="5" t="s">
        <v>409</v>
      </c>
      <c r="TNW2" s="5" t="s">
        <v>409</v>
      </c>
      <c r="TNX2" s="5" t="s">
        <v>409</v>
      </c>
      <c r="TNY2" s="5" t="s">
        <v>409</v>
      </c>
      <c r="TNZ2" s="5" t="s">
        <v>409</v>
      </c>
      <c r="TOA2" s="5" t="s">
        <v>409</v>
      </c>
      <c r="TOB2" s="5" t="s">
        <v>409</v>
      </c>
      <c r="TOC2" s="5" t="s">
        <v>409</v>
      </c>
      <c r="TOD2" s="5" t="s">
        <v>409</v>
      </c>
      <c r="TOE2" s="5" t="s">
        <v>409</v>
      </c>
      <c r="TOF2" s="5" t="s">
        <v>409</v>
      </c>
      <c r="TOG2" s="5" t="s">
        <v>409</v>
      </c>
      <c r="TOH2" s="5" t="s">
        <v>409</v>
      </c>
      <c r="TOI2" s="5" t="s">
        <v>409</v>
      </c>
      <c r="TOJ2" s="5" t="s">
        <v>409</v>
      </c>
      <c r="TOK2" s="5" t="s">
        <v>409</v>
      </c>
      <c r="TOL2" s="5" t="s">
        <v>409</v>
      </c>
      <c r="TOM2" s="5" t="s">
        <v>409</v>
      </c>
      <c r="TON2" s="5" t="s">
        <v>409</v>
      </c>
      <c r="TOO2" s="5" t="s">
        <v>409</v>
      </c>
      <c r="TOP2" s="5" t="s">
        <v>409</v>
      </c>
      <c r="TOQ2" s="5" t="s">
        <v>409</v>
      </c>
      <c r="TOR2" s="5" t="s">
        <v>409</v>
      </c>
      <c r="TOS2" s="5" t="s">
        <v>409</v>
      </c>
      <c r="TOT2" s="5" t="s">
        <v>409</v>
      </c>
      <c r="TOU2" s="5" t="s">
        <v>409</v>
      </c>
      <c r="TOV2" s="5" t="s">
        <v>409</v>
      </c>
      <c r="TOW2" s="5" t="s">
        <v>409</v>
      </c>
      <c r="TOX2" s="5" t="s">
        <v>409</v>
      </c>
      <c r="TOY2" s="5" t="s">
        <v>409</v>
      </c>
      <c r="TOZ2" s="5" t="s">
        <v>409</v>
      </c>
      <c r="TPA2" s="5" t="s">
        <v>409</v>
      </c>
      <c r="TPB2" s="5" t="s">
        <v>409</v>
      </c>
      <c r="TPC2" s="5" t="s">
        <v>409</v>
      </c>
      <c r="TPD2" s="5" t="s">
        <v>409</v>
      </c>
      <c r="TPE2" s="5" t="s">
        <v>409</v>
      </c>
      <c r="TPF2" s="5" t="s">
        <v>409</v>
      </c>
      <c r="TPG2" s="5" t="s">
        <v>409</v>
      </c>
      <c r="TPH2" s="5" t="s">
        <v>409</v>
      </c>
      <c r="TPI2" s="5" t="s">
        <v>409</v>
      </c>
      <c r="TPJ2" s="5" t="s">
        <v>409</v>
      </c>
      <c r="TPK2" s="5" t="s">
        <v>409</v>
      </c>
      <c r="TPL2" s="5" t="s">
        <v>409</v>
      </c>
      <c r="TPM2" s="5" t="s">
        <v>409</v>
      </c>
      <c r="TPN2" s="5" t="s">
        <v>409</v>
      </c>
      <c r="TPO2" s="5" t="s">
        <v>409</v>
      </c>
      <c r="TPP2" s="5" t="s">
        <v>409</v>
      </c>
      <c r="TPQ2" s="5" t="s">
        <v>409</v>
      </c>
      <c r="TPR2" s="5" t="s">
        <v>409</v>
      </c>
      <c r="TPS2" s="5" t="s">
        <v>409</v>
      </c>
      <c r="TPT2" s="5" t="s">
        <v>409</v>
      </c>
      <c r="TPU2" s="5" t="s">
        <v>409</v>
      </c>
      <c r="TPV2" s="5" t="s">
        <v>409</v>
      </c>
      <c r="TPW2" s="5" t="s">
        <v>409</v>
      </c>
      <c r="TPX2" s="5" t="s">
        <v>409</v>
      </c>
      <c r="TPY2" s="5" t="s">
        <v>409</v>
      </c>
      <c r="TPZ2" s="5" t="s">
        <v>409</v>
      </c>
      <c r="TQA2" s="5" t="s">
        <v>409</v>
      </c>
      <c r="TQB2" s="5" t="s">
        <v>409</v>
      </c>
      <c r="TQC2" s="5" t="s">
        <v>409</v>
      </c>
      <c r="TQD2" s="5" t="s">
        <v>409</v>
      </c>
      <c r="TQE2" s="5" t="s">
        <v>409</v>
      </c>
      <c r="TQF2" s="5" t="s">
        <v>409</v>
      </c>
      <c r="TQG2" s="5" t="s">
        <v>409</v>
      </c>
      <c r="TQH2" s="5" t="s">
        <v>409</v>
      </c>
      <c r="TQI2" s="5" t="s">
        <v>409</v>
      </c>
      <c r="TQJ2" s="5" t="s">
        <v>409</v>
      </c>
      <c r="TQK2" s="5" t="s">
        <v>409</v>
      </c>
      <c r="TQL2" s="5" t="s">
        <v>409</v>
      </c>
      <c r="TQM2" s="5" t="s">
        <v>409</v>
      </c>
      <c r="TQN2" s="5" t="s">
        <v>409</v>
      </c>
      <c r="TQO2" s="5" t="s">
        <v>409</v>
      </c>
      <c r="TQP2" s="5" t="s">
        <v>409</v>
      </c>
      <c r="TQQ2" s="5" t="s">
        <v>409</v>
      </c>
      <c r="TQR2" s="5" t="s">
        <v>409</v>
      </c>
      <c r="TQS2" s="5" t="s">
        <v>409</v>
      </c>
      <c r="TQT2" s="5" t="s">
        <v>409</v>
      </c>
      <c r="TQU2" s="5" t="s">
        <v>409</v>
      </c>
      <c r="TQV2" s="5" t="s">
        <v>409</v>
      </c>
      <c r="TQW2" s="5" t="s">
        <v>409</v>
      </c>
      <c r="TQX2" s="5" t="s">
        <v>409</v>
      </c>
      <c r="TQY2" s="5" t="s">
        <v>409</v>
      </c>
      <c r="TQZ2" s="5" t="s">
        <v>409</v>
      </c>
      <c r="TRA2" s="5" t="s">
        <v>409</v>
      </c>
      <c r="TRB2" s="5" t="s">
        <v>409</v>
      </c>
      <c r="TRC2" s="5" t="s">
        <v>409</v>
      </c>
      <c r="TRD2" s="5" t="s">
        <v>409</v>
      </c>
      <c r="TRE2" s="5" t="s">
        <v>409</v>
      </c>
      <c r="TRF2" s="5" t="s">
        <v>409</v>
      </c>
      <c r="TRG2" s="5" t="s">
        <v>409</v>
      </c>
      <c r="TRH2" s="5" t="s">
        <v>409</v>
      </c>
      <c r="TRI2" s="5" t="s">
        <v>409</v>
      </c>
      <c r="TRJ2" s="5" t="s">
        <v>409</v>
      </c>
      <c r="TRK2" s="5" t="s">
        <v>409</v>
      </c>
      <c r="TRL2" s="5" t="s">
        <v>409</v>
      </c>
      <c r="TRM2" s="5" t="s">
        <v>409</v>
      </c>
      <c r="TRN2" s="5" t="s">
        <v>409</v>
      </c>
      <c r="TRO2" s="5" t="s">
        <v>409</v>
      </c>
      <c r="TRP2" s="5" t="s">
        <v>409</v>
      </c>
      <c r="TRQ2" s="5" t="s">
        <v>409</v>
      </c>
      <c r="TRR2" s="5" t="s">
        <v>409</v>
      </c>
      <c r="TRS2" s="5" t="s">
        <v>409</v>
      </c>
      <c r="TRT2" s="5" t="s">
        <v>409</v>
      </c>
      <c r="TRU2" s="5" t="s">
        <v>409</v>
      </c>
      <c r="TRV2" s="5" t="s">
        <v>409</v>
      </c>
      <c r="TRW2" s="5" t="s">
        <v>409</v>
      </c>
      <c r="TRX2" s="5" t="s">
        <v>409</v>
      </c>
      <c r="TRY2" s="5" t="s">
        <v>409</v>
      </c>
      <c r="TRZ2" s="5" t="s">
        <v>409</v>
      </c>
      <c r="TSA2" s="5" t="s">
        <v>409</v>
      </c>
      <c r="TSB2" s="5" t="s">
        <v>409</v>
      </c>
      <c r="TSC2" s="5" t="s">
        <v>409</v>
      </c>
      <c r="TSD2" s="5" t="s">
        <v>409</v>
      </c>
      <c r="TSE2" s="5" t="s">
        <v>409</v>
      </c>
      <c r="TSF2" s="5" t="s">
        <v>409</v>
      </c>
      <c r="TSG2" s="5" t="s">
        <v>409</v>
      </c>
      <c r="TSH2" s="5" t="s">
        <v>409</v>
      </c>
      <c r="TSI2" s="5" t="s">
        <v>409</v>
      </c>
      <c r="TSJ2" s="5" t="s">
        <v>409</v>
      </c>
      <c r="TSK2" s="5" t="s">
        <v>409</v>
      </c>
      <c r="TSL2" s="5" t="s">
        <v>409</v>
      </c>
      <c r="TSM2" s="5" t="s">
        <v>409</v>
      </c>
      <c r="TSN2" s="5" t="s">
        <v>409</v>
      </c>
      <c r="TSO2" s="5" t="s">
        <v>409</v>
      </c>
      <c r="TSP2" s="5" t="s">
        <v>409</v>
      </c>
      <c r="TSQ2" s="5" t="s">
        <v>409</v>
      </c>
      <c r="TSR2" s="5" t="s">
        <v>409</v>
      </c>
      <c r="TSS2" s="5" t="s">
        <v>409</v>
      </c>
      <c r="TST2" s="5" t="s">
        <v>409</v>
      </c>
      <c r="TSU2" s="5" t="s">
        <v>409</v>
      </c>
      <c r="TSV2" s="5" t="s">
        <v>409</v>
      </c>
      <c r="TSW2" s="5" t="s">
        <v>409</v>
      </c>
      <c r="TSX2" s="5" t="s">
        <v>409</v>
      </c>
      <c r="TSY2" s="5" t="s">
        <v>409</v>
      </c>
      <c r="TSZ2" s="5" t="s">
        <v>409</v>
      </c>
      <c r="TTA2" s="5" t="s">
        <v>409</v>
      </c>
      <c r="TTB2" s="5" t="s">
        <v>409</v>
      </c>
      <c r="TTC2" s="5" t="s">
        <v>409</v>
      </c>
      <c r="TTD2" s="5" t="s">
        <v>409</v>
      </c>
      <c r="TTE2" s="5" t="s">
        <v>409</v>
      </c>
      <c r="TTF2" s="5" t="s">
        <v>409</v>
      </c>
      <c r="TTG2" s="5" t="s">
        <v>409</v>
      </c>
      <c r="TTH2" s="5" t="s">
        <v>409</v>
      </c>
      <c r="TTI2" s="5" t="s">
        <v>409</v>
      </c>
      <c r="TTJ2" s="5" t="s">
        <v>409</v>
      </c>
      <c r="TTK2" s="5" t="s">
        <v>409</v>
      </c>
      <c r="TTL2" s="5" t="s">
        <v>409</v>
      </c>
      <c r="TTM2" s="5" t="s">
        <v>409</v>
      </c>
      <c r="TTN2" s="5" t="s">
        <v>409</v>
      </c>
      <c r="TTO2" s="5" t="s">
        <v>409</v>
      </c>
      <c r="TTP2" s="5" t="s">
        <v>409</v>
      </c>
      <c r="TTQ2" s="5" t="s">
        <v>409</v>
      </c>
      <c r="TTR2" s="5" t="s">
        <v>409</v>
      </c>
      <c r="TTS2" s="5" t="s">
        <v>409</v>
      </c>
      <c r="TTT2" s="5" t="s">
        <v>409</v>
      </c>
      <c r="TTU2" s="5" t="s">
        <v>409</v>
      </c>
      <c r="TTV2" s="5" t="s">
        <v>409</v>
      </c>
      <c r="TTW2" s="5" t="s">
        <v>409</v>
      </c>
      <c r="TTX2" s="5" t="s">
        <v>409</v>
      </c>
      <c r="TTY2" s="5" t="s">
        <v>409</v>
      </c>
      <c r="TTZ2" s="5" t="s">
        <v>409</v>
      </c>
      <c r="TUA2" s="5" t="s">
        <v>409</v>
      </c>
      <c r="TUB2" s="5" t="s">
        <v>409</v>
      </c>
      <c r="TUC2" s="5" t="s">
        <v>409</v>
      </c>
      <c r="TUD2" s="5" t="s">
        <v>409</v>
      </c>
      <c r="TUE2" s="5" t="s">
        <v>409</v>
      </c>
      <c r="TUF2" s="5" t="s">
        <v>409</v>
      </c>
      <c r="TUG2" s="5" t="s">
        <v>409</v>
      </c>
      <c r="TUH2" s="5" t="s">
        <v>409</v>
      </c>
      <c r="TUI2" s="5" t="s">
        <v>409</v>
      </c>
      <c r="TUJ2" s="5" t="s">
        <v>409</v>
      </c>
      <c r="TUK2" s="5" t="s">
        <v>409</v>
      </c>
      <c r="TUL2" s="5" t="s">
        <v>409</v>
      </c>
      <c r="TUM2" s="5" t="s">
        <v>409</v>
      </c>
      <c r="TUN2" s="5" t="s">
        <v>409</v>
      </c>
      <c r="TUO2" s="5" t="s">
        <v>409</v>
      </c>
      <c r="TUP2" s="5" t="s">
        <v>409</v>
      </c>
      <c r="TUQ2" s="5" t="s">
        <v>409</v>
      </c>
      <c r="TUR2" s="5" t="s">
        <v>409</v>
      </c>
      <c r="TUS2" s="5" t="s">
        <v>409</v>
      </c>
      <c r="TUT2" s="5" t="s">
        <v>409</v>
      </c>
      <c r="TUU2" s="5" t="s">
        <v>409</v>
      </c>
      <c r="TUV2" s="5" t="s">
        <v>409</v>
      </c>
      <c r="TUW2" s="5" t="s">
        <v>409</v>
      </c>
      <c r="TUX2" s="5" t="s">
        <v>409</v>
      </c>
      <c r="TUY2" s="5" t="s">
        <v>409</v>
      </c>
      <c r="TUZ2" s="5" t="s">
        <v>409</v>
      </c>
      <c r="TVA2" s="5" t="s">
        <v>409</v>
      </c>
      <c r="TVB2" s="5" t="s">
        <v>409</v>
      </c>
      <c r="TVC2" s="5" t="s">
        <v>409</v>
      </c>
      <c r="TVD2" s="5" t="s">
        <v>409</v>
      </c>
      <c r="TVE2" s="5" t="s">
        <v>409</v>
      </c>
      <c r="TVF2" s="5" t="s">
        <v>409</v>
      </c>
      <c r="TVG2" s="5" t="s">
        <v>409</v>
      </c>
      <c r="TVH2" s="5" t="s">
        <v>409</v>
      </c>
      <c r="TVI2" s="5" t="s">
        <v>409</v>
      </c>
      <c r="TVJ2" s="5" t="s">
        <v>409</v>
      </c>
      <c r="TVK2" s="5" t="s">
        <v>409</v>
      </c>
      <c r="TVL2" s="5" t="s">
        <v>409</v>
      </c>
      <c r="TVM2" s="5" t="s">
        <v>409</v>
      </c>
      <c r="TVN2" s="5" t="s">
        <v>409</v>
      </c>
      <c r="TVO2" s="5" t="s">
        <v>409</v>
      </c>
      <c r="TVP2" s="5" t="s">
        <v>409</v>
      </c>
      <c r="TVQ2" s="5" t="s">
        <v>409</v>
      </c>
      <c r="TVR2" s="5" t="s">
        <v>409</v>
      </c>
      <c r="TVS2" s="5" t="s">
        <v>409</v>
      </c>
      <c r="TVT2" s="5" t="s">
        <v>409</v>
      </c>
      <c r="TVU2" s="5" t="s">
        <v>409</v>
      </c>
      <c r="TVV2" s="5" t="s">
        <v>409</v>
      </c>
      <c r="TVW2" s="5" t="s">
        <v>409</v>
      </c>
      <c r="TVX2" s="5" t="s">
        <v>409</v>
      </c>
      <c r="TVY2" s="5" t="s">
        <v>409</v>
      </c>
      <c r="TVZ2" s="5" t="s">
        <v>409</v>
      </c>
      <c r="TWA2" s="5" t="s">
        <v>409</v>
      </c>
      <c r="TWB2" s="5" t="s">
        <v>409</v>
      </c>
      <c r="TWC2" s="5" t="s">
        <v>409</v>
      </c>
      <c r="TWD2" s="5" t="s">
        <v>409</v>
      </c>
      <c r="TWE2" s="5" t="s">
        <v>409</v>
      </c>
      <c r="TWF2" s="5" t="s">
        <v>409</v>
      </c>
      <c r="TWG2" s="5" t="s">
        <v>409</v>
      </c>
      <c r="TWH2" s="5" t="s">
        <v>409</v>
      </c>
      <c r="TWI2" s="5" t="s">
        <v>409</v>
      </c>
      <c r="TWJ2" s="5" t="s">
        <v>409</v>
      </c>
      <c r="TWK2" s="5" t="s">
        <v>409</v>
      </c>
      <c r="TWL2" s="5" t="s">
        <v>409</v>
      </c>
      <c r="TWM2" s="5" t="s">
        <v>409</v>
      </c>
      <c r="TWN2" s="5" t="s">
        <v>409</v>
      </c>
      <c r="TWO2" s="5" t="s">
        <v>409</v>
      </c>
      <c r="TWP2" s="5" t="s">
        <v>409</v>
      </c>
      <c r="TWQ2" s="5" t="s">
        <v>409</v>
      </c>
      <c r="TWR2" s="5" t="s">
        <v>409</v>
      </c>
      <c r="TWS2" s="5" t="s">
        <v>409</v>
      </c>
      <c r="TWT2" s="5" t="s">
        <v>409</v>
      </c>
      <c r="TWU2" s="5" t="s">
        <v>409</v>
      </c>
      <c r="TWV2" s="5" t="s">
        <v>409</v>
      </c>
      <c r="TWW2" s="5" t="s">
        <v>409</v>
      </c>
      <c r="TWX2" s="5" t="s">
        <v>409</v>
      </c>
      <c r="TWY2" s="5" t="s">
        <v>409</v>
      </c>
      <c r="TWZ2" s="5" t="s">
        <v>409</v>
      </c>
      <c r="TXA2" s="5" t="s">
        <v>409</v>
      </c>
      <c r="TXB2" s="5" t="s">
        <v>409</v>
      </c>
      <c r="TXC2" s="5" t="s">
        <v>409</v>
      </c>
      <c r="TXD2" s="5" t="s">
        <v>409</v>
      </c>
      <c r="TXE2" s="5" t="s">
        <v>409</v>
      </c>
      <c r="TXF2" s="5" t="s">
        <v>409</v>
      </c>
      <c r="TXG2" s="5" t="s">
        <v>409</v>
      </c>
      <c r="TXH2" s="5" t="s">
        <v>409</v>
      </c>
      <c r="TXI2" s="5" t="s">
        <v>409</v>
      </c>
      <c r="TXJ2" s="5" t="s">
        <v>409</v>
      </c>
      <c r="TXK2" s="5" t="s">
        <v>409</v>
      </c>
      <c r="TXL2" s="5" t="s">
        <v>409</v>
      </c>
      <c r="TXM2" s="5" t="s">
        <v>409</v>
      </c>
      <c r="TXN2" s="5" t="s">
        <v>409</v>
      </c>
      <c r="TXO2" s="5" t="s">
        <v>409</v>
      </c>
      <c r="TXP2" s="5" t="s">
        <v>409</v>
      </c>
      <c r="TXQ2" s="5" t="s">
        <v>409</v>
      </c>
      <c r="TXR2" s="5" t="s">
        <v>409</v>
      </c>
      <c r="TXS2" s="5" t="s">
        <v>409</v>
      </c>
      <c r="TXT2" s="5" t="s">
        <v>409</v>
      </c>
      <c r="TXU2" s="5" t="s">
        <v>409</v>
      </c>
      <c r="TXV2" s="5" t="s">
        <v>409</v>
      </c>
      <c r="TXW2" s="5" t="s">
        <v>409</v>
      </c>
      <c r="TXX2" s="5" t="s">
        <v>409</v>
      </c>
      <c r="TXY2" s="5" t="s">
        <v>409</v>
      </c>
      <c r="TXZ2" s="5" t="s">
        <v>409</v>
      </c>
      <c r="TYA2" s="5" t="s">
        <v>409</v>
      </c>
      <c r="TYB2" s="5" t="s">
        <v>409</v>
      </c>
      <c r="TYC2" s="5" t="s">
        <v>409</v>
      </c>
      <c r="TYD2" s="5" t="s">
        <v>409</v>
      </c>
      <c r="TYE2" s="5" t="s">
        <v>409</v>
      </c>
      <c r="TYF2" s="5" t="s">
        <v>409</v>
      </c>
      <c r="TYG2" s="5" t="s">
        <v>409</v>
      </c>
      <c r="TYH2" s="5" t="s">
        <v>409</v>
      </c>
      <c r="TYI2" s="5" t="s">
        <v>409</v>
      </c>
      <c r="TYJ2" s="5" t="s">
        <v>409</v>
      </c>
      <c r="TYK2" s="5" t="s">
        <v>409</v>
      </c>
      <c r="TYL2" s="5" t="s">
        <v>409</v>
      </c>
      <c r="TYM2" s="5" t="s">
        <v>409</v>
      </c>
      <c r="TYN2" s="5" t="s">
        <v>409</v>
      </c>
      <c r="TYO2" s="5" t="s">
        <v>409</v>
      </c>
      <c r="TYP2" s="5" t="s">
        <v>409</v>
      </c>
      <c r="TYQ2" s="5" t="s">
        <v>409</v>
      </c>
      <c r="TYR2" s="5" t="s">
        <v>409</v>
      </c>
      <c r="TYS2" s="5" t="s">
        <v>409</v>
      </c>
      <c r="TYT2" s="5" t="s">
        <v>409</v>
      </c>
      <c r="TYU2" s="5" t="s">
        <v>409</v>
      </c>
      <c r="TYV2" s="5" t="s">
        <v>409</v>
      </c>
      <c r="TYW2" s="5" t="s">
        <v>409</v>
      </c>
      <c r="TYX2" s="5" t="s">
        <v>409</v>
      </c>
      <c r="TYY2" s="5" t="s">
        <v>409</v>
      </c>
      <c r="TYZ2" s="5" t="s">
        <v>409</v>
      </c>
      <c r="TZA2" s="5" t="s">
        <v>409</v>
      </c>
      <c r="TZB2" s="5" t="s">
        <v>409</v>
      </c>
      <c r="TZC2" s="5" t="s">
        <v>409</v>
      </c>
      <c r="TZD2" s="5" t="s">
        <v>409</v>
      </c>
      <c r="TZE2" s="5" t="s">
        <v>409</v>
      </c>
      <c r="TZF2" s="5" t="s">
        <v>409</v>
      </c>
      <c r="TZG2" s="5" t="s">
        <v>409</v>
      </c>
      <c r="TZH2" s="5" t="s">
        <v>409</v>
      </c>
      <c r="TZI2" s="5" t="s">
        <v>409</v>
      </c>
      <c r="TZJ2" s="5" t="s">
        <v>409</v>
      </c>
      <c r="TZK2" s="5" t="s">
        <v>409</v>
      </c>
      <c r="TZL2" s="5" t="s">
        <v>409</v>
      </c>
      <c r="TZM2" s="5" t="s">
        <v>409</v>
      </c>
      <c r="TZN2" s="5" t="s">
        <v>409</v>
      </c>
      <c r="TZO2" s="5" t="s">
        <v>409</v>
      </c>
      <c r="TZP2" s="5" t="s">
        <v>409</v>
      </c>
      <c r="TZQ2" s="5" t="s">
        <v>409</v>
      </c>
      <c r="TZR2" s="5" t="s">
        <v>409</v>
      </c>
      <c r="TZS2" s="5" t="s">
        <v>409</v>
      </c>
      <c r="TZT2" s="5" t="s">
        <v>409</v>
      </c>
      <c r="TZU2" s="5" t="s">
        <v>409</v>
      </c>
      <c r="TZV2" s="5" t="s">
        <v>409</v>
      </c>
      <c r="TZW2" s="5" t="s">
        <v>409</v>
      </c>
      <c r="TZX2" s="5" t="s">
        <v>409</v>
      </c>
      <c r="TZY2" s="5" t="s">
        <v>409</v>
      </c>
      <c r="TZZ2" s="5" t="s">
        <v>409</v>
      </c>
      <c r="UAA2" s="5" t="s">
        <v>409</v>
      </c>
      <c r="UAB2" s="5" t="s">
        <v>409</v>
      </c>
      <c r="UAC2" s="5" t="s">
        <v>409</v>
      </c>
      <c r="UAD2" s="5" t="s">
        <v>409</v>
      </c>
      <c r="UAE2" s="5" t="s">
        <v>409</v>
      </c>
      <c r="UAF2" s="5" t="s">
        <v>409</v>
      </c>
      <c r="UAG2" s="5" t="s">
        <v>409</v>
      </c>
      <c r="UAH2" s="5" t="s">
        <v>409</v>
      </c>
      <c r="UAI2" s="5" t="s">
        <v>409</v>
      </c>
      <c r="UAJ2" s="5" t="s">
        <v>409</v>
      </c>
      <c r="UAK2" s="5" t="s">
        <v>409</v>
      </c>
      <c r="UAL2" s="5" t="s">
        <v>409</v>
      </c>
      <c r="UAM2" s="5" t="s">
        <v>409</v>
      </c>
      <c r="UAN2" s="5" t="s">
        <v>409</v>
      </c>
      <c r="UAO2" s="5" t="s">
        <v>409</v>
      </c>
      <c r="UAP2" s="5" t="s">
        <v>409</v>
      </c>
      <c r="UAQ2" s="5" t="s">
        <v>409</v>
      </c>
      <c r="UAR2" s="5" t="s">
        <v>409</v>
      </c>
      <c r="UAS2" s="5" t="s">
        <v>409</v>
      </c>
      <c r="UAT2" s="5" t="s">
        <v>409</v>
      </c>
      <c r="UAU2" s="5" t="s">
        <v>409</v>
      </c>
      <c r="UAV2" s="5" t="s">
        <v>409</v>
      </c>
      <c r="UAW2" s="5" t="s">
        <v>409</v>
      </c>
      <c r="UAX2" s="5" t="s">
        <v>409</v>
      </c>
      <c r="UAY2" s="5" t="s">
        <v>409</v>
      </c>
      <c r="UAZ2" s="5" t="s">
        <v>409</v>
      </c>
      <c r="UBA2" s="5" t="s">
        <v>409</v>
      </c>
      <c r="UBB2" s="5" t="s">
        <v>409</v>
      </c>
      <c r="UBC2" s="5" t="s">
        <v>409</v>
      </c>
      <c r="UBD2" s="5" t="s">
        <v>409</v>
      </c>
      <c r="UBE2" s="5" t="s">
        <v>409</v>
      </c>
      <c r="UBF2" s="5" t="s">
        <v>409</v>
      </c>
      <c r="UBG2" s="5" t="s">
        <v>409</v>
      </c>
      <c r="UBH2" s="5" t="s">
        <v>409</v>
      </c>
      <c r="UBI2" s="5" t="s">
        <v>409</v>
      </c>
      <c r="UBJ2" s="5" t="s">
        <v>409</v>
      </c>
      <c r="UBK2" s="5" t="s">
        <v>409</v>
      </c>
      <c r="UBL2" s="5" t="s">
        <v>409</v>
      </c>
      <c r="UBM2" s="5" t="s">
        <v>409</v>
      </c>
      <c r="UBN2" s="5" t="s">
        <v>409</v>
      </c>
      <c r="UBO2" s="5" t="s">
        <v>409</v>
      </c>
      <c r="UBP2" s="5" t="s">
        <v>409</v>
      </c>
      <c r="UBQ2" s="5" t="s">
        <v>409</v>
      </c>
      <c r="UBR2" s="5" t="s">
        <v>409</v>
      </c>
      <c r="UBS2" s="5" t="s">
        <v>409</v>
      </c>
      <c r="UBT2" s="5" t="s">
        <v>409</v>
      </c>
      <c r="UBU2" s="5" t="s">
        <v>409</v>
      </c>
      <c r="UBV2" s="5" t="s">
        <v>409</v>
      </c>
      <c r="UBW2" s="5" t="s">
        <v>409</v>
      </c>
      <c r="UBX2" s="5" t="s">
        <v>409</v>
      </c>
      <c r="UBY2" s="5" t="s">
        <v>409</v>
      </c>
      <c r="UBZ2" s="5" t="s">
        <v>409</v>
      </c>
      <c r="UCA2" s="5" t="s">
        <v>409</v>
      </c>
      <c r="UCB2" s="5" t="s">
        <v>409</v>
      </c>
      <c r="UCC2" s="5" t="s">
        <v>409</v>
      </c>
      <c r="UCD2" s="5" t="s">
        <v>409</v>
      </c>
      <c r="UCE2" s="5" t="s">
        <v>409</v>
      </c>
      <c r="UCF2" s="5" t="s">
        <v>409</v>
      </c>
      <c r="UCG2" s="5" t="s">
        <v>409</v>
      </c>
      <c r="UCH2" s="5" t="s">
        <v>409</v>
      </c>
      <c r="UCI2" s="5" t="s">
        <v>409</v>
      </c>
      <c r="UCJ2" s="5" t="s">
        <v>409</v>
      </c>
      <c r="UCK2" s="5" t="s">
        <v>409</v>
      </c>
      <c r="UCL2" s="5" t="s">
        <v>409</v>
      </c>
      <c r="UCM2" s="5" t="s">
        <v>409</v>
      </c>
      <c r="UCN2" s="5" t="s">
        <v>409</v>
      </c>
      <c r="UCO2" s="5" t="s">
        <v>409</v>
      </c>
      <c r="UCP2" s="5" t="s">
        <v>409</v>
      </c>
      <c r="UCQ2" s="5" t="s">
        <v>409</v>
      </c>
      <c r="UCR2" s="5" t="s">
        <v>409</v>
      </c>
      <c r="UCS2" s="5" t="s">
        <v>409</v>
      </c>
      <c r="UCT2" s="5" t="s">
        <v>409</v>
      </c>
      <c r="UCU2" s="5" t="s">
        <v>409</v>
      </c>
      <c r="UCV2" s="5" t="s">
        <v>409</v>
      </c>
      <c r="UCW2" s="5" t="s">
        <v>409</v>
      </c>
      <c r="UCX2" s="5" t="s">
        <v>409</v>
      </c>
      <c r="UCY2" s="5" t="s">
        <v>409</v>
      </c>
      <c r="UCZ2" s="5" t="s">
        <v>409</v>
      </c>
      <c r="UDA2" s="5" t="s">
        <v>409</v>
      </c>
      <c r="UDB2" s="5" t="s">
        <v>409</v>
      </c>
      <c r="UDC2" s="5" t="s">
        <v>409</v>
      </c>
      <c r="UDD2" s="5" t="s">
        <v>409</v>
      </c>
      <c r="UDE2" s="5" t="s">
        <v>409</v>
      </c>
      <c r="UDF2" s="5" t="s">
        <v>409</v>
      </c>
      <c r="UDG2" s="5" t="s">
        <v>409</v>
      </c>
      <c r="UDH2" s="5" t="s">
        <v>409</v>
      </c>
      <c r="UDI2" s="5" t="s">
        <v>409</v>
      </c>
      <c r="UDJ2" s="5" t="s">
        <v>409</v>
      </c>
      <c r="UDK2" s="5" t="s">
        <v>409</v>
      </c>
      <c r="UDL2" s="5" t="s">
        <v>409</v>
      </c>
      <c r="UDM2" s="5" t="s">
        <v>409</v>
      </c>
      <c r="UDN2" s="5" t="s">
        <v>409</v>
      </c>
      <c r="UDO2" s="5" t="s">
        <v>409</v>
      </c>
      <c r="UDP2" s="5" t="s">
        <v>409</v>
      </c>
      <c r="UDQ2" s="5" t="s">
        <v>409</v>
      </c>
      <c r="UDR2" s="5" t="s">
        <v>409</v>
      </c>
      <c r="UDS2" s="5" t="s">
        <v>409</v>
      </c>
      <c r="UDT2" s="5" t="s">
        <v>409</v>
      </c>
      <c r="UDU2" s="5" t="s">
        <v>409</v>
      </c>
      <c r="UDV2" s="5" t="s">
        <v>409</v>
      </c>
      <c r="UDW2" s="5" t="s">
        <v>409</v>
      </c>
      <c r="UDX2" s="5" t="s">
        <v>409</v>
      </c>
      <c r="UDY2" s="5" t="s">
        <v>409</v>
      </c>
      <c r="UDZ2" s="5" t="s">
        <v>409</v>
      </c>
      <c r="UEA2" s="5" t="s">
        <v>409</v>
      </c>
      <c r="UEB2" s="5" t="s">
        <v>409</v>
      </c>
      <c r="UEC2" s="5" t="s">
        <v>409</v>
      </c>
      <c r="UED2" s="5" t="s">
        <v>409</v>
      </c>
      <c r="UEE2" s="5" t="s">
        <v>409</v>
      </c>
      <c r="UEF2" s="5" t="s">
        <v>409</v>
      </c>
      <c r="UEG2" s="5" t="s">
        <v>409</v>
      </c>
      <c r="UEH2" s="5" t="s">
        <v>409</v>
      </c>
      <c r="UEI2" s="5" t="s">
        <v>409</v>
      </c>
      <c r="UEJ2" s="5" t="s">
        <v>409</v>
      </c>
      <c r="UEK2" s="5" t="s">
        <v>409</v>
      </c>
      <c r="UEL2" s="5" t="s">
        <v>409</v>
      </c>
      <c r="UEM2" s="5" t="s">
        <v>409</v>
      </c>
      <c r="UEN2" s="5" t="s">
        <v>409</v>
      </c>
      <c r="UEO2" s="5" t="s">
        <v>409</v>
      </c>
      <c r="UEP2" s="5" t="s">
        <v>409</v>
      </c>
      <c r="UEQ2" s="5" t="s">
        <v>409</v>
      </c>
      <c r="UER2" s="5" t="s">
        <v>409</v>
      </c>
      <c r="UES2" s="5" t="s">
        <v>409</v>
      </c>
      <c r="UET2" s="5" t="s">
        <v>409</v>
      </c>
      <c r="UEU2" s="5" t="s">
        <v>409</v>
      </c>
      <c r="UEV2" s="5" t="s">
        <v>409</v>
      </c>
      <c r="UEW2" s="5" t="s">
        <v>409</v>
      </c>
      <c r="UEX2" s="5" t="s">
        <v>409</v>
      </c>
      <c r="UEY2" s="5" t="s">
        <v>409</v>
      </c>
      <c r="UEZ2" s="5" t="s">
        <v>409</v>
      </c>
      <c r="UFA2" s="5" t="s">
        <v>409</v>
      </c>
      <c r="UFB2" s="5" t="s">
        <v>409</v>
      </c>
      <c r="UFC2" s="5" t="s">
        <v>409</v>
      </c>
      <c r="UFD2" s="5" t="s">
        <v>409</v>
      </c>
      <c r="UFE2" s="5" t="s">
        <v>409</v>
      </c>
      <c r="UFF2" s="5" t="s">
        <v>409</v>
      </c>
      <c r="UFG2" s="5" t="s">
        <v>409</v>
      </c>
      <c r="UFH2" s="5" t="s">
        <v>409</v>
      </c>
      <c r="UFI2" s="5" t="s">
        <v>409</v>
      </c>
      <c r="UFJ2" s="5" t="s">
        <v>409</v>
      </c>
      <c r="UFK2" s="5" t="s">
        <v>409</v>
      </c>
      <c r="UFL2" s="5" t="s">
        <v>409</v>
      </c>
      <c r="UFM2" s="5" t="s">
        <v>409</v>
      </c>
      <c r="UFN2" s="5" t="s">
        <v>409</v>
      </c>
      <c r="UFO2" s="5" t="s">
        <v>409</v>
      </c>
      <c r="UFP2" s="5" t="s">
        <v>409</v>
      </c>
      <c r="UFQ2" s="5" t="s">
        <v>409</v>
      </c>
      <c r="UFR2" s="5" t="s">
        <v>409</v>
      </c>
      <c r="UFS2" s="5" t="s">
        <v>409</v>
      </c>
      <c r="UFT2" s="5" t="s">
        <v>409</v>
      </c>
      <c r="UFU2" s="5" t="s">
        <v>409</v>
      </c>
      <c r="UFV2" s="5" t="s">
        <v>409</v>
      </c>
      <c r="UFW2" s="5" t="s">
        <v>409</v>
      </c>
      <c r="UFX2" s="5" t="s">
        <v>409</v>
      </c>
      <c r="UFY2" s="5" t="s">
        <v>409</v>
      </c>
      <c r="UFZ2" s="5" t="s">
        <v>409</v>
      </c>
      <c r="UGA2" s="5" t="s">
        <v>409</v>
      </c>
      <c r="UGB2" s="5" t="s">
        <v>409</v>
      </c>
      <c r="UGC2" s="5" t="s">
        <v>409</v>
      </c>
      <c r="UGD2" s="5" t="s">
        <v>409</v>
      </c>
      <c r="UGE2" s="5" t="s">
        <v>409</v>
      </c>
      <c r="UGF2" s="5" t="s">
        <v>409</v>
      </c>
      <c r="UGG2" s="5" t="s">
        <v>409</v>
      </c>
      <c r="UGH2" s="5" t="s">
        <v>409</v>
      </c>
      <c r="UGI2" s="5" t="s">
        <v>409</v>
      </c>
      <c r="UGJ2" s="5" t="s">
        <v>409</v>
      </c>
      <c r="UGK2" s="5" t="s">
        <v>409</v>
      </c>
      <c r="UGL2" s="5" t="s">
        <v>409</v>
      </c>
      <c r="UGM2" s="5" t="s">
        <v>409</v>
      </c>
      <c r="UGN2" s="5" t="s">
        <v>409</v>
      </c>
      <c r="UGO2" s="5" t="s">
        <v>409</v>
      </c>
      <c r="UGP2" s="5" t="s">
        <v>409</v>
      </c>
      <c r="UGQ2" s="5" t="s">
        <v>409</v>
      </c>
      <c r="UGR2" s="5" t="s">
        <v>409</v>
      </c>
      <c r="UGS2" s="5" t="s">
        <v>409</v>
      </c>
      <c r="UGT2" s="5" t="s">
        <v>409</v>
      </c>
      <c r="UGU2" s="5" t="s">
        <v>409</v>
      </c>
      <c r="UGV2" s="5" t="s">
        <v>409</v>
      </c>
      <c r="UGW2" s="5" t="s">
        <v>409</v>
      </c>
      <c r="UGX2" s="5" t="s">
        <v>409</v>
      </c>
      <c r="UGY2" s="5" t="s">
        <v>409</v>
      </c>
      <c r="UGZ2" s="5" t="s">
        <v>409</v>
      </c>
      <c r="UHA2" s="5" t="s">
        <v>409</v>
      </c>
      <c r="UHB2" s="5" t="s">
        <v>409</v>
      </c>
      <c r="UHC2" s="5" t="s">
        <v>409</v>
      </c>
      <c r="UHD2" s="5" t="s">
        <v>409</v>
      </c>
      <c r="UHE2" s="5" t="s">
        <v>409</v>
      </c>
      <c r="UHF2" s="5" t="s">
        <v>409</v>
      </c>
      <c r="UHG2" s="5" t="s">
        <v>409</v>
      </c>
      <c r="UHH2" s="5" t="s">
        <v>409</v>
      </c>
      <c r="UHI2" s="5" t="s">
        <v>409</v>
      </c>
      <c r="UHJ2" s="5" t="s">
        <v>409</v>
      </c>
      <c r="UHK2" s="5" t="s">
        <v>409</v>
      </c>
      <c r="UHL2" s="5" t="s">
        <v>409</v>
      </c>
      <c r="UHM2" s="5" t="s">
        <v>409</v>
      </c>
      <c r="UHN2" s="5" t="s">
        <v>409</v>
      </c>
      <c r="UHO2" s="5" t="s">
        <v>409</v>
      </c>
      <c r="UHP2" s="5" t="s">
        <v>409</v>
      </c>
      <c r="UHQ2" s="5" t="s">
        <v>409</v>
      </c>
      <c r="UHR2" s="5" t="s">
        <v>409</v>
      </c>
      <c r="UHS2" s="5" t="s">
        <v>409</v>
      </c>
      <c r="UHT2" s="5" t="s">
        <v>409</v>
      </c>
      <c r="UHU2" s="5" t="s">
        <v>409</v>
      </c>
      <c r="UHV2" s="5" t="s">
        <v>409</v>
      </c>
      <c r="UHW2" s="5" t="s">
        <v>409</v>
      </c>
      <c r="UHX2" s="5" t="s">
        <v>409</v>
      </c>
      <c r="UHY2" s="5" t="s">
        <v>409</v>
      </c>
      <c r="UHZ2" s="5" t="s">
        <v>409</v>
      </c>
      <c r="UIA2" s="5" t="s">
        <v>409</v>
      </c>
      <c r="UIB2" s="5" t="s">
        <v>409</v>
      </c>
      <c r="UIC2" s="5" t="s">
        <v>409</v>
      </c>
      <c r="UID2" s="5" t="s">
        <v>409</v>
      </c>
      <c r="UIE2" s="5" t="s">
        <v>409</v>
      </c>
      <c r="UIF2" s="5" t="s">
        <v>409</v>
      </c>
      <c r="UIG2" s="5" t="s">
        <v>409</v>
      </c>
      <c r="UIH2" s="5" t="s">
        <v>409</v>
      </c>
      <c r="UII2" s="5" t="s">
        <v>409</v>
      </c>
      <c r="UIJ2" s="5" t="s">
        <v>409</v>
      </c>
      <c r="UIK2" s="5" t="s">
        <v>409</v>
      </c>
      <c r="UIL2" s="5" t="s">
        <v>409</v>
      </c>
      <c r="UIM2" s="5" t="s">
        <v>409</v>
      </c>
      <c r="UIN2" s="5" t="s">
        <v>409</v>
      </c>
      <c r="UIO2" s="5" t="s">
        <v>409</v>
      </c>
      <c r="UIP2" s="5" t="s">
        <v>409</v>
      </c>
      <c r="UIQ2" s="5" t="s">
        <v>409</v>
      </c>
      <c r="UIR2" s="5" t="s">
        <v>409</v>
      </c>
      <c r="UIS2" s="5" t="s">
        <v>409</v>
      </c>
      <c r="UIT2" s="5" t="s">
        <v>409</v>
      </c>
      <c r="UIU2" s="5" t="s">
        <v>409</v>
      </c>
      <c r="UIV2" s="5" t="s">
        <v>409</v>
      </c>
      <c r="UIW2" s="5" t="s">
        <v>409</v>
      </c>
      <c r="UIX2" s="5" t="s">
        <v>409</v>
      </c>
      <c r="UIY2" s="5" t="s">
        <v>409</v>
      </c>
      <c r="UIZ2" s="5" t="s">
        <v>409</v>
      </c>
      <c r="UJA2" s="5" t="s">
        <v>409</v>
      </c>
      <c r="UJB2" s="5" t="s">
        <v>409</v>
      </c>
      <c r="UJC2" s="5" t="s">
        <v>409</v>
      </c>
      <c r="UJD2" s="5" t="s">
        <v>409</v>
      </c>
      <c r="UJE2" s="5" t="s">
        <v>409</v>
      </c>
      <c r="UJF2" s="5" t="s">
        <v>409</v>
      </c>
      <c r="UJG2" s="5" t="s">
        <v>409</v>
      </c>
      <c r="UJH2" s="5" t="s">
        <v>409</v>
      </c>
      <c r="UJI2" s="5" t="s">
        <v>409</v>
      </c>
      <c r="UJJ2" s="5" t="s">
        <v>409</v>
      </c>
      <c r="UJK2" s="5" t="s">
        <v>409</v>
      </c>
      <c r="UJL2" s="5" t="s">
        <v>409</v>
      </c>
      <c r="UJM2" s="5" t="s">
        <v>409</v>
      </c>
      <c r="UJN2" s="5" t="s">
        <v>409</v>
      </c>
      <c r="UJO2" s="5" t="s">
        <v>409</v>
      </c>
      <c r="UJP2" s="5" t="s">
        <v>409</v>
      </c>
      <c r="UJQ2" s="5" t="s">
        <v>409</v>
      </c>
      <c r="UJR2" s="5" t="s">
        <v>409</v>
      </c>
      <c r="UJS2" s="5" t="s">
        <v>409</v>
      </c>
      <c r="UJT2" s="5" t="s">
        <v>409</v>
      </c>
      <c r="UJU2" s="5" t="s">
        <v>409</v>
      </c>
      <c r="UJV2" s="5" t="s">
        <v>409</v>
      </c>
      <c r="UJW2" s="5" t="s">
        <v>409</v>
      </c>
      <c r="UJX2" s="5" t="s">
        <v>409</v>
      </c>
      <c r="UJY2" s="5" t="s">
        <v>409</v>
      </c>
      <c r="UJZ2" s="5" t="s">
        <v>409</v>
      </c>
      <c r="UKA2" s="5" t="s">
        <v>409</v>
      </c>
      <c r="UKB2" s="5" t="s">
        <v>409</v>
      </c>
      <c r="UKC2" s="5" t="s">
        <v>409</v>
      </c>
      <c r="UKD2" s="5" t="s">
        <v>409</v>
      </c>
      <c r="UKE2" s="5" t="s">
        <v>409</v>
      </c>
      <c r="UKF2" s="5" t="s">
        <v>409</v>
      </c>
      <c r="UKG2" s="5" t="s">
        <v>409</v>
      </c>
      <c r="UKH2" s="5" t="s">
        <v>409</v>
      </c>
      <c r="UKI2" s="5" t="s">
        <v>409</v>
      </c>
      <c r="UKJ2" s="5" t="s">
        <v>409</v>
      </c>
      <c r="UKK2" s="5" t="s">
        <v>409</v>
      </c>
      <c r="UKL2" s="5" t="s">
        <v>409</v>
      </c>
      <c r="UKM2" s="5" t="s">
        <v>409</v>
      </c>
      <c r="UKN2" s="5" t="s">
        <v>409</v>
      </c>
      <c r="UKO2" s="5" t="s">
        <v>409</v>
      </c>
      <c r="UKP2" s="5" t="s">
        <v>409</v>
      </c>
      <c r="UKQ2" s="5" t="s">
        <v>409</v>
      </c>
      <c r="UKR2" s="5" t="s">
        <v>409</v>
      </c>
      <c r="UKS2" s="5" t="s">
        <v>409</v>
      </c>
      <c r="UKT2" s="5" t="s">
        <v>409</v>
      </c>
      <c r="UKU2" s="5" t="s">
        <v>409</v>
      </c>
      <c r="UKV2" s="5" t="s">
        <v>409</v>
      </c>
      <c r="UKW2" s="5" t="s">
        <v>409</v>
      </c>
      <c r="UKX2" s="5" t="s">
        <v>409</v>
      </c>
      <c r="UKY2" s="5" t="s">
        <v>409</v>
      </c>
      <c r="UKZ2" s="5" t="s">
        <v>409</v>
      </c>
      <c r="ULA2" s="5" t="s">
        <v>409</v>
      </c>
      <c r="ULB2" s="5" t="s">
        <v>409</v>
      </c>
      <c r="ULC2" s="5" t="s">
        <v>409</v>
      </c>
      <c r="ULD2" s="5" t="s">
        <v>409</v>
      </c>
      <c r="ULE2" s="5" t="s">
        <v>409</v>
      </c>
      <c r="ULF2" s="5" t="s">
        <v>409</v>
      </c>
      <c r="ULG2" s="5" t="s">
        <v>409</v>
      </c>
      <c r="ULH2" s="5" t="s">
        <v>409</v>
      </c>
      <c r="ULI2" s="5" t="s">
        <v>409</v>
      </c>
      <c r="ULJ2" s="5" t="s">
        <v>409</v>
      </c>
      <c r="ULK2" s="5" t="s">
        <v>409</v>
      </c>
      <c r="ULL2" s="5" t="s">
        <v>409</v>
      </c>
      <c r="ULM2" s="5" t="s">
        <v>409</v>
      </c>
      <c r="ULN2" s="5" t="s">
        <v>409</v>
      </c>
      <c r="ULO2" s="5" t="s">
        <v>409</v>
      </c>
      <c r="ULP2" s="5" t="s">
        <v>409</v>
      </c>
      <c r="ULQ2" s="5" t="s">
        <v>409</v>
      </c>
      <c r="ULR2" s="5" t="s">
        <v>409</v>
      </c>
      <c r="ULS2" s="5" t="s">
        <v>409</v>
      </c>
      <c r="ULT2" s="5" t="s">
        <v>409</v>
      </c>
      <c r="ULU2" s="5" t="s">
        <v>409</v>
      </c>
      <c r="ULV2" s="5" t="s">
        <v>409</v>
      </c>
      <c r="ULW2" s="5" t="s">
        <v>409</v>
      </c>
      <c r="ULX2" s="5" t="s">
        <v>409</v>
      </c>
      <c r="ULY2" s="5" t="s">
        <v>409</v>
      </c>
      <c r="ULZ2" s="5" t="s">
        <v>409</v>
      </c>
      <c r="UMA2" s="5" t="s">
        <v>409</v>
      </c>
      <c r="UMB2" s="5" t="s">
        <v>409</v>
      </c>
      <c r="UMC2" s="5" t="s">
        <v>409</v>
      </c>
      <c r="UMD2" s="5" t="s">
        <v>409</v>
      </c>
      <c r="UME2" s="5" t="s">
        <v>409</v>
      </c>
      <c r="UMF2" s="5" t="s">
        <v>409</v>
      </c>
      <c r="UMG2" s="5" t="s">
        <v>409</v>
      </c>
      <c r="UMH2" s="5" t="s">
        <v>409</v>
      </c>
      <c r="UMI2" s="5" t="s">
        <v>409</v>
      </c>
      <c r="UMJ2" s="5" t="s">
        <v>409</v>
      </c>
      <c r="UMK2" s="5" t="s">
        <v>409</v>
      </c>
      <c r="UML2" s="5" t="s">
        <v>409</v>
      </c>
      <c r="UMM2" s="5" t="s">
        <v>409</v>
      </c>
      <c r="UMN2" s="5" t="s">
        <v>409</v>
      </c>
      <c r="UMO2" s="5" t="s">
        <v>409</v>
      </c>
      <c r="UMP2" s="5" t="s">
        <v>409</v>
      </c>
      <c r="UMQ2" s="5" t="s">
        <v>409</v>
      </c>
      <c r="UMR2" s="5" t="s">
        <v>409</v>
      </c>
      <c r="UMS2" s="5" t="s">
        <v>409</v>
      </c>
      <c r="UMT2" s="5" t="s">
        <v>409</v>
      </c>
      <c r="UMU2" s="5" t="s">
        <v>409</v>
      </c>
      <c r="UMV2" s="5" t="s">
        <v>409</v>
      </c>
      <c r="UMW2" s="5" t="s">
        <v>409</v>
      </c>
      <c r="UMX2" s="5" t="s">
        <v>409</v>
      </c>
      <c r="UMY2" s="5" t="s">
        <v>409</v>
      </c>
      <c r="UMZ2" s="5" t="s">
        <v>409</v>
      </c>
      <c r="UNA2" s="5" t="s">
        <v>409</v>
      </c>
      <c r="UNB2" s="5" t="s">
        <v>409</v>
      </c>
      <c r="UNC2" s="5" t="s">
        <v>409</v>
      </c>
      <c r="UND2" s="5" t="s">
        <v>409</v>
      </c>
      <c r="UNE2" s="5" t="s">
        <v>409</v>
      </c>
      <c r="UNF2" s="5" t="s">
        <v>409</v>
      </c>
      <c r="UNG2" s="5" t="s">
        <v>409</v>
      </c>
      <c r="UNH2" s="5" t="s">
        <v>409</v>
      </c>
      <c r="UNI2" s="5" t="s">
        <v>409</v>
      </c>
      <c r="UNJ2" s="5" t="s">
        <v>409</v>
      </c>
      <c r="UNK2" s="5" t="s">
        <v>409</v>
      </c>
      <c r="UNL2" s="5" t="s">
        <v>409</v>
      </c>
      <c r="UNM2" s="5" t="s">
        <v>409</v>
      </c>
      <c r="UNN2" s="5" t="s">
        <v>409</v>
      </c>
      <c r="UNO2" s="5" t="s">
        <v>409</v>
      </c>
      <c r="UNP2" s="5" t="s">
        <v>409</v>
      </c>
      <c r="UNQ2" s="5" t="s">
        <v>409</v>
      </c>
      <c r="UNR2" s="5" t="s">
        <v>409</v>
      </c>
      <c r="UNS2" s="5" t="s">
        <v>409</v>
      </c>
      <c r="UNT2" s="5" t="s">
        <v>409</v>
      </c>
      <c r="UNU2" s="5" t="s">
        <v>409</v>
      </c>
      <c r="UNV2" s="5" t="s">
        <v>409</v>
      </c>
      <c r="UNW2" s="5" t="s">
        <v>409</v>
      </c>
      <c r="UNX2" s="5" t="s">
        <v>409</v>
      </c>
      <c r="UNY2" s="5" t="s">
        <v>409</v>
      </c>
      <c r="UNZ2" s="5" t="s">
        <v>409</v>
      </c>
      <c r="UOA2" s="5" t="s">
        <v>409</v>
      </c>
      <c r="UOB2" s="5" t="s">
        <v>409</v>
      </c>
      <c r="UOC2" s="5" t="s">
        <v>409</v>
      </c>
      <c r="UOD2" s="5" t="s">
        <v>409</v>
      </c>
      <c r="UOE2" s="5" t="s">
        <v>409</v>
      </c>
      <c r="UOF2" s="5" t="s">
        <v>409</v>
      </c>
      <c r="UOG2" s="5" t="s">
        <v>409</v>
      </c>
      <c r="UOH2" s="5" t="s">
        <v>409</v>
      </c>
      <c r="UOI2" s="5" t="s">
        <v>409</v>
      </c>
      <c r="UOJ2" s="5" t="s">
        <v>409</v>
      </c>
      <c r="UOK2" s="5" t="s">
        <v>409</v>
      </c>
      <c r="UOL2" s="5" t="s">
        <v>409</v>
      </c>
      <c r="UOM2" s="5" t="s">
        <v>409</v>
      </c>
      <c r="UON2" s="5" t="s">
        <v>409</v>
      </c>
      <c r="UOO2" s="5" t="s">
        <v>409</v>
      </c>
      <c r="UOP2" s="5" t="s">
        <v>409</v>
      </c>
      <c r="UOQ2" s="5" t="s">
        <v>409</v>
      </c>
      <c r="UOR2" s="5" t="s">
        <v>409</v>
      </c>
      <c r="UOS2" s="5" t="s">
        <v>409</v>
      </c>
      <c r="UOT2" s="5" t="s">
        <v>409</v>
      </c>
      <c r="UOU2" s="5" t="s">
        <v>409</v>
      </c>
      <c r="UOV2" s="5" t="s">
        <v>409</v>
      </c>
      <c r="UOW2" s="5" t="s">
        <v>409</v>
      </c>
      <c r="UOX2" s="5" t="s">
        <v>409</v>
      </c>
      <c r="UOY2" s="5" t="s">
        <v>409</v>
      </c>
      <c r="UOZ2" s="5" t="s">
        <v>409</v>
      </c>
      <c r="UPA2" s="5" t="s">
        <v>409</v>
      </c>
      <c r="UPB2" s="5" t="s">
        <v>409</v>
      </c>
      <c r="UPC2" s="5" t="s">
        <v>409</v>
      </c>
      <c r="UPD2" s="5" t="s">
        <v>409</v>
      </c>
      <c r="UPE2" s="5" t="s">
        <v>409</v>
      </c>
      <c r="UPF2" s="5" t="s">
        <v>409</v>
      </c>
      <c r="UPG2" s="5" t="s">
        <v>409</v>
      </c>
      <c r="UPH2" s="5" t="s">
        <v>409</v>
      </c>
      <c r="UPI2" s="5" t="s">
        <v>409</v>
      </c>
      <c r="UPJ2" s="5" t="s">
        <v>409</v>
      </c>
      <c r="UPK2" s="5" t="s">
        <v>409</v>
      </c>
      <c r="UPL2" s="5" t="s">
        <v>409</v>
      </c>
      <c r="UPM2" s="5" t="s">
        <v>409</v>
      </c>
      <c r="UPN2" s="5" t="s">
        <v>409</v>
      </c>
      <c r="UPO2" s="5" t="s">
        <v>409</v>
      </c>
      <c r="UPP2" s="5" t="s">
        <v>409</v>
      </c>
      <c r="UPQ2" s="5" t="s">
        <v>409</v>
      </c>
      <c r="UPR2" s="5" t="s">
        <v>409</v>
      </c>
      <c r="UPS2" s="5" t="s">
        <v>409</v>
      </c>
      <c r="UPT2" s="5" t="s">
        <v>409</v>
      </c>
      <c r="UPU2" s="5" t="s">
        <v>409</v>
      </c>
      <c r="UPV2" s="5" t="s">
        <v>409</v>
      </c>
      <c r="UPW2" s="5" t="s">
        <v>409</v>
      </c>
      <c r="UPX2" s="5" t="s">
        <v>409</v>
      </c>
      <c r="UPY2" s="5" t="s">
        <v>409</v>
      </c>
      <c r="UPZ2" s="5" t="s">
        <v>409</v>
      </c>
      <c r="UQA2" s="5" t="s">
        <v>409</v>
      </c>
      <c r="UQB2" s="5" t="s">
        <v>409</v>
      </c>
      <c r="UQC2" s="5" t="s">
        <v>409</v>
      </c>
      <c r="UQD2" s="5" t="s">
        <v>409</v>
      </c>
      <c r="UQE2" s="5" t="s">
        <v>409</v>
      </c>
      <c r="UQF2" s="5" t="s">
        <v>409</v>
      </c>
      <c r="UQG2" s="5" t="s">
        <v>409</v>
      </c>
      <c r="UQH2" s="5" t="s">
        <v>409</v>
      </c>
      <c r="UQI2" s="5" t="s">
        <v>409</v>
      </c>
      <c r="UQJ2" s="5" t="s">
        <v>409</v>
      </c>
      <c r="UQK2" s="5" t="s">
        <v>409</v>
      </c>
      <c r="UQL2" s="5" t="s">
        <v>409</v>
      </c>
      <c r="UQM2" s="5" t="s">
        <v>409</v>
      </c>
      <c r="UQN2" s="5" t="s">
        <v>409</v>
      </c>
      <c r="UQO2" s="5" t="s">
        <v>409</v>
      </c>
      <c r="UQP2" s="5" t="s">
        <v>409</v>
      </c>
      <c r="UQQ2" s="5" t="s">
        <v>409</v>
      </c>
      <c r="UQR2" s="5" t="s">
        <v>409</v>
      </c>
      <c r="UQS2" s="5" t="s">
        <v>409</v>
      </c>
      <c r="UQT2" s="5" t="s">
        <v>409</v>
      </c>
      <c r="UQU2" s="5" t="s">
        <v>409</v>
      </c>
      <c r="UQV2" s="5" t="s">
        <v>409</v>
      </c>
      <c r="UQW2" s="5" t="s">
        <v>409</v>
      </c>
      <c r="UQX2" s="5" t="s">
        <v>409</v>
      </c>
      <c r="UQY2" s="5" t="s">
        <v>409</v>
      </c>
      <c r="UQZ2" s="5" t="s">
        <v>409</v>
      </c>
      <c r="URA2" s="5" t="s">
        <v>409</v>
      </c>
      <c r="URB2" s="5" t="s">
        <v>409</v>
      </c>
      <c r="URC2" s="5" t="s">
        <v>409</v>
      </c>
      <c r="URD2" s="5" t="s">
        <v>409</v>
      </c>
      <c r="URE2" s="5" t="s">
        <v>409</v>
      </c>
      <c r="URF2" s="5" t="s">
        <v>409</v>
      </c>
      <c r="URG2" s="5" t="s">
        <v>409</v>
      </c>
      <c r="URH2" s="5" t="s">
        <v>409</v>
      </c>
      <c r="URI2" s="5" t="s">
        <v>409</v>
      </c>
      <c r="URJ2" s="5" t="s">
        <v>409</v>
      </c>
      <c r="URK2" s="5" t="s">
        <v>409</v>
      </c>
      <c r="URL2" s="5" t="s">
        <v>409</v>
      </c>
      <c r="URM2" s="5" t="s">
        <v>409</v>
      </c>
      <c r="URN2" s="5" t="s">
        <v>409</v>
      </c>
      <c r="URO2" s="5" t="s">
        <v>409</v>
      </c>
      <c r="URP2" s="5" t="s">
        <v>409</v>
      </c>
      <c r="URQ2" s="5" t="s">
        <v>409</v>
      </c>
      <c r="URR2" s="5" t="s">
        <v>409</v>
      </c>
      <c r="URS2" s="5" t="s">
        <v>409</v>
      </c>
      <c r="URT2" s="5" t="s">
        <v>409</v>
      </c>
      <c r="URU2" s="5" t="s">
        <v>409</v>
      </c>
      <c r="URV2" s="5" t="s">
        <v>409</v>
      </c>
      <c r="URW2" s="5" t="s">
        <v>409</v>
      </c>
      <c r="URX2" s="5" t="s">
        <v>409</v>
      </c>
      <c r="URY2" s="5" t="s">
        <v>409</v>
      </c>
      <c r="URZ2" s="5" t="s">
        <v>409</v>
      </c>
      <c r="USA2" s="5" t="s">
        <v>409</v>
      </c>
      <c r="USB2" s="5" t="s">
        <v>409</v>
      </c>
      <c r="USC2" s="5" t="s">
        <v>409</v>
      </c>
      <c r="USD2" s="5" t="s">
        <v>409</v>
      </c>
      <c r="USE2" s="5" t="s">
        <v>409</v>
      </c>
      <c r="USF2" s="5" t="s">
        <v>409</v>
      </c>
      <c r="USG2" s="5" t="s">
        <v>409</v>
      </c>
      <c r="USH2" s="5" t="s">
        <v>409</v>
      </c>
      <c r="USI2" s="5" t="s">
        <v>409</v>
      </c>
      <c r="USJ2" s="5" t="s">
        <v>409</v>
      </c>
      <c r="USK2" s="5" t="s">
        <v>409</v>
      </c>
      <c r="USL2" s="5" t="s">
        <v>409</v>
      </c>
      <c r="USM2" s="5" t="s">
        <v>409</v>
      </c>
      <c r="USN2" s="5" t="s">
        <v>409</v>
      </c>
      <c r="USO2" s="5" t="s">
        <v>409</v>
      </c>
      <c r="USP2" s="5" t="s">
        <v>409</v>
      </c>
      <c r="USQ2" s="5" t="s">
        <v>409</v>
      </c>
      <c r="USR2" s="5" t="s">
        <v>409</v>
      </c>
      <c r="USS2" s="5" t="s">
        <v>409</v>
      </c>
      <c r="UST2" s="5" t="s">
        <v>409</v>
      </c>
      <c r="USU2" s="5" t="s">
        <v>409</v>
      </c>
      <c r="USV2" s="5" t="s">
        <v>409</v>
      </c>
      <c r="USW2" s="5" t="s">
        <v>409</v>
      </c>
      <c r="USX2" s="5" t="s">
        <v>409</v>
      </c>
      <c r="USY2" s="5" t="s">
        <v>409</v>
      </c>
      <c r="USZ2" s="5" t="s">
        <v>409</v>
      </c>
      <c r="UTA2" s="5" t="s">
        <v>409</v>
      </c>
      <c r="UTB2" s="5" t="s">
        <v>409</v>
      </c>
      <c r="UTC2" s="5" t="s">
        <v>409</v>
      </c>
      <c r="UTD2" s="5" t="s">
        <v>409</v>
      </c>
      <c r="UTE2" s="5" t="s">
        <v>409</v>
      </c>
      <c r="UTF2" s="5" t="s">
        <v>409</v>
      </c>
      <c r="UTG2" s="5" t="s">
        <v>409</v>
      </c>
      <c r="UTH2" s="5" t="s">
        <v>409</v>
      </c>
      <c r="UTI2" s="5" t="s">
        <v>409</v>
      </c>
      <c r="UTJ2" s="5" t="s">
        <v>409</v>
      </c>
      <c r="UTK2" s="5" t="s">
        <v>409</v>
      </c>
      <c r="UTL2" s="5" t="s">
        <v>409</v>
      </c>
      <c r="UTM2" s="5" t="s">
        <v>409</v>
      </c>
      <c r="UTN2" s="5" t="s">
        <v>409</v>
      </c>
      <c r="UTO2" s="5" t="s">
        <v>409</v>
      </c>
      <c r="UTP2" s="5" t="s">
        <v>409</v>
      </c>
      <c r="UTQ2" s="5" t="s">
        <v>409</v>
      </c>
      <c r="UTR2" s="5" t="s">
        <v>409</v>
      </c>
      <c r="UTS2" s="5" t="s">
        <v>409</v>
      </c>
      <c r="UTT2" s="5" t="s">
        <v>409</v>
      </c>
      <c r="UTU2" s="5" t="s">
        <v>409</v>
      </c>
      <c r="UTV2" s="5" t="s">
        <v>409</v>
      </c>
      <c r="UTW2" s="5" t="s">
        <v>409</v>
      </c>
      <c r="UTX2" s="5" t="s">
        <v>409</v>
      </c>
      <c r="UTY2" s="5" t="s">
        <v>409</v>
      </c>
      <c r="UTZ2" s="5" t="s">
        <v>409</v>
      </c>
      <c r="UUA2" s="5" t="s">
        <v>409</v>
      </c>
      <c r="UUB2" s="5" t="s">
        <v>409</v>
      </c>
      <c r="UUC2" s="5" t="s">
        <v>409</v>
      </c>
      <c r="UUD2" s="5" t="s">
        <v>409</v>
      </c>
      <c r="UUE2" s="5" t="s">
        <v>409</v>
      </c>
      <c r="UUF2" s="5" t="s">
        <v>409</v>
      </c>
      <c r="UUG2" s="5" t="s">
        <v>409</v>
      </c>
      <c r="UUH2" s="5" t="s">
        <v>409</v>
      </c>
      <c r="UUI2" s="5" t="s">
        <v>409</v>
      </c>
      <c r="UUJ2" s="5" t="s">
        <v>409</v>
      </c>
      <c r="UUK2" s="5" t="s">
        <v>409</v>
      </c>
      <c r="UUL2" s="5" t="s">
        <v>409</v>
      </c>
      <c r="UUM2" s="5" t="s">
        <v>409</v>
      </c>
      <c r="UUN2" s="5" t="s">
        <v>409</v>
      </c>
      <c r="UUO2" s="5" t="s">
        <v>409</v>
      </c>
      <c r="UUP2" s="5" t="s">
        <v>409</v>
      </c>
      <c r="UUQ2" s="5" t="s">
        <v>409</v>
      </c>
      <c r="UUR2" s="5" t="s">
        <v>409</v>
      </c>
      <c r="UUS2" s="5" t="s">
        <v>409</v>
      </c>
      <c r="UUT2" s="5" t="s">
        <v>409</v>
      </c>
      <c r="UUU2" s="5" t="s">
        <v>409</v>
      </c>
      <c r="UUV2" s="5" t="s">
        <v>409</v>
      </c>
      <c r="UUW2" s="5" t="s">
        <v>409</v>
      </c>
      <c r="UUX2" s="5" t="s">
        <v>409</v>
      </c>
      <c r="UUY2" s="5" t="s">
        <v>409</v>
      </c>
      <c r="UUZ2" s="5" t="s">
        <v>409</v>
      </c>
      <c r="UVA2" s="5" t="s">
        <v>409</v>
      </c>
      <c r="UVB2" s="5" t="s">
        <v>409</v>
      </c>
      <c r="UVC2" s="5" t="s">
        <v>409</v>
      </c>
      <c r="UVD2" s="5" t="s">
        <v>409</v>
      </c>
      <c r="UVE2" s="5" t="s">
        <v>409</v>
      </c>
      <c r="UVF2" s="5" t="s">
        <v>409</v>
      </c>
      <c r="UVG2" s="5" t="s">
        <v>409</v>
      </c>
      <c r="UVH2" s="5" t="s">
        <v>409</v>
      </c>
      <c r="UVI2" s="5" t="s">
        <v>409</v>
      </c>
      <c r="UVJ2" s="5" t="s">
        <v>409</v>
      </c>
      <c r="UVK2" s="5" t="s">
        <v>409</v>
      </c>
      <c r="UVL2" s="5" t="s">
        <v>409</v>
      </c>
      <c r="UVM2" s="5" t="s">
        <v>409</v>
      </c>
      <c r="UVN2" s="5" t="s">
        <v>409</v>
      </c>
      <c r="UVO2" s="5" t="s">
        <v>409</v>
      </c>
      <c r="UVP2" s="5" t="s">
        <v>409</v>
      </c>
      <c r="UVQ2" s="5" t="s">
        <v>409</v>
      </c>
      <c r="UVR2" s="5" t="s">
        <v>409</v>
      </c>
      <c r="UVS2" s="5" t="s">
        <v>409</v>
      </c>
      <c r="UVT2" s="5" t="s">
        <v>409</v>
      </c>
      <c r="UVU2" s="5" t="s">
        <v>409</v>
      </c>
      <c r="UVV2" s="5" t="s">
        <v>409</v>
      </c>
      <c r="UVW2" s="5" t="s">
        <v>409</v>
      </c>
      <c r="UVX2" s="5" t="s">
        <v>409</v>
      </c>
      <c r="UVY2" s="5" t="s">
        <v>409</v>
      </c>
      <c r="UVZ2" s="5" t="s">
        <v>409</v>
      </c>
      <c r="UWA2" s="5" t="s">
        <v>409</v>
      </c>
      <c r="UWB2" s="5" t="s">
        <v>409</v>
      </c>
      <c r="UWC2" s="5" t="s">
        <v>409</v>
      </c>
      <c r="UWD2" s="5" t="s">
        <v>409</v>
      </c>
      <c r="UWE2" s="5" t="s">
        <v>409</v>
      </c>
      <c r="UWF2" s="5" t="s">
        <v>409</v>
      </c>
      <c r="UWG2" s="5" t="s">
        <v>409</v>
      </c>
      <c r="UWH2" s="5" t="s">
        <v>409</v>
      </c>
      <c r="UWI2" s="5" t="s">
        <v>409</v>
      </c>
      <c r="UWJ2" s="5" t="s">
        <v>409</v>
      </c>
      <c r="UWK2" s="5" t="s">
        <v>409</v>
      </c>
      <c r="UWL2" s="5" t="s">
        <v>409</v>
      </c>
      <c r="UWM2" s="5" t="s">
        <v>409</v>
      </c>
      <c r="UWN2" s="5" t="s">
        <v>409</v>
      </c>
      <c r="UWO2" s="5" t="s">
        <v>409</v>
      </c>
      <c r="UWP2" s="5" t="s">
        <v>409</v>
      </c>
      <c r="UWQ2" s="5" t="s">
        <v>409</v>
      </c>
      <c r="UWR2" s="5" t="s">
        <v>409</v>
      </c>
      <c r="UWS2" s="5" t="s">
        <v>409</v>
      </c>
      <c r="UWT2" s="5" t="s">
        <v>409</v>
      </c>
      <c r="UWU2" s="5" t="s">
        <v>409</v>
      </c>
      <c r="UWV2" s="5" t="s">
        <v>409</v>
      </c>
      <c r="UWW2" s="5" t="s">
        <v>409</v>
      </c>
      <c r="UWX2" s="5" t="s">
        <v>409</v>
      </c>
      <c r="UWY2" s="5" t="s">
        <v>409</v>
      </c>
      <c r="UWZ2" s="5" t="s">
        <v>409</v>
      </c>
      <c r="UXA2" s="5" t="s">
        <v>409</v>
      </c>
      <c r="UXB2" s="5" t="s">
        <v>409</v>
      </c>
      <c r="UXC2" s="5" t="s">
        <v>409</v>
      </c>
      <c r="UXD2" s="5" t="s">
        <v>409</v>
      </c>
      <c r="UXE2" s="5" t="s">
        <v>409</v>
      </c>
      <c r="UXF2" s="5" t="s">
        <v>409</v>
      </c>
      <c r="UXG2" s="5" t="s">
        <v>409</v>
      </c>
      <c r="UXH2" s="5" t="s">
        <v>409</v>
      </c>
      <c r="UXI2" s="5" t="s">
        <v>409</v>
      </c>
      <c r="UXJ2" s="5" t="s">
        <v>409</v>
      </c>
      <c r="UXK2" s="5" t="s">
        <v>409</v>
      </c>
      <c r="UXL2" s="5" t="s">
        <v>409</v>
      </c>
      <c r="UXM2" s="5" t="s">
        <v>409</v>
      </c>
      <c r="UXN2" s="5" t="s">
        <v>409</v>
      </c>
      <c r="UXO2" s="5" t="s">
        <v>409</v>
      </c>
      <c r="UXP2" s="5" t="s">
        <v>409</v>
      </c>
      <c r="UXQ2" s="5" t="s">
        <v>409</v>
      </c>
      <c r="UXR2" s="5" t="s">
        <v>409</v>
      </c>
      <c r="UXS2" s="5" t="s">
        <v>409</v>
      </c>
      <c r="UXT2" s="5" t="s">
        <v>409</v>
      </c>
      <c r="UXU2" s="5" t="s">
        <v>409</v>
      </c>
      <c r="UXV2" s="5" t="s">
        <v>409</v>
      </c>
      <c r="UXW2" s="5" t="s">
        <v>409</v>
      </c>
      <c r="UXX2" s="5" t="s">
        <v>409</v>
      </c>
      <c r="UXY2" s="5" t="s">
        <v>409</v>
      </c>
      <c r="UXZ2" s="5" t="s">
        <v>409</v>
      </c>
      <c r="UYA2" s="5" t="s">
        <v>409</v>
      </c>
      <c r="UYB2" s="5" t="s">
        <v>409</v>
      </c>
      <c r="UYC2" s="5" t="s">
        <v>409</v>
      </c>
      <c r="UYD2" s="5" t="s">
        <v>409</v>
      </c>
      <c r="UYE2" s="5" t="s">
        <v>409</v>
      </c>
      <c r="UYF2" s="5" t="s">
        <v>409</v>
      </c>
      <c r="UYG2" s="5" t="s">
        <v>409</v>
      </c>
      <c r="UYH2" s="5" t="s">
        <v>409</v>
      </c>
      <c r="UYI2" s="5" t="s">
        <v>409</v>
      </c>
      <c r="UYJ2" s="5" t="s">
        <v>409</v>
      </c>
      <c r="UYK2" s="5" t="s">
        <v>409</v>
      </c>
      <c r="UYL2" s="5" t="s">
        <v>409</v>
      </c>
      <c r="UYM2" s="5" t="s">
        <v>409</v>
      </c>
      <c r="UYN2" s="5" t="s">
        <v>409</v>
      </c>
      <c r="UYO2" s="5" t="s">
        <v>409</v>
      </c>
      <c r="UYP2" s="5" t="s">
        <v>409</v>
      </c>
      <c r="UYQ2" s="5" t="s">
        <v>409</v>
      </c>
      <c r="UYR2" s="5" t="s">
        <v>409</v>
      </c>
      <c r="UYS2" s="5" t="s">
        <v>409</v>
      </c>
      <c r="UYT2" s="5" t="s">
        <v>409</v>
      </c>
      <c r="UYU2" s="5" t="s">
        <v>409</v>
      </c>
      <c r="UYV2" s="5" t="s">
        <v>409</v>
      </c>
      <c r="UYW2" s="5" t="s">
        <v>409</v>
      </c>
      <c r="UYX2" s="5" t="s">
        <v>409</v>
      </c>
      <c r="UYY2" s="5" t="s">
        <v>409</v>
      </c>
      <c r="UYZ2" s="5" t="s">
        <v>409</v>
      </c>
      <c r="UZA2" s="5" t="s">
        <v>409</v>
      </c>
      <c r="UZB2" s="5" t="s">
        <v>409</v>
      </c>
      <c r="UZC2" s="5" t="s">
        <v>409</v>
      </c>
      <c r="UZD2" s="5" t="s">
        <v>409</v>
      </c>
      <c r="UZE2" s="5" t="s">
        <v>409</v>
      </c>
      <c r="UZF2" s="5" t="s">
        <v>409</v>
      </c>
      <c r="UZG2" s="5" t="s">
        <v>409</v>
      </c>
      <c r="UZH2" s="5" t="s">
        <v>409</v>
      </c>
      <c r="UZI2" s="5" t="s">
        <v>409</v>
      </c>
      <c r="UZJ2" s="5" t="s">
        <v>409</v>
      </c>
      <c r="UZK2" s="5" t="s">
        <v>409</v>
      </c>
      <c r="UZL2" s="5" t="s">
        <v>409</v>
      </c>
      <c r="UZM2" s="5" t="s">
        <v>409</v>
      </c>
      <c r="UZN2" s="5" t="s">
        <v>409</v>
      </c>
      <c r="UZO2" s="5" t="s">
        <v>409</v>
      </c>
      <c r="UZP2" s="5" t="s">
        <v>409</v>
      </c>
      <c r="UZQ2" s="5" t="s">
        <v>409</v>
      </c>
      <c r="UZR2" s="5" t="s">
        <v>409</v>
      </c>
      <c r="UZS2" s="5" t="s">
        <v>409</v>
      </c>
      <c r="UZT2" s="5" t="s">
        <v>409</v>
      </c>
      <c r="UZU2" s="5" t="s">
        <v>409</v>
      </c>
      <c r="UZV2" s="5" t="s">
        <v>409</v>
      </c>
      <c r="UZW2" s="5" t="s">
        <v>409</v>
      </c>
      <c r="UZX2" s="5" t="s">
        <v>409</v>
      </c>
      <c r="UZY2" s="5" t="s">
        <v>409</v>
      </c>
      <c r="UZZ2" s="5" t="s">
        <v>409</v>
      </c>
      <c r="VAA2" s="5" t="s">
        <v>409</v>
      </c>
      <c r="VAB2" s="5" t="s">
        <v>409</v>
      </c>
      <c r="VAC2" s="5" t="s">
        <v>409</v>
      </c>
      <c r="VAD2" s="5" t="s">
        <v>409</v>
      </c>
      <c r="VAE2" s="5" t="s">
        <v>409</v>
      </c>
      <c r="VAF2" s="5" t="s">
        <v>409</v>
      </c>
      <c r="VAG2" s="5" t="s">
        <v>409</v>
      </c>
      <c r="VAH2" s="5" t="s">
        <v>409</v>
      </c>
      <c r="VAI2" s="5" t="s">
        <v>409</v>
      </c>
      <c r="VAJ2" s="5" t="s">
        <v>409</v>
      </c>
      <c r="VAK2" s="5" t="s">
        <v>409</v>
      </c>
      <c r="VAL2" s="5" t="s">
        <v>409</v>
      </c>
      <c r="VAM2" s="5" t="s">
        <v>409</v>
      </c>
      <c r="VAN2" s="5" t="s">
        <v>409</v>
      </c>
      <c r="VAO2" s="5" t="s">
        <v>409</v>
      </c>
      <c r="VAP2" s="5" t="s">
        <v>409</v>
      </c>
      <c r="VAQ2" s="5" t="s">
        <v>409</v>
      </c>
      <c r="VAR2" s="5" t="s">
        <v>409</v>
      </c>
      <c r="VAS2" s="5" t="s">
        <v>409</v>
      </c>
      <c r="VAT2" s="5" t="s">
        <v>409</v>
      </c>
      <c r="VAU2" s="5" t="s">
        <v>409</v>
      </c>
      <c r="VAV2" s="5" t="s">
        <v>409</v>
      </c>
      <c r="VAW2" s="5" t="s">
        <v>409</v>
      </c>
      <c r="VAX2" s="5" t="s">
        <v>409</v>
      </c>
      <c r="VAY2" s="5" t="s">
        <v>409</v>
      </c>
      <c r="VAZ2" s="5" t="s">
        <v>409</v>
      </c>
      <c r="VBA2" s="5" t="s">
        <v>409</v>
      </c>
      <c r="VBB2" s="5" t="s">
        <v>409</v>
      </c>
      <c r="VBC2" s="5" t="s">
        <v>409</v>
      </c>
      <c r="VBD2" s="5" t="s">
        <v>409</v>
      </c>
      <c r="VBE2" s="5" t="s">
        <v>409</v>
      </c>
      <c r="VBF2" s="5" t="s">
        <v>409</v>
      </c>
      <c r="VBG2" s="5" t="s">
        <v>409</v>
      </c>
      <c r="VBH2" s="5" t="s">
        <v>409</v>
      </c>
      <c r="VBI2" s="5" t="s">
        <v>409</v>
      </c>
      <c r="VBJ2" s="5" t="s">
        <v>409</v>
      </c>
      <c r="VBK2" s="5" t="s">
        <v>409</v>
      </c>
      <c r="VBL2" s="5" t="s">
        <v>409</v>
      </c>
      <c r="VBM2" s="5" t="s">
        <v>409</v>
      </c>
      <c r="VBN2" s="5" t="s">
        <v>409</v>
      </c>
      <c r="VBO2" s="5" t="s">
        <v>409</v>
      </c>
      <c r="VBP2" s="5" t="s">
        <v>409</v>
      </c>
      <c r="VBQ2" s="5" t="s">
        <v>409</v>
      </c>
      <c r="VBR2" s="5" t="s">
        <v>409</v>
      </c>
      <c r="VBS2" s="5" t="s">
        <v>409</v>
      </c>
      <c r="VBT2" s="5" t="s">
        <v>409</v>
      </c>
      <c r="VBU2" s="5" t="s">
        <v>409</v>
      </c>
      <c r="VBV2" s="5" t="s">
        <v>409</v>
      </c>
      <c r="VBW2" s="5" t="s">
        <v>409</v>
      </c>
      <c r="VBX2" s="5" t="s">
        <v>409</v>
      </c>
      <c r="VBY2" s="5" t="s">
        <v>409</v>
      </c>
      <c r="VBZ2" s="5" t="s">
        <v>409</v>
      </c>
      <c r="VCA2" s="5" t="s">
        <v>409</v>
      </c>
      <c r="VCB2" s="5" t="s">
        <v>409</v>
      </c>
      <c r="VCC2" s="5" t="s">
        <v>409</v>
      </c>
      <c r="VCD2" s="5" t="s">
        <v>409</v>
      </c>
      <c r="VCE2" s="5" t="s">
        <v>409</v>
      </c>
      <c r="VCF2" s="5" t="s">
        <v>409</v>
      </c>
      <c r="VCG2" s="5" t="s">
        <v>409</v>
      </c>
      <c r="VCH2" s="5" t="s">
        <v>409</v>
      </c>
      <c r="VCI2" s="5" t="s">
        <v>409</v>
      </c>
      <c r="VCJ2" s="5" t="s">
        <v>409</v>
      </c>
      <c r="VCK2" s="5" t="s">
        <v>409</v>
      </c>
      <c r="VCL2" s="5" t="s">
        <v>409</v>
      </c>
      <c r="VCM2" s="5" t="s">
        <v>409</v>
      </c>
      <c r="VCN2" s="5" t="s">
        <v>409</v>
      </c>
      <c r="VCO2" s="5" t="s">
        <v>409</v>
      </c>
      <c r="VCP2" s="5" t="s">
        <v>409</v>
      </c>
      <c r="VCQ2" s="5" t="s">
        <v>409</v>
      </c>
      <c r="VCR2" s="5" t="s">
        <v>409</v>
      </c>
      <c r="VCS2" s="5" t="s">
        <v>409</v>
      </c>
      <c r="VCT2" s="5" t="s">
        <v>409</v>
      </c>
      <c r="VCU2" s="5" t="s">
        <v>409</v>
      </c>
      <c r="VCV2" s="5" t="s">
        <v>409</v>
      </c>
      <c r="VCW2" s="5" t="s">
        <v>409</v>
      </c>
      <c r="VCX2" s="5" t="s">
        <v>409</v>
      </c>
      <c r="VCY2" s="5" t="s">
        <v>409</v>
      </c>
      <c r="VCZ2" s="5" t="s">
        <v>409</v>
      </c>
      <c r="VDA2" s="5" t="s">
        <v>409</v>
      </c>
      <c r="VDB2" s="5" t="s">
        <v>409</v>
      </c>
      <c r="VDC2" s="5" t="s">
        <v>409</v>
      </c>
      <c r="VDD2" s="5" t="s">
        <v>409</v>
      </c>
      <c r="VDE2" s="5" t="s">
        <v>409</v>
      </c>
      <c r="VDF2" s="5" t="s">
        <v>409</v>
      </c>
      <c r="VDG2" s="5" t="s">
        <v>409</v>
      </c>
      <c r="VDH2" s="5" t="s">
        <v>409</v>
      </c>
      <c r="VDI2" s="5" t="s">
        <v>409</v>
      </c>
      <c r="VDJ2" s="5" t="s">
        <v>409</v>
      </c>
      <c r="VDK2" s="5" t="s">
        <v>409</v>
      </c>
      <c r="VDL2" s="5" t="s">
        <v>409</v>
      </c>
      <c r="VDM2" s="5" t="s">
        <v>409</v>
      </c>
      <c r="VDN2" s="5" t="s">
        <v>409</v>
      </c>
      <c r="VDO2" s="5" t="s">
        <v>409</v>
      </c>
      <c r="VDP2" s="5" t="s">
        <v>409</v>
      </c>
      <c r="VDQ2" s="5" t="s">
        <v>409</v>
      </c>
      <c r="VDR2" s="5" t="s">
        <v>409</v>
      </c>
      <c r="VDS2" s="5" t="s">
        <v>409</v>
      </c>
      <c r="VDT2" s="5" t="s">
        <v>409</v>
      </c>
      <c r="VDU2" s="5" t="s">
        <v>409</v>
      </c>
      <c r="VDV2" s="5" t="s">
        <v>409</v>
      </c>
      <c r="VDW2" s="5" t="s">
        <v>409</v>
      </c>
      <c r="VDX2" s="5" t="s">
        <v>409</v>
      </c>
      <c r="VDY2" s="5" t="s">
        <v>409</v>
      </c>
      <c r="VDZ2" s="5" t="s">
        <v>409</v>
      </c>
      <c r="VEA2" s="5" t="s">
        <v>409</v>
      </c>
      <c r="VEB2" s="5" t="s">
        <v>409</v>
      </c>
      <c r="VEC2" s="5" t="s">
        <v>409</v>
      </c>
      <c r="VED2" s="5" t="s">
        <v>409</v>
      </c>
      <c r="VEE2" s="5" t="s">
        <v>409</v>
      </c>
      <c r="VEF2" s="5" t="s">
        <v>409</v>
      </c>
      <c r="VEG2" s="5" t="s">
        <v>409</v>
      </c>
      <c r="VEH2" s="5" t="s">
        <v>409</v>
      </c>
      <c r="VEI2" s="5" t="s">
        <v>409</v>
      </c>
      <c r="VEJ2" s="5" t="s">
        <v>409</v>
      </c>
      <c r="VEK2" s="5" t="s">
        <v>409</v>
      </c>
      <c r="VEL2" s="5" t="s">
        <v>409</v>
      </c>
      <c r="VEM2" s="5" t="s">
        <v>409</v>
      </c>
      <c r="VEN2" s="5" t="s">
        <v>409</v>
      </c>
      <c r="VEO2" s="5" t="s">
        <v>409</v>
      </c>
      <c r="VEP2" s="5" t="s">
        <v>409</v>
      </c>
      <c r="VEQ2" s="5" t="s">
        <v>409</v>
      </c>
      <c r="VER2" s="5" t="s">
        <v>409</v>
      </c>
      <c r="VES2" s="5" t="s">
        <v>409</v>
      </c>
      <c r="VET2" s="5" t="s">
        <v>409</v>
      </c>
      <c r="VEU2" s="5" t="s">
        <v>409</v>
      </c>
      <c r="VEV2" s="5" t="s">
        <v>409</v>
      </c>
      <c r="VEW2" s="5" t="s">
        <v>409</v>
      </c>
      <c r="VEX2" s="5" t="s">
        <v>409</v>
      </c>
      <c r="VEY2" s="5" t="s">
        <v>409</v>
      </c>
      <c r="VEZ2" s="5" t="s">
        <v>409</v>
      </c>
      <c r="VFA2" s="5" t="s">
        <v>409</v>
      </c>
      <c r="VFB2" s="5" t="s">
        <v>409</v>
      </c>
      <c r="VFC2" s="5" t="s">
        <v>409</v>
      </c>
      <c r="VFD2" s="5" t="s">
        <v>409</v>
      </c>
      <c r="VFE2" s="5" t="s">
        <v>409</v>
      </c>
      <c r="VFF2" s="5" t="s">
        <v>409</v>
      </c>
      <c r="VFG2" s="5" t="s">
        <v>409</v>
      </c>
      <c r="VFH2" s="5" t="s">
        <v>409</v>
      </c>
      <c r="VFI2" s="5" t="s">
        <v>409</v>
      </c>
      <c r="VFJ2" s="5" t="s">
        <v>409</v>
      </c>
      <c r="VFK2" s="5" t="s">
        <v>409</v>
      </c>
      <c r="VFL2" s="5" t="s">
        <v>409</v>
      </c>
      <c r="VFM2" s="5" t="s">
        <v>409</v>
      </c>
      <c r="VFN2" s="5" t="s">
        <v>409</v>
      </c>
      <c r="VFO2" s="5" t="s">
        <v>409</v>
      </c>
      <c r="VFP2" s="5" t="s">
        <v>409</v>
      </c>
      <c r="VFQ2" s="5" t="s">
        <v>409</v>
      </c>
      <c r="VFR2" s="5" t="s">
        <v>409</v>
      </c>
      <c r="VFS2" s="5" t="s">
        <v>409</v>
      </c>
      <c r="VFT2" s="5" t="s">
        <v>409</v>
      </c>
      <c r="VFU2" s="5" t="s">
        <v>409</v>
      </c>
      <c r="VFV2" s="5" t="s">
        <v>409</v>
      </c>
      <c r="VFW2" s="5" t="s">
        <v>409</v>
      </c>
      <c r="VFX2" s="5" t="s">
        <v>409</v>
      </c>
      <c r="VFY2" s="5" t="s">
        <v>409</v>
      </c>
      <c r="VFZ2" s="5" t="s">
        <v>409</v>
      </c>
      <c r="VGA2" s="5" t="s">
        <v>409</v>
      </c>
      <c r="VGB2" s="5" t="s">
        <v>409</v>
      </c>
      <c r="VGC2" s="5" t="s">
        <v>409</v>
      </c>
      <c r="VGD2" s="5" t="s">
        <v>409</v>
      </c>
      <c r="VGE2" s="5" t="s">
        <v>409</v>
      </c>
      <c r="VGF2" s="5" t="s">
        <v>409</v>
      </c>
      <c r="VGG2" s="5" t="s">
        <v>409</v>
      </c>
      <c r="VGH2" s="5" t="s">
        <v>409</v>
      </c>
      <c r="VGI2" s="5" t="s">
        <v>409</v>
      </c>
      <c r="VGJ2" s="5" t="s">
        <v>409</v>
      </c>
      <c r="VGK2" s="5" t="s">
        <v>409</v>
      </c>
      <c r="VGL2" s="5" t="s">
        <v>409</v>
      </c>
      <c r="VGM2" s="5" t="s">
        <v>409</v>
      </c>
      <c r="VGN2" s="5" t="s">
        <v>409</v>
      </c>
      <c r="VGO2" s="5" t="s">
        <v>409</v>
      </c>
      <c r="VGP2" s="5" t="s">
        <v>409</v>
      </c>
      <c r="VGQ2" s="5" t="s">
        <v>409</v>
      </c>
      <c r="VGR2" s="5" t="s">
        <v>409</v>
      </c>
      <c r="VGS2" s="5" t="s">
        <v>409</v>
      </c>
      <c r="VGT2" s="5" t="s">
        <v>409</v>
      </c>
      <c r="VGU2" s="5" t="s">
        <v>409</v>
      </c>
      <c r="VGV2" s="5" t="s">
        <v>409</v>
      </c>
      <c r="VGW2" s="5" t="s">
        <v>409</v>
      </c>
      <c r="VGX2" s="5" t="s">
        <v>409</v>
      </c>
      <c r="VGY2" s="5" t="s">
        <v>409</v>
      </c>
      <c r="VGZ2" s="5" t="s">
        <v>409</v>
      </c>
      <c r="VHA2" s="5" t="s">
        <v>409</v>
      </c>
      <c r="VHB2" s="5" t="s">
        <v>409</v>
      </c>
      <c r="VHC2" s="5" t="s">
        <v>409</v>
      </c>
      <c r="VHD2" s="5" t="s">
        <v>409</v>
      </c>
      <c r="VHE2" s="5" t="s">
        <v>409</v>
      </c>
      <c r="VHF2" s="5" t="s">
        <v>409</v>
      </c>
      <c r="VHG2" s="5" t="s">
        <v>409</v>
      </c>
      <c r="VHH2" s="5" t="s">
        <v>409</v>
      </c>
      <c r="VHI2" s="5" t="s">
        <v>409</v>
      </c>
      <c r="VHJ2" s="5" t="s">
        <v>409</v>
      </c>
      <c r="VHK2" s="5" t="s">
        <v>409</v>
      </c>
      <c r="VHL2" s="5" t="s">
        <v>409</v>
      </c>
      <c r="VHM2" s="5" t="s">
        <v>409</v>
      </c>
      <c r="VHN2" s="5" t="s">
        <v>409</v>
      </c>
      <c r="VHO2" s="5" t="s">
        <v>409</v>
      </c>
      <c r="VHP2" s="5" t="s">
        <v>409</v>
      </c>
      <c r="VHQ2" s="5" t="s">
        <v>409</v>
      </c>
      <c r="VHR2" s="5" t="s">
        <v>409</v>
      </c>
      <c r="VHS2" s="5" t="s">
        <v>409</v>
      </c>
      <c r="VHT2" s="5" t="s">
        <v>409</v>
      </c>
      <c r="VHU2" s="5" t="s">
        <v>409</v>
      </c>
      <c r="VHV2" s="5" t="s">
        <v>409</v>
      </c>
      <c r="VHW2" s="5" t="s">
        <v>409</v>
      </c>
      <c r="VHX2" s="5" t="s">
        <v>409</v>
      </c>
      <c r="VHY2" s="5" t="s">
        <v>409</v>
      </c>
      <c r="VHZ2" s="5" t="s">
        <v>409</v>
      </c>
      <c r="VIA2" s="5" t="s">
        <v>409</v>
      </c>
      <c r="VIB2" s="5" t="s">
        <v>409</v>
      </c>
      <c r="VIC2" s="5" t="s">
        <v>409</v>
      </c>
      <c r="VID2" s="5" t="s">
        <v>409</v>
      </c>
      <c r="VIE2" s="5" t="s">
        <v>409</v>
      </c>
      <c r="VIF2" s="5" t="s">
        <v>409</v>
      </c>
      <c r="VIG2" s="5" t="s">
        <v>409</v>
      </c>
      <c r="VIH2" s="5" t="s">
        <v>409</v>
      </c>
      <c r="VII2" s="5" t="s">
        <v>409</v>
      </c>
      <c r="VIJ2" s="5" t="s">
        <v>409</v>
      </c>
      <c r="VIK2" s="5" t="s">
        <v>409</v>
      </c>
      <c r="VIL2" s="5" t="s">
        <v>409</v>
      </c>
      <c r="VIM2" s="5" t="s">
        <v>409</v>
      </c>
      <c r="VIN2" s="5" t="s">
        <v>409</v>
      </c>
      <c r="VIO2" s="5" t="s">
        <v>409</v>
      </c>
      <c r="VIP2" s="5" t="s">
        <v>409</v>
      </c>
      <c r="VIQ2" s="5" t="s">
        <v>409</v>
      </c>
      <c r="VIR2" s="5" t="s">
        <v>409</v>
      </c>
      <c r="VIS2" s="5" t="s">
        <v>409</v>
      </c>
      <c r="VIT2" s="5" t="s">
        <v>409</v>
      </c>
      <c r="VIU2" s="5" t="s">
        <v>409</v>
      </c>
      <c r="VIV2" s="5" t="s">
        <v>409</v>
      </c>
      <c r="VIW2" s="5" t="s">
        <v>409</v>
      </c>
      <c r="VIX2" s="5" t="s">
        <v>409</v>
      </c>
      <c r="VIY2" s="5" t="s">
        <v>409</v>
      </c>
      <c r="VIZ2" s="5" t="s">
        <v>409</v>
      </c>
      <c r="VJA2" s="5" t="s">
        <v>409</v>
      </c>
      <c r="VJB2" s="5" t="s">
        <v>409</v>
      </c>
      <c r="VJC2" s="5" t="s">
        <v>409</v>
      </c>
      <c r="VJD2" s="5" t="s">
        <v>409</v>
      </c>
      <c r="VJE2" s="5" t="s">
        <v>409</v>
      </c>
      <c r="VJF2" s="5" t="s">
        <v>409</v>
      </c>
      <c r="VJG2" s="5" t="s">
        <v>409</v>
      </c>
      <c r="VJH2" s="5" t="s">
        <v>409</v>
      </c>
      <c r="VJI2" s="5" t="s">
        <v>409</v>
      </c>
      <c r="VJJ2" s="5" t="s">
        <v>409</v>
      </c>
      <c r="VJK2" s="5" t="s">
        <v>409</v>
      </c>
      <c r="VJL2" s="5" t="s">
        <v>409</v>
      </c>
      <c r="VJM2" s="5" t="s">
        <v>409</v>
      </c>
      <c r="VJN2" s="5" t="s">
        <v>409</v>
      </c>
      <c r="VJO2" s="5" t="s">
        <v>409</v>
      </c>
      <c r="VJP2" s="5" t="s">
        <v>409</v>
      </c>
      <c r="VJQ2" s="5" t="s">
        <v>409</v>
      </c>
      <c r="VJR2" s="5" t="s">
        <v>409</v>
      </c>
      <c r="VJS2" s="5" t="s">
        <v>409</v>
      </c>
      <c r="VJT2" s="5" t="s">
        <v>409</v>
      </c>
      <c r="VJU2" s="5" t="s">
        <v>409</v>
      </c>
      <c r="VJV2" s="5" t="s">
        <v>409</v>
      </c>
      <c r="VJW2" s="5" t="s">
        <v>409</v>
      </c>
      <c r="VJX2" s="5" t="s">
        <v>409</v>
      </c>
      <c r="VJY2" s="5" t="s">
        <v>409</v>
      </c>
      <c r="VJZ2" s="5" t="s">
        <v>409</v>
      </c>
      <c r="VKA2" s="5" t="s">
        <v>409</v>
      </c>
      <c r="VKB2" s="5" t="s">
        <v>409</v>
      </c>
      <c r="VKC2" s="5" t="s">
        <v>409</v>
      </c>
      <c r="VKD2" s="5" t="s">
        <v>409</v>
      </c>
      <c r="VKE2" s="5" t="s">
        <v>409</v>
      </c>
      <c r="VKF2" s="5" t="s">
        <v>409</v>
      </c>
      <c r="VKG2" s="5" t="s">
        <v>409</v>
      </c>
      <c r="VKH2" s="5" t="s">
        <v>409</v>
      </c>
      <c r="VKI2" s="5" t="s">
        <v>409</v>
      </c>
      <c r="VKJ2" s="5" t="s">
        <v>409</v>
      </c>
      <c r="VKK2" s="5" t="s">
        <v>409</v>
      </c>
      <c r="VKL2" s="5" t="s">
        <v>409</v>
      </c>
      <c r="VKM2" s="5" t="s">
        <v>409</v>
      </c>
      <c r="VKN2" s="5" t="s">
        <v>409</v>
      </c>
      <c r="VKO2" s="5" t="s">
        <v>409</v>
      </c>
      <c r="VKP2" s="5" t="s">
        <v>409</v>
      </c>
      <c r="VKQ2" s="5" t="s">
        <v>409</v>
      </c>
      <c r="VKR2" s="5" t="s">
        <v>409</v>
      </c>
      <c r="VKS2" s="5" t="s">
        <v>409</v>
      </c>
      <c r="VKT2" s="5" t="s">
        <v>409</v>
      </c>
      <c r="VKU2" s="5" t="s">
        <v>409</v>
      </c>
      <c r="VKV2" s="5" t="s">
        <v>409</v>
      </c>
      <c r="VKW2" s="5" t="s">
        <v>409</v>
      </c>
      <c r="VKX2" s="5" t="s">
        <v>409</v>
      </c>
      <c r="VKY2" s="5" t="s">
        <v>409</v>
      </c>
      <c r="VKZ2" s="5" t="s">
        <v>409</v>
      </c>
      <c r="VLA2" s="5" t="s">
        <v>409</v>
      </c>
      <c r="VLB2" s="5" t="s">
        <v>409</v>
      </c>
      <c r="VLC2" s="5" t="s">
        <v>409</v>
      </c>
      <c r="VLD2" s="5" t="s">
        <v>409</v>
      </c>
      <c r="VLE2" s="5" t="s">
        <v>409</v>
      </c>
      <c r="VLF2" s="5" t="s">
        <v>409</v>
      </c>
      <c r="VLG2" s="5" t="s">
        <v>409</v>
      </c>
      <c r="VLH2" s="5" t="s">
        <v>409</v>
      </c>
      <c r="VLI2" s="5" t="s">
        <v>409</v>
      </c>
      <c r="VLJ2" s="5" t="s">
        <v>409</v>
      </c>
      <c r="VLK2" s="5" t="s">
        <v>409</v>
      </c>
      <c r="VLL2" s="5" t="s">
        <v>409</v>
      </c>
      <c r="VLM2" s="5" t="s">
        <v>409</v>
      </c>
      <c r="VLN2" s="5" t="s">
        <v>409</v>
      </c>
      <c r="VLO2" s="5" t="s">
        <v>409</v>
      </c>
      <c r="VLP2" s="5" t="s">
        <v>409</v>
      </c>
      <c r="VLQ2" s="5" t="s">
        <v>409</v>
      </c>
      <c r="VLR2" s="5" t="s">
        <v>409</v>
      </c>
      <c r="VLS2" s="5" t="s">
        <v>409</v>
      </c>
      <c r="VLT2" s="5" t="s">
        <v>409</v>
      </c>
      <c r="VLU2" s="5" t="s">
        <v>409</v>
      </c>
      <c r="VLV2" s="5" t="s">
        <v>409</v>
      </c>
      <c r="VLW2" s="5" t="s">
        <v>409</v>
      </c>
      <c r="VLX2" s="5" t="s">
        <v>409</v>
      </c>
      <c r="VLY2" s="5" t="s">
        <v>409</v>
      </c>
      <c r="VLZ2" s="5" t="s">
        <v>409</v>
      </c>
      <c r="VMA2" s="5" t="s">
        <v>409</v>
      </c>
      <c r="VMB2" s="5" t="s">
        <v>409</v>
      </c>
      <c r="VMC2" s="5" t="s">
        <v>409</v>
      </c>
      <c r="VMD2" s="5" t="s">
        <v>409</v>
      </c>
      <c r="VME2" s="5" t="s">
        <v>409</v>
      </c>
      <c r="VMF2" s="5" t="s">
        <v>409</v>
      </c>
      <c r="VMG2" s="5" t="s">
        <v>409</v>
      </c>
      <c r="VMH2" s="5" t="s">
        <v>409</v>
      </c>
      <c r="VMI2" s="5" t="s">
        <v>409</v>
      </c>
      <c r="VMJ2" s="5" t="s">
        <v>409</v>
      </c>
      <c r="VMK2" s="5" t="s">
        <v>409</v>
      </c>
      <c r="VML2" s="5" t="s">
        <v>409</v>
      </c>
      <c r="VMM2" s="5" t="s">
        <v>409</v>
      </c>
      <c r="VMN2" s="5" t="s">
        <v>409</v>
      </c>
      <c r="VMO2" s="5" t="s">
        <v>409</v>
      </c>
      <c r="VMP2" s="5" t="s">
        <v>409</v>
      </c>
      <c r="VMQ2" s="5" t="s">
        <v>409</v>
      </c>
      <c r="VMR2" s="5" t="s">
        <v>409</v>
      </c>
      <c r="VMS2" s="5" t="s">
        <v>409</v>
      </c>
      <c r="VMT2" s="5" t="s">
        <v>409</v>
      </c>
      <c r="VMU2" s="5" t="s">
        <v>409</v>
      </c>
      <c r="VMV2" s="5" t="s">
        <v>409</v>
      </c>
      <c r="VMW2" s="5" t="s">
        <v>409</v>
      </c>
      <c r="VMX2" s="5" t="s">
        <v>409</v>
      </c>
      <c r="VMY2" s="5" t="s">
        <v>409</v>
      </c>
      <c r="VMZ2" s="5" t="s">
        <v>409</v>
      </c>
      <c r="VNA2" s="5" t="s">
        <v>409</v>
      </c>
      <c r="VNB2" s="5" t="s">
        <v>409</v>
      </c>
      <c r="VNC2" s="5" t="s">
        <v>409</v>
      </c>
      <c r="VND2" s="5" t="s">
        <v>409</v>
      </c>
      <c r="VNE2" s="5" t="s">
        <v>409</v>
      </c>
      <c r="VNF2" s="5" t="s">
        <v>409</v>
      </c>
      <c r="VNG2" s="5" t="s">
        <v>409</v>
      </c>
      <c r="VNH2" s="5" t="s">
        <v>409</v>
      </c>
      <c r="VNI2" s="5" t="s">
        <v>409</v>
      </c>
      <c r="VNJ2" s="5" t="s">
        <v>409</v>
      </c>
      <c r="VNK2" s="5" t="s">
        <v>409</v>
      </c>
      <c r="VNL2" s="5" t="s">
        <v>409</v>
      </c>
      <c r="VNM2" s="5" t="s">
        <v>409</v>
      </c>
      <c r="VNN2" s="5" t="s">
        <v>409</v>
      </c>
      <c r="VNO2" s="5" t="s">
        <v>409</v>
      </c>
      <c r="VNP2" s="5" t="s">
        <v>409</v>
      </c>
      <c r="VNQ2" s="5" t="s">
        <v>409</v>
      </c>
      <c r="VNR2" s="5" t="s">
        <v>409</v>
      </c>
      <c r="VNS2" s="5" t="s">
        <v>409</v>
      </c>
      <c r="VNT2" s="5" t="s">
        <v>409</v>
      </c>
      <c r="VNU2" s="5" t="s">
        <v>409</v>
      </c>
      <c r="VNV2" s="5" t="s">
        <v>409</v>
      </c>
      <c r="VNW2" s="5" t="s">
        <v>409</v>
      </c>
      <c r="VNX2" s="5" t="s">
        <v>409</v>
      </c>
      <c r="VNY2" s="5" t="s">
        <v>409</v>
      </c>
      <c r="VNZ2" s="5" t="s">
        <v>409</v>
      </c>
      <c r="VOA2" s="5" t="s">
        <v>409</v>
      </c>
      <c r="VOB2" s="5" t="s">
        <v>409</v>
      </c>
      <c r="VOC2" s="5" t="s">
        <v>409</v>
      </c>
      <c r="VOD2" s="5" t="s">
        <v>409</v>
      </c>
      <c r="VOE2" s="5" t="s">
        <v>409</v>
      </c>
      <c r="VOF2" s="5" t="s">
        <v>409</v>
      </c>
      <c r="VOG2" s="5" t="s">
        <v>409</v>
      </c>
      <c r="VOH2" s="5" t="s">
        <v>409</v>
      </c>
      <c r="VOI2" s="5" t="s">
        <v>409</v>
      </c>
      <c r="VOJ2" s="5" t="s">
        <v>409</v>
      </c>
      <c r="VOK2" s="5" t="s">
        <v>409</v>
      </c>
      <c r="VOL2" s="5" t="s">
        <v>409</v>
      </c>
      <c r="VOM2" s="5" t="s">
        <v>409</v>
      </c>
      <c r="VON2" s="5" t="s">
        <v>409</v>
      </c>
      <c r="VOO2" s="5" t="s">
        <v>409</v>
      </c>
      <c r="VOP2" s="5" t="s">
        <v>409</v>
      </c>
      <c r="VOQ2" s="5" t="s">
        <v>409</v>
      </c>
      <c r="VOR2" s="5" t="s">
        <v>409</v>
      </c>
      <c r="VOS2" s="5" t="s">
        <v>409</v>
      </c>
      <c r="VOT2" s="5" t="s">
        <v>409</v>
      </c>
      <c r="VOU2" s="5" t="s">
        <v>409</v>
      </c>
      <c r="VOV2" s="5" t="s">
        <v>409</v>
      </c>
      <c r="VOW2" s="5" t="s">
        <v>409</v>
      </c>
      <c r="VOX2" s="5" t="s">
        <v>409</v>
      </c>
      <c r="VOY2" s="5" t="s">
        <v>409</v>
      </c>
      <c r="VOZ2" s="5" t="s">
        <v>409</v>
      </c>
      <c r="VPA2" s="5" t="s">
        <v>409</v>
      </c>
      <c r="VPB2" s="5" t="s">
        <v>409</v>
      </c>
      <c r="VPC2" s="5" t="s">
        <v>409</v>
      </c>
      <c r="VPD2" s="5" t="s">
        <v>409</v>
      </c>
      <c r="VPE2" s="5" t="s">
        <v>409</v>
      </c>
      <c r="VPF2" s="5" t="s">
        <v>409</v>
      </c>
      <c r="VPG2" s="5" t="s">
        <v>409</v>
      </c>
      <c r="VPH2" s="5" t="s">
        <v>409</v>
      </c>
      <c r="VPI2" s="5" t="s">
        <v>409</v>
      </c>
      <c r="VPJ2" s="5" t="s">
        <v>409</v>
      </c>
      <c r="VPK2" s="5" t="s">
        <v>409</v>
      </c>
      <c r="VPL2" s="5" t="s">
        <v>409</v>
      </c>
      <c r="VPM2" s="5" t="s">
        <v>409</v>
      </c>
      <c r="VPN2" s="5" t="s">
        <v>409</v>
      </c>
      <c r="VPO2" s="5" t="s">
        <v>409</v>
      </c>
      <c r="VPP2" s="5" t="s">
        <v>409</v>
      </c>
      <c r="VPQ2" s="5" t="s">
        <v>409</v>
      </c>
      <c r="VPR2" s="5" t="s">
        <v>409</v>
      </c>
      <c r="VPS2" s="5" t="s">
        <v>409</v>
      </c>
      <c r="VPT2" s="5" t="s">
        <v>409</v>
      </c>
      <c r="VPU2" s="5" t="s">
        <v>409</v>
      </c>
      <c r="VPV2" s="5" t="s">
        <v>409</v>
      </c>
      <c r="VPW2" s="5" t="s">
        <v>409</v>
      </c>
      <c r="VPX2" s="5" t="s">
        <v>409</v>
      </c>
      <c r="VPY2" s="5" t="s">
        <v>409</v>
      </c>
      <c r="VPZ2" s="5" t="s">
        <v>409</v>
      </c>
      <c r="VQA2" s="5" t="s">
        <v>409</v>
      </c>
      <c r="VQB2" s="5" t="s">
        <v>409</v>
      </c>
      <c r="VQC2" s="5" t="s">
        <v>409</v>
      </c>
      <c r="VQD2" s="5" t="s">
        <v>409</v>
      </c>
      <c r="VQE2" s="5" t="s">
        <v>409</v>
      </c>
      <c r="VQF2" s="5" t="s">
        <v>409</v>
      </c>
      <c r="VQG2" s="5" t="s">
        <v>409</v>
      </c>
      <c r="VQH2" s="5" t="s">
        <v>409</v>
      </c>
      <c r="VQI2" s="5" t="s">
        <v>409</v>
      </c>
      <c r="VQJ2" s="5" t="s">
        <v>409</v>
      </c>
      <c r="VQK2" s="5" t="s">
        <v>409</v>
      </c>
      <c r="VQL2" s="5" t="s">
        <v>409</v>
      </c>
      <c r="VQM2" s="5" t="s">
        <v>409</v>
      </c>
      <c r="VQN2" s="5" t="s">
        <v>409</v>
      </c>
      <c r="VQO2" s="5" t="s">
        <v>409</v>
      </c>
      <c r="VQP2" s="5" t="s">
        <v>409</v>
      </c>
      <c r="VQQ2" s="5" t="s">
        <v>409</v>
      </c>
      <c r="VQR2" s="5" t="s">
        <v>409</v>
      </c>
      <c r="VQS2" s="5" t="s">
        <v>409</v>
      </c>
      <c r="VQT2" s="5" t="s">
        <v>409</v>
      </c>
      <c r="VQU2" s="5" t="s">
        <v>409</v>
      </c>
      <c r="VQV2" s="5" t="s">
        <v>409</v>
      </c>
      <c r="VQW2" s="5" t="s">
        <v>409</v>
      </c>
      <c r="VQX2" s="5" t="s">
        <v>409</v>
      </c>
      <c r="VQY2" s="5" t="s">
        <v>409</v>
      </c>
      <c r="VQZ2" s="5" t="s">
        <v>409</v>
      </c>
      <c r="VRA2" s="5" t="s">
        <v>409</v>
      </c>
      <c r="VRB2" s="5" t="s">
        <v>409</v>
      </c>
      <c r="VRC2" s="5" t="s">
        <v>409</v>
      </c>
      <c r="VRD2" s="5" t="s">
        <v>409</v>
      </c>
      <c r="VRE2" s="5" t="s">
        <v>409</v>
      </c>
      <c r="VRF2" s="5" t="s">
        <v>409</v>
      </c>
      <c r="VRG2" s="5" t="s">
        <v>409</v>
      </c>
      <c r="VRH2" s="5" t="s">
        <v>409</v>
      </c>
      <c r="VRI2" s="5" t="s">
        <v>409</v>
      </c>
      <c r="VRJ2" s="5" t="s">
        <v>409</v>
      </c>
      <c r="VRK2" s="5" t="s">
        <v>409</v>
      </c>
      <c r="VRL2" s="5" t="s">
        <v>409</v>
      </c>
      <c r="VRM2" s="5" t="s">
        <v>409</v>
      </c>
      <c r="VRN2" s="5" t="s">
        <v>409</v>
      </c>
      <c r="VRO2" s="5" t="s">
        <v>409</v>
      </c>
      <c r="VRP2" s="5" t="s">
        <v>409</v>
      </c>
      <c r="VRQ2" s="5" t="s">
        <v>409</v>
      </c>
      <c r="VRR2" s="5" t="s">
        <v>409</v>
      </c>
      <c r="VRS2" s="5" t="s">
        <v>409</v>
      </c>
      <c r="VRT2" s="5" t="s">
        <v>409</v>
      </c>
      <c r="VRU2" s="5" t="s">
        <v>409</v>
      </c>
      <c r="VRV2" s="5" t="s">
        <v>409</v>
      </c>
      <c r="VRW2" s="5" t="s">
        <v>409</v>
      </c>
      <c r="VRX2" s="5" t="s">
        <v>409</v>
      </c>
      <c r="VRY2" s="5" t="s">
        <v>409</v>
      </c>
      <c r="VRZ2" s="5" t="s">
        <v>409</v>
      </c>
      <c r="VSA2" s="5" t="s">
        <v>409</v>
      </c>
      <c r="VSB2" s="5" t="s">
        <v>409</v>
      </c>
      <c r="VSC2" s="5" t="s">
        <v>409</v>
      </c>
      <c r="VSD2" s="5" t="s">
        <v>409</v>
      </c>
      <c r="VSE2" s="5" t="s">
        <v>409</v>
      </c>
      <c r="VSF2" s="5" t="s">
        <v>409</v>
      </c>
      <c r="VSG2" s="5" t="s">
        <v>409</v>
      </c>
      <c r="VSH2" s="5" t="s">
        <v>409</v>
      </c>
      <c r="VSI2" s="5" t="s">
        <v>409</v>
      </c>
      <c r="VSJ2" s="5" t="s">
        <v>409</v>
      </c>
      <c r="VSK2" s="5" t="s">
        <v>409</v>
      </c>
      <c r="VSL2" s="5" t="s">
        <v>409</v>
      </c>
      <c r="VSM2" s="5" t="s">
        <v>409</v>
      </c>
      <c r="VSN2" s="5" t="s">
        <v>409</v>
      </c>
      <c r="VSO2" s="5" t="s">
        <v>409</v>
      </c>
      <c r="VSP2" s="5" t="s">
        <v>409</v>
      </c>
      <c r="VSQ2" s="5" t="s">
        <v>409</v>
      </c>
      <c r="VSR2" s="5" t="s">
        <v>409</v>
      </c>
      <c r="VSS2" s="5" t="s">
        <v>409</v>
      </c>
      <c r="VST2" s="5" t="s">
        <v>409</v>
      </c>
      <c r="VSU2" s="5" t="s">
        <v>409</v>
      </c>
      <c r="VSV2" s="5" t="s">
        <v>409</v>
      </c>
      <c r="VSW2" s="5" t="s">
        <v>409</v>
      </c>
      <c r="VSX2" s="5" t="s">
        <v>409</v>
      </c>
      <c r="VSY2" s="5" t="s">
        <v>409</v>
      </c>
      <c r="VSZ2" s="5" t="s">
        <v>409</v>
      </c>
      <c r="VTA2" s="5" t="s">
        <v>409</v>
      </c>
      <c r="VTB2" s="5" t="s">
        <v>409</v>
      </c>
      <c r="VTC2" s="5" t="s">
        <v>409</v>
      </c>
      <c r="VTD2" s="5" t="s">
        <v>409</v>
      </c>
      <c r="VTE2" s="5" t="s">
        <v>409</v>
      </c>
      <c r="VTF2" s="5" t="s">
        <v>409</v>
      </c>
      <c r="VTG2" s="5" t="s">
        <v>409</v>
      </c>
      <c r="VTH2" s="5" t="s">
        <v>409</v>
      </c>
      <c r="VTI2" s="5" t="s">
        <v>409</v>
      </c>
      <c r="VTJ2" s="5" t="s">
        <v>409</v>
      </c>
      <c r="VTK2" s="5" t="s">
        <v>409</v>
      </c>
      <c r="VTL2" s="5" t="s">
        <v>409</v>
      </c>
      <c r="VTM2" s="5" t="s">
        <v>409</v>
      </c>
      <c r="VTN2" s="5" t="s">
        <v>409</v>
      </c>
      <c r="VTO2" s="5" t="s">
        <v>409</v>
      </c>
      <c r="VTP2" s="5" t="s">
        <v>409</v>
      </c>
      <c r="VTQ2" s="5" t="s">
        <v>409</v>
      </c>
      <c r="VTR2" s="5" t="s">
        <v>409</v>
      </c>
      <c r="VTS2" s="5" t="s">
        <v>409</v>
      </c>
      <c r="VTT2" s="5" t="s">
        <v>409</v>
      </c>
      <c r="VTU2" s="5" t="s">
        <v>409</v>
      </c>
      <c r="VTV2" s="5" t="s">
        <v>409</v>
      </c>
      <c r="VTW2" s="5" t="s">
        <v>409</v>
      </c>
      <c r="VTX2" s="5" t="s">
        <v>409</v>
      </c>
      <c r="VTY2" s="5" t="s">
        <v>409</v>
      </c>
      <c r="VTZ2" s="5" t="s">
        <v>409</v>
      </c>
      <c r="VUA2" s="5" t="s">
        <v>409</v>
      </c>
      <c r="VUB2" s="5" t="s">
        <v>409</v>
      </c>
      <c r="VUC2" s="5" t="s">
        <v>409</v>
      </c>
      <c r="VUD2" s="5" t="s">
        <v>409</v>
      </c>
      <c r="VUE2" s="5" t="s">
        <v>409</v>
      </c>
      <c r="VUF2" s="5" t="s">
        <v>409</v>
      </c>
      <c r="VUG2" s="5" t="s">
        <v>409</v>
      </c>
      <c r="VUH2" s="5" t="s">
        <v>409</v>
      </c>
      <c r="VUI2" s="5" t="s">
        <v>409</v>
      </c>
      <c r="VUJ2" s="5" t="s">
        <v>409</v>
      </c>
      <c r="VUK2" s="5" t="s">
        <v>409</v>
      </c>
      <c r="VUL2" s="5" t="s">
        <v>409</v>
      </c>
      <c r="VUM2" s="5" t="s">
        <v>409</v>
      </c>
      <c r="VUN2" s="5" t="s">
        <v>409</v>
      </c>
      <c r="VUO2" s="5" t="s">
        <v>409</v>
      </c>
      <c r="VUP2" s="5" t="s">
        <v>409</v>
      </c>
      <c r="VUQ2" s="5" t="s">
        <v>409</v>
      </c>
      <c r="VUR2" s="5" t="s">
        <v>409</v>
      </c>
      <c r="VUS2" s="5" t="s">
        <v>409</v>
      </c>
      <c r="VUT2" s="5" t="s">
        <v>409</v>
      </c>
      <c r="VUU2" s="5" t="s">
        <v>409</v>
      </c>
      <c r="VUV2" s="5" t="s">
        <v>409</v>
      </c>
      <c r="VUW2" s="5" t="s">
        <v>409</v>
      </c>
      <c r="VUX2" s="5" t="s">
        <v>409</v>
      </c>
      <c r="VUY2" s="5" t="s">
        <v>409</v>
      </c>
      <c r="VUZ2" s="5" t="s">
        <v>409</v>
      </c>
      <c r="VVA2" s="5" t="s">
        <v>409</v>
      </c>
      <c r="VVB2" s="5" t="s">
        <v>409</v>
      </c>
      <c r="VVC2" s="5" t="s">
        <v>409</v>
      </c>
      <c r="VVD2" s="5" t="s">
        <v>409</v>
      </c>
      <c r="VVE2" s="5" t="s">
        <v>409</v>
      </c>
      <c r="VVF2" s="5" t="s">
        <v>409</v>
      </c>
      <c r="VVG2" s="5" t="s">
        <v>409</v>
      </c>
      <c r="VVH2" s="5" t="s">
        <v>409</v>
      </c>
      <c r="VVI2" s="5" t="s">
        <v>409</v>
      </c>
      <c r="VVJ2" s="5" t="s">
        <v>409</v>
      </c>
      <c r="VVK2" s="5" t="s">
        <v>409</v>
      </c>
      <c r="VVL2" s="5" t="s">
        <v>409</v>
      </c>
      <c r="VVM2" s="5" t="s">
        <v>409</v>
      </c>
      <c r="VVN2" s="5" t="s">
        <v>409</v>
      </c>
      <c r="VVO2" s="5" t="s">
        <v>409</v>
      </c>
      <c r="VVP2" s="5" t="s">
        <v>409</v>
      </c>
      <c r="VVQ2" s="5" t="s">
        <v>409</v>
      </c>
      <c r="VVR2" s="5" t="s">
        <v>409</v>
      </c>
      <c r="VVS2" s="5" t="s">
        <v>409</v>
      </c>
      <c r="VVT2" s="5" t="s">
        <v>409</v>
      </c>
      <c r="VVU2" s="5" t="s">
        <v>409</v>
      </c>
      <c r="VVV2" s="5" t="s">
        <v>409</v>
      </c>
      <c r="VVW2" s="5" t="s">
        <v>409</v>
      </c>
      <c r="VVX2" s="5" t="s">
        <v>409</v>
      </c>
      <c r="VVY2" s="5" t="s">
        <v>409</v>
      </c>
      <c r="VVZ2" s="5" t="s">
        <v>409</v>
      </c>
      <c r="VWA2" s="5" t="s">
        <v>409</v>
      </c>
      <c r="VWB2" s="5" t="s">
        <v>409</v>
      </c>
      <c r="VWC2" s="5" t="s">
        <v>409</v>
      </c>
      <c r="VWD2" s="5" t="s">
        <v>409</v>
      </c>
      <c r="VWE2" s="5" t="s">
        <v>409</v>
      </c>
      <c r="VWF2" s="5" t="s">
        <v>409</v>
      </c>
      <c r="VWG2" s="5" t="s">
        <v>409</v>
      </c>
      <c r="VWH2" s="5" t="s">
        <v>409</v>
      </c>
      <c r="VWI2" s="5" t="s">
        <v>409</v>
      </c>
      <c r="VWJ2" s="5" t="s">
        <v>409</v>
      </c>
      <c r="VWK2" s="5" t="s">
        <v>409</v>
      </c>
      <c r="VWL2" s="5" t="s">
        <v>409</v>
      </c>
      <c r="VWM2" s="5" t="s">
        <v>409</v>
      </c>
      <c r="VWN2" s="5" t="s">
        <v>409</v>
      </c>
      <c r="VWO2" s="5" t="s">
        <v>409</v>
      </c>
      <c r="VWP2" s="5" t="s">
        <v>409</v>
      </c>
      <c r="VWQ2" s="5" t="s">
        <v>409</v>
      </c>
      <c r="VWR2" s="5" t="s">
        <v>409</v>
      </c>
      <c r="VWS2" s="5" t="s">
        <v>409</v>
      </c>
      <c r="VWT2" s="5" t="s">
        <v>409</v>
      </c>
      <c r="VWU2" s="5" t="s">
        <v>409</v>
      </c>
      <c r="VWV2" s="5" t="s">
        <v>409</v>
      </c>
      <c r="VWW2" s="5" t="s">
        <v>409</v>
      </c>
      <c r="VWX2" s="5" t="s">
        <v>409</v>
      </c>
      <c r="VWY2" s="5" t="s">
        <v>409</v>
      </c>
      <c r="VWZ2" s="5" t="s">
        <v>409</v>
      </c>
      <c r="VXA2" s="5" t="s">
        <v>409</v>
      </c>
      <c r="VXB2" s="5" t="s">
        <v>409</v>
      </c>
      <c r="VXC2" s="5" t="s">
        <v>409</v>
      </c>
      <c r="VXD2" s="5" t="s">
        <v>409</v>
      </c>
      <c r="VXE2" s="5" t="s">
        <v>409</v>
      </c>
      <c r="VXF2" s="5" t="s">
        <v>409</v>
      </c>
      <c r="VXG2" s="5" t="s">
        <v>409</v>
      </c>
      <c r="VXH2" s="5" t="s">
        <v>409</v>
      </c>
      <c r="VXI2" s="5" t="s">
        <v>409</v>
      </c>
      <c r="VXJ2" s="5" t="s">
        <v>409</v>
      </c>
      <c r="VXK2" s="5" t="s">
        <v>409</v>
      </c>
      <c r="VXL2" s="5" t="s">
        <v>409</v>
      </c>
      <c r="VXM2" s="5" t="s">
        <v>409</v>
      </c>
      <c r="VXN2" s="5" t="s">
        <v>409</v>
      </c>
      <c r="VXO2" s="5" t="s">
        <v>409</v>
      </c>
      <c r="VXP2" s="5" t="s">
        <v>409</v>
      </c>
      <c r="VXQ2" s="5" t="s">
        <v>409</v>
      </c>
      <c r="VXR2" s="5" t="s">
        <v>409</v>
      </c>
      <c r="VXS2" s="5" t="s">
        <v>409</v>
      </c>
      <c r="VXT2" s="5" t="s">
        <v>409</v>
      </c>
      <c r="VXU2" s="5" t="s">
        <v>409</v>
      </c>
      <c r="VXV2" s="5" t="s">
        <v>409</v>
      </c>
      <c r="VXW2" s="5" t="s">
        <v>409</v>
      </c>
      <c r="VXX2" s="5" t="s">
        <v>409</v>
      </c>
      <c r="VXY2" s="5" t="s">
        <v>409</v>
      </c>
      <c r="VXZ2" s="5" t="s">
        <v>409</v>
      </c>
      <c r="VYA2" s="5" t="s">
        <v>409</v>
      </c>
      <c r="VYB2" s="5" t="s">
        <v>409</v>
      </c>
      <c r="VYC2" s="5" t="s">
        <v>409</v>
      </c>
      <c r="VYD2" s="5" t="s">
        <v>409</v>
      </c>
      <c r="VYE2" s="5" t="s">
        <v>409</v>
      </c>
      <c r="VYF2" s="5" t="s">
        <v>409</v>
      </c>
      <c r="VYG2" s="5" t="s">
        <v>409</v>
      </c>
      <c r="VYH2" s="5" t="s">
        <v>409</v>
      </c>
      <c r="VYI2" s="5" t="s">
        <v>409</v>
      </c>
      <c r="VYJ2" s="5" t="s">
        <v>409</v>
      </c>
      <c r="VYK2" s="5" t="s">
        <v>409</v>
      </c>
      <c r="VYL2" s="5" t="s">
        <v>409</v>
      </c>
      <c r="VYM2" s="5" t="s">
        <v>409</v>
      </c>
      <c r="VYN2" s="5" t="s">
        <v>409</v>
      </c>
      <c r="VYO2" s="5" t="s">
        <v>409</v>
      </c>
      <c r="VYP2" s="5" t="s">
        <v>409</v>
      </c>
      <c r="VYQ2" s="5" t="s">
        <v>409</v>
      </c>
      <c r="VYR2" s="5" t="s">
        <v>409</v>
      </c>
      <c r="VYS2" s="5" t="s">
        <v>409</v>
      </c>
      <c r="VYT2" s="5" t="s">
        <v>409</v>
      </c>
      <c r="VYU2" s="5" t="s">
        <v>409</v>
      </c>
      <c r="VYV2" s="5" t="s">
        <v>409</v>
      </c>
      <c r="VYW2" s="5" t="s">
        <v>409</v>
      </c>
      <c r="VYX2" s="5" t="s">
        <v>409</v>
      </c>
      <c r="VYY2" s="5" t="s">
        <v>409</v>
      </c>
      <c r="VYZ2" s="5" t="s">
        <v>409</v>
      </c>
      <c r="VZA2" s="5" t="s">
        <v>409</v>
      </c>
      <c r="VZB2" s="5" t="s">
        <v>409</v>
      </c>
      <c r="VZC2" s="5" t="s">
        <v>409</v>
      </c>
      <c r="VZD2" s="5" t="s">
        <v>409</v>
      </c>
      <c r="VZE2" s="5" t="s">
        <v>409</v>
      </c>
      <c r="VZF2" s="5" t="s">
        <v>409</v>
      </c>
      <c r="VZG2" s="5" t="s">
        <v>409</v>
      </c>
      <c r="VZH2" s="5" t="s">
        <v>409</v>
      </c>
      <c r="VZI2" s="5" t="s">
        <v>409</v>
      </c>
      <c r="VZJ2" s="5" t="s">
        <v>409</v>
      </c>
      <c r="VZK2" s="5" t="s">
        <v>409</v>
      </c>
      <c r="VZL2" s="5" t="s">
        <v>409</v>
      </c>
      <c r="VZM2" s="5" t="s">
        <v>409</v>
      </c>
      <c r="VZN2" s="5" t="s">
        <v>409</v>
      </c>
      <c r="VZO2" s="5" t="s">
        <v>409</v>
      </c>
      <c r="VZP2" s="5" t="s">
        <v>409</v>
      </c>
      <c r="VZQ2" s="5" t="s">
        <v>409</v>
      </c>
      <c r="VZR2" s="5" t="s">
        <v>409</v>
      </c>
      <c r="VZS2" s="5" t="s">
        <v>409</v>
      </c>
      <c r="VZT2" s="5" t="s">
        <v>409</v>
      </c>
      <c r="VZU2" s="5" t="s">
        <v>409</v>
      </c>
      <c r="VZV2" s="5" t="s">
        <v>409</v>
      </c>
      <c r="VZW2" s="5" t="s">
        <v>409</v>
      </c>
      <c r="VZX2" s="5" t="s">
        <v>409</v>
      </c>
      <c r="VZY2" s="5" t="s">
        <v>409</v>
      </c>
      <c r="VZZ2" s="5" t="s">
        <v>409</v>
      </c>
      <c r="WAA2" s="5" t="s">
        <v>409</v>
      </c>
      <c r="WAB2" s="5" t="s">
        <v>409</v>
      </c>
      <c r="WAC2" s="5" t="s">
        <v>409</v>
      </c>
      <c r="WAD2" s="5" t="s">
        <v>409</v>
      </c>
      <c r="WAE2" s="5" t="s">
        <v>409</v>
      </c>
      <c r="WAF2" s="5" t="s">
        <v>409</v>
      </c>
      <c r="WAG2" s="5" t="s">
        <v>409</v>
      </c>
      <c r="WAH2" s="5" t="s">
        <v>409</v>
      </c>
      <c r="WAI2" s="5" t="s">
        <v>409</v>
      </c>
      <c r="WAJ2" s="5" t="s">
        <v>409</v>
      </c>
      <c r="WAK2" s="5" t="s">
        <v>409</v>
      </c>
      <c r="WAL2" s="5" t="s">
        <v>409</v>
      </c>
      <c r="WAM2" s="5" t="s">
        <v>409</v>
      </c>
      <c r="WAN2" s="5" t="s">
        <v>409</v>
      </c>
      <c r="WAO2" s="5" t="s">
        <v>409</v>
      </c>
      <c r="WAP2" s="5" t="s">
        <v>409</v>
      </c>
      <c r="WAQ2" s="5" t="s">
        <v>409</v>
      </c>
      <c r="WAR2" s="5" t="s">
        <v>409</v>
      </c>
      <c r="WAS2" s="5" t="s">
        <v>409</v>
      </c>
      <c r="WAT2" s="5" t="s">
        <v>409</v>
      </c>
      <c r="WAU2" s="5" t="s">
        <v>409</v>
      </c>
      <c r="WAV2" s="5" t="s">
        <v>409</v>
      </c>
      <c r="WAW2" s="5" t="s">
        <v>409</v>
      </c>
      <c r="WAX2" s="5" t="s">
        <v>409</v>
      </c>
      <c r="WAY2" s="5" t="s">
        <v>409</v>
      </c>
      <c r="WAZ2" s="5" t="s">
        <v>409</v>
      </c>
      <c r="WBA2" s="5" t="s">
        <v>409</v>
      </c>
      <c r="WBB2" s="5" t="s">
        <v>409</v>
      </c>
      <c r="WBC2" s="5" t="s">
        <v>409</v>
      </c>
      <c r="WBD2" s="5" t="s">
        <v>409</v>
      </c>
      <c r="WBE2" s="5" t="s">
        <v>409</v>
      </c>
      <c r="WBF2" s="5" t="s">
        <v>409</v>
      </c>
      <c r="WBG2" s="5" t="s">
        <v>409</v>
      </c>
      <c r="WBH2" s="5" t="s">
        <v>409</v>
      </c>
      <c r="WBI2" s="5" t="s">
        <v>409</v>
      </c>
      <c r="WBJ2" s="5" t="s">
        <v>409</v>
      </c>
      <c r="WBK2" s="5" t="s">
        <v>409</v>
      </c>
      <c r="WBL2" s="5" t="s">
        <v>409</v>
      </c>
      <c r="WBM2" s="5" t="s">
        <v>409</v>
      </c>
      <c r="WBN2" s="5" t="s">
        <v>409</v>
      </c>
      <c r="WBO2" s="5" t="s">
        <v>409</v>
      </c>
      <c r="WBP2" s="5" t="s">
        <v>409</v>
      </c>
      <c r="WBQ2" s="5" t="s">
        <v>409</v>
      </c>
      <c r="WBR2" s="5" t="s">
        <v>409</v>
      </c>
      <c r="WBS2" s="5" t="s">
        <v>409</v>
      </c>
      <c r="WBT2" s="5" t="s">
        <v>409</v>
      </c>
      <c r="WBU2" s="5" t="s">
        <v>409</v>
      </c>
      <c r="WBV2" s="5" t="s">
        <v>409</v>
      </c>
      <c r="WBW2" s="5" t="s">
        <v>409</v>
      </c>
      <c r="WBX2" s="5" t="s">
        <v>409</v>
      </c>
      <c r="WBY2" s="5" t="s">
        <v>409</v>
      </c>
      <c r="WBZ2" s="5" t="s">
        <v>409</v>
      </c>
      <c r="WCA2" s="5" t="s">
        <v>409</v>
      </c>
      <c r="WCB2" s="5" t="s">
        <v>409</v>
      </c>
      <c r="WCC2" s="5" t="s">
        <v>409</v>
      </c>
      <c r="WCD2" s="5" t="s">
        <v>409</v>
      </c>
      <c r="WCE2" s="5" t="s">
        <v>409</v>
      </c>
      <c r="WCF2" s="5" t="s">
        <v>409</v>
      </c>
      <c r="WCG2" s="5" t="s">
        <v>409</v>
      </c>
      <c r="WCH2" s="5" t="s">
        <v>409</v>
      </c>
      <c r="WCI2" s="5" t="s">
        <v>409</v>
      </c>
      <c r="WCJ2" s="5" t="s">
        <v>409</v>
      </c>
      <c r="WCK2" s="5" t="s">
        <v>409</v>
      </c>
      <c r="WCL2" s="5" t="s">
        <v>409</v>
      </c>
      <c r="WCM2" s="5" t="s">
        <v>409</v>
      </c>
      <c r="WCN2" s="5" t="s">
        <v>409</v>
      </c>
      <c r="WCO2" s="5" t="s">
        <v>409</v>
      </c>
      <c r="WCP2" s="5" t="s">
        <v>409</v>
      </c>
      <c r="WCQ2" s="5" t="s">
        <v>409</v>
      </c>
      <c r="WCR2" s="5" t="s">
        <v>409</v>
      </c>
      <c r="WCS2" s="5" t="s">
        <v>409</v>
      </c>
      <c r="WCT2" s="5" t="s">
        <v>409</v>
      </c>
      <c r="WCU2" s="5" t="s">
        <v>409</v>
      </c>
      <c r="WCV2" s="5" t="s">
        <v>409</v>
      </c>
      <c r="WCW2" s="5" t="s">
        <v>409</v>
      </c>
      <c r="WCX2" s="5" t="s">
        <v>409</v>
      </c>
      <c r="WCY2" s="5" t="s">
        <v>409</v>
      </c>
      <c r="WCZ2" s="5" t="s">
        <v>409</v>
      </c>
      <c r="WDA2" s="5" t="s">
        <v>409</v>
      </c>
      <c r="WDB2" s="5" t="s">
        <v>409</v>
      </c>
      <c r="WDC2" s="5" t="s">
        <v>409</v>
      </c>
      <c r="WDD2" s="5" t="s">
        <v>409</v>
      </c>
      <c r="WDE2" s="5" t="s">
        <v>409</v>
      </c>
      <c r="WDF2" s="5" t="s">
        <v>409</v>
      </c>
      <c r="WDG2" s="5" t="s">
        <v>409</v>
      </c>
      <c r="WDH2" s="5" t="s">
        <v>409</v>
      </c>
      <c r="WDI2" s="5" t="s">
        <v>409</v>
      </c>
      <c r="WDJ2" s="5" t="s">
        <v>409</v>
      </c>
      <c r="WDK2" s="5" t="s">
        <v>409</v>
      </c>
      <c r="WDL2" s="5" t="s">
        <v>409</v>
      </c>
      <c r="WDM2" s="5" t="s">
        <v>409</v>
      </c>
      <c r="WDN2" s="5" t="s">
        <v>409</v>
      </c>
      <c r="WDO2" s="5" t="s">
        <v>409</v>
      </c>
      <c r="WDP2" s="5" t="s">
        <v>409</v>
      </c>
      <c r="WDQ2" s="5" t="s">
        <v>409</v>
      </c>
      <c r="WDR2" s="5" t="s">
        <v>409</v>
      </c>
      <c r="WDS2" s="5" t="s">
        <v>409</v>
      </c>
      <c r="WDT2" s="5" t="s">
        <v>409</v>
      </c>
      <c r="WDU2" s="5" t="s">
        <v>409</v>
      </c>
      <c r="WDV2" s="5" t="s">
        <v>409</v>
      </c>
      <c r="WDW2" s="5" t="s">
        <v>409</v>
      </c>
      <c r="WDX2" s="5" t="s">
        <v>409</v>
      </c>
      <c r="WDY2" s="5" t="s">
        <v>409</v>
      </c>
      <c r="WDZ2" s="5" t="s">
        <v>409</v>
      </c>
      <c r="WEA2" s="5" t="s">
        <v>409</v>
      </c>
      <c r="WEB2" s="5" t="s">
        <v>409</v>
      </c>
      <c r="WEC2" s="5" t="s">
        <v>409</v>
      </c>
      <c r="WED2" s="5" t="s">
        <v>409</v>
      </c>
      <c r="WEE2" s="5" t="s">
        <v>409</v>
      </c>
      <c r="WEF2" s="5" t="s">
        <v>409</v>
      </c>
      <c r="WEG2" s="5" t="s">
        <v>409</v>
      </c>
      <c r="WEH2" s="5" t="s">
        <v>409</v>
      </c>
      <c r="WEI2" s="5" t="s">
        <v>409</v>
      </c>
      <c r="WEJ2" s="5" t="s">
        <v>409</v>
      </c>
      <c r="WEK2" s="5" t="s">
        <v>409</v>
      </c>
      <c r="WEL2" s="5" t="s">
        <v>409</v>
      </c>
      <c r="WEM2" s="5" t="s">
        <v>409</v>
      </c>
      <c r="WEN2" s="5" t="s">
        <v>409</v>
      </c>
      <c r="WEO2" s="5" t="s">
        <v>409</v>
      </c>
      <c r="WEP2" s="5" t="s">
        <v>409</v>
      </c>
      <c r="WEQ2" s="5" t="s">
        <v>409</v>
      </c>
      <c r="WER2" s="5" t="s">
        <v>409</v>
      </c>
      <c r="WES2" s="5" t="s">
        <v>409</v>
      </c>
      <c r="WET2" s="5" t="s">
        <v>409</v>
      </c>
      <c r="WEU2" s="5" t="s">
        <v>409</v>
      </c>
      <c r="WEV2" s="5" t="s">
        <v>409</v>
      </c>
      <c r="WEW2" s="5" t="s">
        <v>409</v>
      </c>
      <c r="WEX2" s="5" t="s">
        <v>409</v>
      </c>
      <c r="WEY2" s="5" t="s">
        <v>409</v>
      </c>
      <c r="WEZ2" s="5" t="s">
        <v>409</v>
      </c>
      <c r="WFA2" s="5" t="s">
        <v>409</v>
      </c>
      <c r="WFB2" s="5" t="s">
        <v>409</v>
      </c>
      <c r="WFC2" s="5" t="s">
        <v>409</v>
      </c>
      <c r="WFD2" s="5" t="s">
        <v>409</v>
      </c>
      <c r="WFE2" s="5" t="s">
        <v>409</v>
      </c>
      <c r="WFF2" s="5" t="s">
        <v>409</v>
      </c>
      <c r="WFG2" s="5" t="s">
        <v>409</v>
      </c>
      <c r="WFH2" s="5" t="s">
        <v>409</v>
      </c>
      <c r="WFI2" s="5" t="s">
        <v>409</v>
      </c>
      <c r="WFJ2" s="5" t="s">
        <v>409</v>
      </c>
      <c r="WFK2" s="5" t="s">
        <v>409</v>
      </c>
      <c r="WFL2" s="5" t="s">
        <v>409</v>
      </c>
      <c r="WFM2" s="5" t="s">
        <v>409</v>
      </c>
      <c r="WFN2" s="5" t="s">
        <v>409</v>
      </c>
      <c r="WFO2" s="5" t="s">
        <v>409</v>
      </c>
      <c r="WFP2" s="5" t="s">
        <v>409</v>
      </c>
      <c r="WFQ2" s="5" t="s">
        <v>409</v>
      </c>
      <c r="WFR2" s="5" t="s">
        <v>409</v>
      </c>
      <c r="WFS2" s="5" t="s">
        <v>409</v>
      </c>
      <c r="WFT2" s="5" t="s">
        <v>409</v>
      </c>
      <c r="WFU2" s="5" t="s">
        <v>409</v>
      </c>
      <c r="WFV2" s="5" t="s">
        <v>409</v>
      </c>
      <c r="WFW2" s="5" t="s">
        <v>409</v>
      </c>
      <c r="WFX2" s="5" t="s">
        <v>409</v>
      </c>
      <c r="WFY2" s="5" t="s">
        <v>409</v>
      </c>
      <c r="WFZ2" s="5" t="s">
        <v>409</v>
      </c>
      <c r="WGA2" s="5" t="s">
        <v>409</v>
      </c>
      <c r="WGB2" s="5" t="s">
        <v>409</v>
      </c>
      <c r="WGC2" s="5" t="s">
        <v>409</v>
      </c>
      <c r="WGD2" s="5" t="s">
        <v>409</v>
      </c>
      <c r="WGE2" s="5" t="s">
        <v>409</v>
      </c>
      <c r="WGF2" s="5" t="s">
        <v>409</v>
      </c>
      <c r="WGG2" s="5" t="s">
        <v>409</v>
      </c>
      <c r="WGH2" s="5" t="s">
        <v>409</v>
      </c>
      <c r="WGI2" s="5" t="s">
        <v>409</v>
      </c>
      <c r="WGJ2" s="5" t="s">
        <v>409</v>
      </c>
      <c r="WGK2" s="5" t="s">
        <v>409</v>
      </c>
      <c r="WGL2" s="5" t="s">
        <v>409</v>
      </c>
      <c r="WGM2" s="5" t="s">
        <v>409</v>
      </c>
      <c r="WGN2" s="5" t="s">
        <v>409</v>
      </c>
      <c r="WGO2" s="5" t="s">
        <v>409</v>
      </c>
      <c r="WGP2" s="5" t="s">
        <v>409</v>
      </c>
      <c r="WGQ2" s="5" t="s">
        <v>409</v>
      </c>
      <c r="WGR2" s="5" t="s">
        <v>409</v>
      </c>
      <c r="WGS2" s="5" t="s">
        <v>409</v>
      </c>
      <c r="WGT2" s="5" t="s">
        <v>409</v>
      </c>
      <c r="WGU2" s="5" t="s">
        <v>409</v>
      </c>
      <c r="WGV2" s="5" t="s">
        <v>409</v>
      </c>
      <c r="WGW2" s="5" t="s">
        <v>409</v>
      </c>
      <c r="WGX2" s="5" t="s">
        <v>409</v>
      </c>
      <c r="WGY2" s="5" t="s">
        <v>409</v>
      </c>
      <c r="WGZ2" s="5" t="s">
        <v>409</v>
      </c>
      <c r="WHA2" s="5" t="s">
        <v>409</v>
      </c>
      <c r="WHB2" s="5" t="s">
        <v>409</v>
      </c>
      <c r="WHC2" s="5" t="s">
        <v>409</v>
      </c>
      <c r="WHD2" s="5" t="s">
        <v>409</v>
      </c>
      <c r="WHE2" s="5" t="s">
        <v>409</v>
      </c>
      <c r="WHF2" s="5" t="s">
        <v>409</v>
      </c>
      <c r="WHG2" s="5" t="s">
        <v>409</v>
      </c>
      <c r="WHH2" s="5" t="s">
        <v>409</v>
      </c>
      <c r="WHI2" s="5" t="s">
        <v>409</v>
      </c>
      <c r="WHJ2" s="5" t="s">
        <v>409</v>
      </c>
      <c r="WHK2" s="5" t="s">
        <v>409</v>
      </c>
      <c r="WHL2" s="5" t="s">
        <v>409</v>
      </c>
      <c r="WHM2" s="5" t="s">
        <v>409</v>
      </c>
      <c r="WHN2" s="5" t="s">
        <v>409</v>
      </c>
      <c r="WHO2" s="5" t="s">
        <v>409</v>
      </c>
      <c r="WHP2" s="5" t="s">
        <v>409</v>
      </c>
      <c r="WHQ2" s="5" t="s">
        <v>409</v>
      </c>
      <c r="WHR2" s="5" t="s">
        <v>409</v>
      </c>
      <c r="WHS2" s="5" t="s">
        <v>409</v>
      </c>
      <c r="WHT2" s="5" t="s">
        <v>409</v>
      </c>
      <c r="WHU2" s="5" t="s">
        <v>409</v>
      </c>
      <c r="WHV2" s="5" t="s">
        <v>409</v>
      </c>
      <c r="WHW2" s="5" t="s">
        <v>409</v>
      </c>
      <c r="WHX2" s="5" t="s">
        <v>409</v>
      </c>
      <c r="WHY2" s="5" t="s">
        <v>409</v>
      </c>
      <c r="WHZ2" s="5" t="s">
        <v>409</v>
      </c>
      <c r="WIA2" s="5" t="s">
        <v>409</v>
      </c>
      <c r="WIB2" s="5" t="s">
        <v>409</v>
      </c>
      <c r="WIC2" s="5" t="s">
        <v>409</v>
      </c>
      <c r="WID2" s="5" t="s">
        <v>409</v>
      </c>
      <c r="WIE2" s="5" t="s">
        <v>409</v>
      </c>
      <c r="WIF2" s="5" t="s">
        <v>409</v>
      </c>
      <c r="WIG2" s="5" t="s">
        <v>409</v>
      </c>
      <c r="WIH2" s="5" t="s">
        <v>409</v>
      </c>
      <c r="WII2" s="5" t="s">
        <v>409</v>
      </c>
      <c r="WIJ2" s="5" t="s">
        <v>409</v>
      </c>
      <c r="WIK2" s="5" t="s">
        <v>409</v>
      </c>
      <c r="WIL2" s="5" t="s">
        <v>409</v>
      </c>
      <c r="WIM2" s="5" t="s">
        <v>409</v>
      </c>
      <c r="WIN2" s="5" t="s">
        <v>409</v>
      </c>
      <c r="WIO2" s="5" t="s">
        <v>409</v>
      </c>
      <c r="WIP2" s="5" t="s">
        <v>409</v>
      </c>
      <c r="WIQ2" s="5" t="s">
        <v>409</v>
      </c>
      <c r="WIR2" s="5" t="s">
        <v>409</v>
      </c>
      <c r="WIS2" s="5" t="s">
        <v>409</v>
      </c>
      <c r="WIT2" s="5" t="s">
        <v>409</v>
      </c>
      <c r="WIU2" s="5" t="s">
        <v>409</v>
      </c>
      <c r="WIV2" s="5" t="s">
        <v>409</v>
      </c>
      <c r="WIW2" s="5" t="s">
        <v>409</v>
      </c>
      <c r="WIX2" s="5" t="s">
        <v>409</v>
      </c>
      <c r="WIY2" s="5" t="s">
        <v>409</v>
      </c>
      <c r="WIZ2" s="5" t="s">
        <v>409</v>
      </c>
      <c r="WJA2" s="5" t="s">
        <v>409</v>
      </c>
      <c r="WJB2" s="5" t="s">
        <v>409</v>
      </c>
      <c r="WJC2" s="5" t="s">
        <v>409</v>
      </c>
      <c r="WJD2" s="5" t="s">
        <v>409</v>
      </c>
      <c r="WJE2" s="5" t="s">
        <v>409</v>
      </c>
      <c r="WJF2" s="5" t="s">
        <v>409</v>
      </c>
      <c r="WJG2" s="5" t="s">
        <v>409</v>
      </c>
      <c r="WJH2" s="5" t="s">
        <v>409</v>
      </c>
      <c r="WJI2" s="5" t="s">
        <v>409</v>
      </c>
      <c r="WJJ2" s="5" t="s">
        <v>409</v>
      </c>
      <c r="WJK2" s="5" t="s">
        <v>409</v>
      </c>
      <c r="WJL2" s="5" t="s">
        <v>409</v>
      </c>
      <c r="WJM2" s="5" t="s">
        <v>409</v>
      </c>
      <c r="WJN2" s="5" t="s">
        <v>409</v>
      </c>
      <c r="WJO2" s="5" t="s">
        <v>409</v>
      </c>
      <c r="WJP2" s="5" t="s">
        <v>409</v>
      </c>
      <c r="WJQ2" s="5" t="s">
        <v>409</v>
      </c>
      <c r="WJR2" s="5" t="s">
        <v>409</v>
      </c>
      <c r="WJS2" s="5" t="s">
        <v>409</v>
      </c>
      <c r="WJT2" s="5" t="s">
        <v>409</v>
      </c>
      <c r="WJU2" s="5" t="s">
        <v>409</v>
      </c>
      <c r="WJV2" s="5" t="s">
        <v>409</v>
      </c>
      <c r="WJW2" s="5" t="s">
        <v>409</v>
      </c>
      <c r="WJX2" s="5" t="s">
        <v>409</v>
      </c>
      <c r="WJY2" s="5" t="s">
        <v>409</v>
      </c>
      <c r="WJZ2" s="5" t="s">
        <v>409</v>
      </c>
      <c r="WKA2" s="5" t="s">
        <v>409</v>
      </c>
      <c r="WKB2" s="5" t="s">
        <v>409</v>
      </c>
      <c r="WKC2" s="5" t="s">
        <v>409</v>
      </c>
      <c r="WKD2" s="5" t="s">
        <v>409</v>
      </c>
      <c r="WKE2" s="5" t="s">
        <v>409</v>
      </c>
      <c r="WKF2" s="5" t="s">
        <v>409</v>
      </c>
      <c r="WKG2" s="5" t="s">
        <v>409</v>
      </c>
      <c r="WKH2" s="5" t="s">
        <v>409</v>
      </c>
      <c r="WKI2" s="5" t="s">
        <v>409</v>
      </c>
      <c r="WKJ2" s="5" t="s">
        <v>409</v>
      </c>
      <c r="WKK2" s="5" t="s">
        <v>409</v>
      </c>
      <c r="WKL2" s="5" t="s">
        <v>409</v>
      </c>
      <c r="WKM2" s="5" t="s">
        <v>409</v>
      </c>
      <c r="WKN2" s="5" t="s">
        <v>409</v>
      </c>
      <c r="WKO2" s="5" t="s">
        <v>409</v>
      </c>
      <c r="WKP2" s="5" t="s">
        <v>409</v>
      </c>
      <c r="WKQ2" s="5" t="s">
        <v>409</v>
      </c>
      <c r="WKR2" s="5" t="s">
        <v>409</v>
      </c>
      <c r="WKS2" s="5" t="s">
        <v>409</v>
      </c>
      <c r="WKT2" s="5" t="s">
        <v>409</v>
      </c>
      <c r="WKU2" s="5" t="s">
        <v>409</v>
      </c>
      <c r="WKV2" s="5" t="s">
        <v>409</v>
      </c>
      <c r="WKW2" s="5" t="s">
        <v>409</v>
      </c>
      <c r="WKX2" s="5" t="s">
        <v>409</v>
      </c>
      <c r="WKY2" s="5" t="s">
        <v>409</v>
      </c>
      <c r="WKZ2" s="5" t="s">
        <v>409</v>
      </c>
      <c r="WLA2" s="5" t="s">
        <v>409</v>
      </c>
      <c r="WLB2" s="5" t="s">
        <v>409</v>
      </c>
      <c r="WLC2" s="5" t="s">
        <v>409</v>
      </c>
      <c r="WLD2" s="5" t="s">
        <v>409</v>
      </c>
      <c r="WLE2" s="5" t="s">
        <v>409</v>
      </c>
      <c r="WLF2" s="5" t="s">
        <v>409</v>
      </c>
      <c r="WLG2" s="5" t="s">
        <v>409</v>
      </c>
      <c r="WLH2" s="5" t="s">
        <v>409</v>
      </c>
      <c r="WLI2" s="5" t="s">
        <v>409</v>
      </c>
      <c r="WLJ2" s="5" t="s">
        <v>409</v>
      </c>
      <c r="WLK2" s="5" t="s">
        <v>409</v>
      </c>
      <c r="WLL2" s="5" t="s">
        <v>409</v>
      </c>
      <c r="WLM2" s="5" t="s">
        <v>409</v>
      </c>
      <c r="WLN2" s="5" t="s">
        <v>409</v>
      </c>
      <c r="WLO2" s="5" t="s">
        <v>409</v>
      </c>
      <c r="WLP2" s="5" t="s">
        <v>409</v>
      </c>
      <c r="WLQ2" s="5" t="s">
        <v>409</v>
      </c>
      <c r="WLR2" s="5" t="s">
        <v>409</v>
      </c>
      <c r="WLS2" s="5" t="s">
        <v>409</v>
      </c>
      <c r="WLT2" s="5" t="s">
        <v>409</v>
      </c>
      <c r="WLU2" s="5" t="s">
        <v>409</v>
      </c>
      <c r="WLV2" s="5" t="s">
        <v>409</v>
      </c>
      <c r="WLW2" s="5" t="s">
        <v>409</v>
      </c>
      <c r="WLX2" s="5" t="s">
        <v>409</v>
      </c>
      <c r="WLY2" s="5" t="s">
        <v>409</v>
      </c>
      <c r="WLZ2" s="5" t="s">
        <v>409</v>
      </c>
      <c r="WMA2" s="5" t="s">
        <v>409</v>
      </c>
      <c r="WMB2" s="5" t="s">
        <v>409</v>
      </c>
      <c r="WMC2" s="5" t="s">
        <v>409</v>
      </c>
      <c r="WMD2" s="5" t="s">
        <v>409</v>
      </c>
      <c r="WME2" s="5" t="s">
        <v>409</v>
      </c>
      <c r="WMF2" s="5" t="s">
        <v>409</v>
      </c>
      <c r="WMG2" s="5" t="s">
        <v>409</v>
      </c>
      <c r="WMH2" s="5" t="s">
        <v>409</v>
      </c>
      <c r="WMI2" s="5" t="s">
        <v>409</v>
      </c>
      <c r="WMJ2" s="5" t="s">
        <v>409</v>
      </c>
      <c r="WMK2" s="5" t="s">
        <v>409</v>
      </c>
      <c r="WML2" s="5" t="s">
        <v>409</v>
      </c>
      <c r="WMM2" s="5" t="s">
        <v>409</v>
      </c>
      <c r="WMN2" s="5" t="s">
        <v>409</v>
      </c>
      <c r="WMO2" s="5" t="s">
        <v>409</v>
      </c>
      <c r="WMP2" s="5" t="s">
        <v>409</v>
      </c>
      <c r="WMQ2" s="5" t="s">
        <v>409</v>
      </c>
      <c r="WMR2" s="5" t="s">
        <v>409</v>
      </c>
      <c r="WMS2" s="5" t="s">
        <v>409</v>
      </c>
      <c r="WMT2" s="5" t="s">
        <v>409</v>
      </c>
      <c r="WMU2" s="5" t="s">
        <v>409</v>
      </c>
      <c r="WMV2" s="5" t="s">
        <v>409</v>
      </c>
      <c r="WMW2" s="5" t="s">
        <v>409</v>
      </c>
      <c r="WMX2" s="5" t="s">
        <v>409</v>
      </c>
      <c r="WMY2" s="5" t="s">
        <v>409</v>
      </c>
      <c r="WMZ2" s="5" t="s">
        <v>409</v>
      </c>
      <c r="WNA2" s="5" t="s">
        <v>409</v>
      </c>
      <c r="WNB2" s="5" t="s">
        <v>409</v>
      </c>
      <c r="WNC2" s="5" t="s">
        <v>409</v>
      </c>
      <c r="WND2" s="5" t="s">
        <v>409</v>
      </c>
      <c r="WNE2" s="5" t="s">
        <v>409</v>
      </c>
      <c r="WNF2" s="5" t="s">
        <v>409</v>
      </c>
      <c r="WNG2" s="5" t="s">
        <v>409</v>
      </c>
      <c r="WNH2" s="5" t="s">
        <v>409</v>
      </c>
      <c r="WNI2" s="5" t="s">
        <v>409</v>
      </c>
      <c r="WNJ2" s="5" t="s">
        <v>409</v>
      </c>
      <c r="WNK2" s="5" t="s">
        <v>409</v>
      </c>
      <c r="WNL2" s="5" t="s">
        <v>409</v>
      </c>
      <c r="WNM2" s="5" t="s">
        <v>409</v>
      </c>
      <c r="WNN2" s="5" t="s">
        <v>409</v>
      </c>
      <c r="WNO2" s="5" t="s">
        <v>409</v>
      </c>
      <c r="WNP2" s="5" t="s">
        <v>409</v>
      </c>
      <c r="WNQ2" s="5" t="s">
        <v>409</v>
      </c>
      <c r="WNR2" s="5" t="s">
        <v>409</v>
      </c>
      <c r="WNS2" s="5" t="s">
        <v>409</v>
      </c>
      <c r="WNT2" s="5" t="s">
        <v>409</v>
      </c>
      <c r="WNU2" s="5" t="s">
        <v>409</v>
      </c>
      <c r="WNV2" s="5" t="s">
        <v>409</v>
      </c>
      <c r="WNW2" s="5" t="s">
        <v>409</v>
      </c>
      <c r="WNX2" s="5" t="s">
        <v>409</v>
      </c>
      <c r="WNY2" s="5" t="s">
        <v>409</v>
      </c>
      <c r="WNZ2" s="5" t="s">
        <v>409</v>
      </c>
      <c r="WOA2" s="5" t="s">
        <v>409</v>
      </c>
      <c r="WOB2" s="5" t="s">
        <v>409</v>
      </c>
      <c r="WOC2" s="5" t="s">
        <v>409</v>
      </c>
      <c r="WOD2" s="5" t="s">
        <v>409</v>
      </c>
      <c r="WOE2" s="5" t="s">
        <v>409</v>
      </c>
      <c r="WOF2" s="5" t="s">
        <v>409</v>
      </c>
      <c r="WOG2" s="5" t="s">
        <v>409</v>
      </c>
      <c r="WOH2" s="5" t="s">
        <v>409</v>
      </c>
      <c r="WOI2" s="5" t="s">
        <v>409</v>
      </c>
      <c r="WOJ2" s="5" t="s">
        <v>409</v>
      </c>
      <c r="WOK2" s="5" t="s">
        <v>409</v>
      </c>
      <c r="WOL2" s="5" t="s">
        <v>409</v>
      </c>
      <c r="WOM2" s="5" t="s">
        <v>409</v>
      </c>
      <c r="WON2" s="5" t="s">
        <v>409</v>
      </c>
      <c r="WOO2" s="5" t="s">
        <v>409</v>
      </c>
      <c r="WOP2" s="5" t="s">
        <v>409</v>
      </c>
      <c r="WOQ2" s="5" t="s">
        <v>409</v>
      </c>
      <c r="WOR2" s="5" t="s">
        <v>409</v>
      </c>
      <c r="WOS2" s="5" t="s">
        <v>409</v>
      </c>
      <c r="WOT2" s="5" t="s">
        <v>409</v>
      </c>
      <c r="WOU2" s="5" t="s">
        <v>409</v>
      </c>
      <c r="WOV2" s="5" t="s">
        <v>409</v>
      </c>
      <c r="WOW2" s="5" t="s">
        <v>409</v>
      </c>
      <c r="WOX2" s="5" t="s">
        <v>409</v>
      </c>
      <c r="WOY2" s="5" t="s">
        <v>409</v>
      </c>
      <c r="WOZ2" s="5" t="s">
        <v>409</v>
      </c>
      <c r="WPA2" s="5" t="s">
        <v>409</v>
      </c>
      <c r="WPB2" s="5" t="s">
        <v>409</v>
      </c>
      <c r="WPC2" s="5" t="s">
        <v>409</v>
      </c>
      <c r="WPD2" s="5" t="s">
        <v>409</v>
      </c>
      <c r="WPE2" s="5" t="s">
        <v>409</v>
      </c>
      <c r="WPF2" s="5" t="s">
        <v>409</v>
      </c>
      <c r="WPG2" s="5" t="s">
        <v>409</v>
      </c>
      <c r="WPH2" s="5" t="s">
        <v>409</v>
      </c>
      <c r="WPI2" s="5" t="s">
        <v>409</v>
      </c>
      <c r="WPJ2" s="5" t="s">
        <v>409</v>
      </c>
      <c r="WPK2" s="5" t="s">
        <v>409</v>
      </c>
      <c r="WPL2" s="5" t="s">
        <v>409</v>
      </c>
      <c r="WPM2" s="5" t="s">
        <v>409</v>
      </c>
      <c r="WPN2" s="5" t="s">
        <v>409</v>
      </c>
      <c r="WPO2" s="5" t="s">
        <v>409</v>
      </c>
      <c r="WPP2" s="5" t="s">
        <v>409</v>
      </c>
      <c r="WPQ2" s="5" t="s">
        <v>409</v>
      </c>
      <c r="WPR2" s="5" t="s">
        <v>409</v>
      </c>
      <c r="WPS2" s="5" t="s">
        <v>409</v>
      </c>
      <c r="WPT2" s="5" t="s">
        <v>409</v>
      </c>
      <c r="WPU2" s="5" t="s">
        <v>409</v>
      </c>
      <c r="WPV2" s="5" t="s">
        <v>409</v>
      </c>
      <c r="WPW2" s="5" t="s">
        <v>409</v>
      </c>
      <c r="WPX2" s="5" t="s">
        <v>409</v>
      </c>
      <c r="WPY2" s="5" t="s">
        <v>409</v>
      </c>
      <c r="WPZ2" s="5" t="s">
        <v>409</v>
      </c>
      <c r="WQA2" s="5" t="s">
        <v>409</v>
      </c>
      <c r="WQB2" s="5" t="s">
        <v>409</v>
      </c>
      <c r="WQC2" s="5" t="s">
        <v>409</v>
      </c>
      <c r="WQD2" s="5" t="s">
        <v>409</v>
      </c>
      <c r="WQE2" s="5" t="s">
        <v>409</v>
      </c>
      <c r="WQF2" s="5" t="s">
        <v>409</v>
      </c>
      <c r="WQG2" s="5" t="s">
        <v>409</v>
      </c>
      <c r="WQH2" s="5" t="s">
        <v>409</v>
      </c>
      <c r="WQI2" s="5" t="s">
        <v>409</v>
      </c>
      <c r="WQJ2" s="5" t="s">
        <v>409</v>
      </c>
      <c r="WQK2" s="5" t="s">
        <v>409</v>
      </c>
      <c r="WQL2" s="5" t="s">
        <v>409</v>
      </c>
      <c r="WQM2" s="5" t="s">
        <v>409</v>
      </c>
      <c r="WQN2" s="5" t="s">
        <v>409</v>
      </c>
      <c r="WQO2" s="5" t="s">
        <v>409</v>
      </c>
      <c r="WQP2" s="5" t="s">
        <v>409</v>
      </c>
      <c r="WQQ2" s="5" t="s">
        <v>409</v>
      </c>
      <c r="WQR2" s="5" t="s">
        <v>409</v>
      </c>
      <c r="WQS2" s="5" t="s">
        <v>409</v>
      </c>
      <c r="WQT2" s="5" t="s">
        <v>409</v>
      </c>
      <c r="WQU2" s="5" t="s">
        <v>409</v>
      </c>
      <c r="WQV2" s="5" t="s">
        <v>409</v>
      </c>
      <c r="WQW2" s="5" t="s">
        <v>409</v>
      </c>
      <c r="WQX2" s="5" t="s">
        <v>409</v>
      </c>
      <c r="WQY2" s="5" t="s">
        <v>409</v>
      </c>
      <c r="WQZ2" s="5" t="s">
        <v>409</v>
      </c>
      <c r="WRA2" s="5" t="s">
        <v>409</v>
      </c>
      <c r="WRB2" s="5" t="s">
        <v>409</v>
      </c>
      <c r="WRC2" s="5" t="s">
        <v>409</v>
      </c>
      <c r="WRD2" s="5" t="s">
        <v>409</v>
      </c>
      <c r="WRE2" s="5" t="s">
        <v>409</v>
      </c>
      <c r="WRF2" s="5" t="s">
        <v>409</v>
      </c>
      <c r="WRG2" s="5" t="s">
        <v>409</v>
      </c>
      <c r="WRH2" s="5" t="s">
        <v>409</v>
      </c>
      <c r="WRI2" s="5" t="s">
        <v>409</v>
      </c>
      <c r="WRJ2" s="5" t="s">
        <v>409</v>
      </c>
      <c r="WRK2" s="5" t="s">
        <v>409</v>
      </c>
      <c r="WRL2" s="5" t="s">
        <v>409</v>
      </c>
      <c r="WRM2" s="5" t="s">
        <v>409</v>
      </c>
      <c r="WRN2" s="5" t="s">
        <v>409</v>
      </c>
      <c r="WRO2" s="5" t="s">
        <v>409</v>
      </c>
      <c r="WRP2" s="5" t="s">
        <v>409</v>
      </c>
      <c r="WRQ2" s="5" t="s">
        <v>409</v>
      </c>
      <c r="WRR2" s="5" t="s">
        <v>409</v>
      </c>
      <c r="WRS2" s="5" t="s">
        <v>409</v>
      </c>
      <c r="WRT2" s="5" t="s">
        <v>409</v>
      </c>
      <c r="WRU2" s="5" t="s">
        <v>409</v>
      </c>
      <c r="WRV2" s="5" t="s">
        <v>409</v>
      </c>
      <c r="WRW2" s="5" t="s">
        <v>409</v>
      </c>
      <c r="WRX2" s="5" t="s">
        <v>409</v>
      </c>
      <c r="WRY2" s="5" t="s">
        <v>409</v>
      </c>
      <c r="WRZ2" s="5" t="s">
        <v>409</v>
      </c>
      <c r="WSA2" s="5" t="s">
        <v>409</v>
      </c>
      <c r="WSB2" s="5" t="s">
        <v>409</v>
      </c>
      <c r="WSC2" s="5" t="s">
        <v>409</v>
      </c>
      <c r="WSD2" s="5" t="s">
        <v>409</v>
      </c>
      <c r="WSE2" s="5" t="s">
        <v>409</v>
      </c>
      <c r="WSF2" s="5" t="s">
        <v>409</v>
      </c>
      <c r="WSG2" s="5" t="s">
        <v>409</v>
      </c>
      <c r="WSH2" s="5" t="s">
        <v>409</v>
      </c>
      <c r="WSI2" s="5" t="s">
        <v>409</v>
      </c>
      <c r="WSJ2" s="5" t="s">
        <v>409</v>
      </c>
      <c r="WSK2" s="5" t="s">
        <v>409</v>
      </c>
      <c r="WSL2" s="5" t="s">
        <v>409</v>
      </c>
      <c r="WSM2" s="5" t="s">
        <v>409</v>
      </c>
      <c r="WSN2" s="5" t="s">
        <v>409</v>
      </c>
      <c r="WSO2" s="5" t="s">
        <v>409</v>
      </c>
      <c r="WSP2" s="5" t="s">
        <v>409</v>
      </c>
      <c r="WSQ2" s="5" t="s">
        <v>409</v>
      </c>
      <c r="WSR2" s="5" t="s">
        <v>409</v>
      </c>
      <c r="WSS2" s="5" t="s">
        <v>409</v>
      </c>
      <c r="WST2" s="5" t="s">
        <v>409</v>
      </c>
      <c r="WSU2" s="5" t="s">
        <v>409</v>
      </c>
      <c r="WSV2" s="5" t="s">
        <v>409</v>
      </c>
      <c r="WSW2" s="5" t="s">
        <v>409</v>
      </c>
      <c r="WSX2" s="5" t="s">
        <v>409</v>
      </c>
      <c r="WSY2" s="5" t="s">
        <v>409</v>
      </c>
      <c r="WSZ2" s="5" t="s">
        <v>409</v>
      </c>
      <c r="WTA2" s="5" t="s">
        <v>409</v>
      </c>
      <c r="WTB2" s="5" t="s">
        <v>409</v>
      </c>
      <c r="WTC2" s="5" t="s">
        <v>409</v>
      </c>
      <c r="WTD2" s="5" t="s">
        <v>409</v>
      </c>
      <c r="WTE2" s="5" t="s">
        <v>409</v>
      </c>
      <c r="WTF2" s="5" t="s">
        <v>409</v>
      </c>
      <c r="WTG2" s="5" t="s">
        <v>409</v>
      </c>
      <c r="WTH2" s="5" t="s">
        <v>409</v>
      </c>
      <c r="WTI2" s="5" t="s">
        <v>409</v>
      </c>
      <c r="WTJ2" s="5" t="s">
        <v>409</v>
      </c>
      <c r="WTK2" s="5" t="s">
        <v>409</v>
      </c>
      <c r="WTL2" s="5" t="s">
        <v>409</v>
      </c>
      <c r="WTM2" s="5" t="s">
        <v>409</v>
      </c>
      <c r="WTN2" s="5" t="s">
        <v>409</v>
      </c>
      <c r="WTO2" s="5" t="s">
        <v>409</v>
      </c>
      <c r="WTP2" s="5" t="s">
        <v>409</v>
      </c>
      <c r="WTQ2" s="5" t="s">
        <v>409</v>
      </c>
      <c r="WTR2" s="5" t="s">
        <v>409</v>
      </c>
      <c r="WTS2" s="5" t="s">
        <v>409</v>
      </c>
      <c r="WTT2" s="5" t="s">
        <v>409</v>
      </c>
      <c r="WTU2" s="5" t="s">
        <v>409</v>
      </c>
      <c r="WTV2" s="5" t="s">
        <v>409</v>
      </c>
      <c r="WTW2" s="5" t="s">
        <v>409</v>
      </c>
      <c r="WTX2" s="5" t="s">
        <v>409</v>
      </c>
      <c r="WTY2" s="5" t="s">
        <v>409</v>
      </c>
      <c r="WTZ2" s="5" t="s">
        <v>409</v>
      </c>
      <c r="WUA2" s="5" t="s">
        <v>409</v>
      </c>
      <c r="WUB2" s="5" t="s">
        <v>409</v>
      </c>
      <c r="WUC2" s="5" t="s">
        <v>409</v>
      </c>
      <c r="WUD2" s="5" t="s">
        <v>409</v>
      </c>
      <c r="WUE2" s="5" t="s">
        <v>409</v>
      </c>
      <c r="WUF2" s="5" t="s">
        <v>409</v>
      </c>
      <c r="WUG2" s="5" t="s">
        <v>409</v>
      </c>
      <c r="WUH2" s="5" t="s">
        <v>409</v>
      </c>
      <c r="WUI2" s="5" t="s">
        <v>409</v>
      </c>
      <c r="WUJ2" s="5" t="s">
        <v>409</v>
      </c>
      <c r="WUK2" s="5" t="s">
        <v>409</v>
      </c>
      <c r="WUL2" s="5" t="s">
        <v>409</v>
      </c>
      <c r="WUM2" s="5" t="s">
        <v>409</v>
      </c>
      <c r="WUN2" s="5" t="s">
        <v>409</v>
      </c>
      <c r="WUO2" s="5" t="s">
        <v>409</v>
      </c>
      <c r="WUP2" s="5" t="s">
        <v>409</v>
      </c>
      <c r="WUQ2" s="5" t="s">
        <v>409</v>
      </c>
      <c r="WUR2" s="5" t="s">
        <v>409</v>
      </c>
      <c r="WUS2" s="5" t="s">
        <v>409</v>
      </c>
      <c r="WUT2" s="5" t="s">
        <v>409</v>
      </c>
      <c r="WUU2" s="5" t="s">
        <v>409</v>
      </c>
      <c r="WUV2" s="5" t="s">
        <v>409</v>
      </c>
      <c r="WUW2" s="5" t="s">
        <v>409</v>
      </c>
      <c r="WUX2" s="5" t="s">
        <v>409</v>
      </c>
      <c r="WUY2" s="5" t="s">
        <v>409</v>
      </c>
      <c r="WUZ2" s="5" t="s">
        <v>409</v>
      </c>
      <c r="WVA2" s="5" t="s">
        <v>409</v>
      </c>
      <c r="WVB2" s="5" t="s">
        <v>409</v>
      </c>
      <c r="WVC2" s="5" t="s">
        <v>409</v>
      </c>
      <c r="WVD2" s="5" t="s">
        <v>409</v>
      </c>
      <c r="WVE2" s="5" t="s">
        <v>409</v>
      </c>
      <c r="WVF2" s="5" t="s">
        <v>409</v>
      </c>
      <c r="WVG2" s="5" t="s">
        <v>409</v>
      </c>
      <c r="WVH2" s="5" t="s">
        <v>409</v>
      </c>
      <c r="WVI2" s="5" t="s">
        <v>409</v>
      </c>
      <c r="WVJ2" s="5" t="s">
        <v>409</v>
      </c>
      <c r="WVK2" s="5" t="s">
        <v>409</v>
      </c>
      <c r="WVL2" s="5" t="s">
        <v>409</v>
      </c>
      <c r="WVM2" s="5" t="s">
        <v>409</v>
      </c>
      <c r="WVN2" s="5" t="s">
        <v>409</v>
      </c>
      <c r="WVO2" s="5" t="s">
        <v>409</v>
      </c>
      <c r="WVP2" s="5" t="s">
        <v>409</v>
      </c>
      <c r="WVQ2" s="5" t="s">
        <v>409</v>
      </c>
      <c r="WVR2" s="5" t="s">
        <v>409</v>
      </c>
      <c r="WVS2" s="5" t="s">
        <v>409</v>
      </c>
      <c r="WVT2" s="5" t="s">
        <v>409</v>
      </c>
      <c r="WVU2" s="5" t="s">
        <v>409</v>
      </c>
      <c r="WVV2" s="5" t="s">
        <v>409</v>
      </c>
      <c r="WVW2" s="5" t="s">
        <v>409</v>
      </c>
      <c r="WVX2" s="5" t="s">
        <v>409</v>
      </c>
      <c r="WVY2" s="5" t="s">
        <v>409</v>
      </c>
      <c r="WVZ2" s="5" t="s">
        <v>409</v>
      </c>
      <c r="WWA2" s="5" t="s">
        <v>409</v>
      </c>
      <c r="WWB2" s="5" t="s">
        <v>409</v>
      </c>
      <c r="WWC2" s="5" t="s">
        <v>409</v>
      </c>
      <c r="WWD2" s="5" t="s">
        <v>409</v>
      </c>
      <c r="WWE2" s="5" t="s">
        <v>409</v>
      </c>
      <c r="WWF2" s="5" t="s">
        <v>409</v>
      </c>
      <c r="WWG2" s="5" t="s">
        <v>409</v>
      </c>
      <c r="WWH2" s="5" t="s">
        <v>409</v>
      </c>
      <c r="WWI2" s="5" t="s">
        <v>409</v>
      </c>
      <c r="WWJ2" s="5" t="s">
        <v>409</v>
      </c>
      <c r="WWK2" s="5" t="s">
        <v>409</v>
      </c>
      <c r="WWL2" s="5" t="s">
        <v>409</v>
      </c>
      <c r="WWM2" s="5" t="s">
        <v>409</v>
      </c>
      <c r="WWN2" s="5" t="s">
        <v>409</v>
      </c>
      <c r="WWO2" s="5" t="s">
        <v>409</v>
      </c>
      <c r="WWP2" s="5" t="s">
        <v>409</v>
      </c>
      <c r="WWQ2" s="5" t="s">
        <v>409</v>
      </c>
      <c r="WWR2" s="5" t="s">
        <v>409</v>
      </c>
      <c r="WWS2" s="5" t="s">
        <v>409</v>
      </c>
      <c r="WWT2" s="5" t="s">
        <v>409</v>
      </c>
      <c r="WWU2" s="5" t="s">
        <v>409</v>
      </c>
      <c r="WWV2" s="5" t="s">
        <v>409</v>
      </c>
      <c r="WWW2" s="5" t="s">
        <v>409</v>
      </c>
      <c r="WWX2" s="5" t="s">
        <v>409</v>
      </c>
      <c r="WWY2" s="5" t="s">
        <v>409</v>
      </c>
      <c r="WWZ2" s="5" t="s">
        <v>409</v>
      </c>
      <c r="WXA2" s="5" t="s">
        <v>409</v>
      </c>
      <c r="WXB2" s="5" t="s">
        <v>409</v>
      </c>
      <c r="WXC2" s="5" t="s">
        <v>409</v>
      </c>
      <c r="WXD2" s="5" t="s">
        <v>409</v>
      </c>
      <c r="WXE2" s="5" t="s">
        <v>409</v>
      </c>
      <c r="WXF2" s="5" t="s">
        <v>409</v>
      </c>
      <c r="WXG2" s="5" t="s">
        <v>409</v>
      </c>
      <c r="WXH2" s="5" t="s">
        <v>409</v>
      </c>
      <c r="WXI2" s="5" t="s">
        <v>409</v>
      </c>
      <c r="WXJ2" s="5" t="s">
        <v>409</v>
      </c>
      <c r="WXK2" s="5" t="s">
        <v>409</v>
      </c>
      <c r="WXL2" s="5" t="s">
        <v>409</v>
      </c>
      <c r="WXM2" s="5" t="s">
        <v>409</v>
      </c>
      <c r="WXN2" s="5" t="s">
        <v>409</v>
      </c>
      <c r="WXO2" s="5" t="s">
        <v>409</v>
      </c>
      <c r="WXP2" s="5" t="s">
        <v>409</v>
      </c>
      <c r="WXQ2" s="5" t="s">
        <v>409</v>
      </c>
      <c r="WXR2" s="5" t="s">
        <v>409</v>
      </c>
      <c r="WXS2" s="5" t="s">
        <v>409</v>
      </c>
      <c r="WXT2" s="5" t="s">
        <v>409</v>
      </c>
      <c r="WXU2" s="5" t="s">
        <v>409</v>
      </c>
      <c r="WXV2" s="5" t="s">
        <v>409</v>
      </c>
      <c r="WXW2" s="5" t="s">
        <v>409</v>
      </c>
      <c r="WXX2" s="5" t="s">
        <v>409</v>
      </c>
      <c r="WXY2" s="5" t="s">
        <v>409</v>
      </c>
      <c r="WXZ2" s="5" t="s">
        <v>409</v>
      </c>
      <c r="WYA2" s="5" t="s">
        <v>409</v>
      </c>
      <c r="WYB2" s="5" t="s">
        <v>409</v>
      </c>
      <c r="WYC2" s="5" t="s">
        <v>409</v>
      </c>
      <c r="WYD2" s="5" t="s">
        <v>409</v>
      </c>
      <c r="WYE2" s="5" t="s">
        <v>409</v>
      </c>
      <c r="WYF2" s="5" t="s">
        <v>409</v>
      </c>
      <c r="WYG2" s="5" t="s">
        <v>409</v>
      </c>
      <c r="WYH2" s="5" t="s">
        <v>409</v>
      </c>
      <c r="WYI2" s="5" t="s">
        <v>409</v>
      </c>
      <c r="WYJ2" s="5" t="s">
        <v>409</v>
      </c>
      <c r="WYK2" s="5" t="s">
        <v>409</v>
      </c>
      <c r="WYL2" s="5" t="s">
        <v>409</v>
      </c>
      <c r="WYM2" s="5" t="s">
        <v>409</v>
      </c>
      <c r="WYN2" s="5" t="s">
        <v>409</v>
      </c>
      <c r="WYO2" s="5" t="s">
        <v>409</v>
      </c>
      <c r="WYP2" s="5" t="s">
        <v>409</v>
      </c>
      <c r="WYQ2" s="5" t="s">
        <v>409</v>
      </c>
      <c r="WYR2" s="5" t="s">
        <v>409</v>
      </c>
      <c r="WYS2" s="5" t="s">
        <v>409</v>
      </c>
      <c r="WYT2" s="5" t="s">
        <v>409</v>
      </c>
      <c r="WYU2" s="5" t="s">
        <v>409</v>
      </c>
      <c r="WYV2" s="5" t="s">
        <v>409</v>
      </c>
      <c r="WYW2" s="5" t="s">
        <v>409</v>
      </c>
      <c r="WYX2" s="5" t="s">
        <v>409</v>
      </c>
      <c r="WYY2" s="5" t="s">
        <v>409</v>
      </c>
      <c r="WYZ2" s="5" t="s">
        <v>409</v>
      </c>
      <c r="WZA2" s="5" t="s">
        <v>409</v>
      </c>
      <c r="WZB2" s="5" t="s">
        <v>409</v>
      </c>
      <c r="WZC2" s="5" t="s">
        <v>409</v>
      </c>
      <c r="WZD2" s="5" t="s">
        <v>409</v>
      </c>
      <c r="WZE2" s="5" t="s">
        <v>409</v>
      </c>
      <c r="WZF2" s="5" t="s">
        <v>409</v>
      </c>
      <c r="WZG2" s="5" t="s">
        <v>409</v>
      </c>
      <c r="WZH2" s="5" t="s">
        <v>409</v>
      </c>
      <c r="WZI2" s="5" t="s">
        <v>409</v>
      </c>
      <c r="WZJ2" s="5" t="s">
        <v>409</v>
      </c>
      <c r="WZK2" s="5" t="s">
        <v>409</v>
      </c>
      <c r="WZL2" s="5" t="s">
        <v>409</v>
      </c>
      <c r="WZM2" s="5" t="s">
        <v>409</v>
      </c>
      <c r="WZN2" s="5" t="s">
        <v>409</v>
      </c>
      <c r="WZO2" s="5" t="s">
        <v>409</v>
      </c>
      <c r="WZP2" s="5" t="s">
        <v>409</v>
      </c>
      <c r="WZQ2" s="5" t="s">
        <v>409</v>
      </c>
      <c r="WZR2" s="5" t="s">
        <v>409</v>
      </c>
      <c r="WZS2" s="5" t="s">
        <v>409</v>
      </c>
      <c r="WZT2" s="5" t="s">
        <v>409</v>
      </c>
      <c r="WZU2" s="5" t="s">
        <v>409</v>
      </c>
      <c r="WZV2" s="5" t="s">
        <v>409</v>
      </c>
      <c r="WZW2" s="5" t="s">
        <v>409</v>
      </c>
      <c r="WZX2" s="5" t="s">
        <v>409</v>
      </c>
      <c r="WZY2" s="5" t="s">
        <v>409</v>
      </c>
      <c r="WZZ2" s="5" t="s">
        <v>409</v>
      </c>
      <c r="XAA2" s="5" t="s">
        <v>409</v>
      </c>
      <c r="XAB2" s="5" t="s">
        <v>409</v>
      </c>
      <c r="XAC2" s="5" t="s">
        <v>409</v>
      </c>
      <c r="XAD2" s="5" t="s">
        <v>409</v>
      </c>
      <c r="XAE2" s="5" t="s">
        <v>409</v>
      </c>
      <c r="XAF2" s="5" t="s">
        <v>409</v>
      </c>
      <c r="XAG2" s="5" t="s">
        <v>409</v>
      </c>
      <c r="XAH2" s="5" t="s">
        <v>409</v>
      </c>
      <c r="XAI2" s="5" t="s">
        <v>409</v>
      </c>
      <c r="XAJ2" s="5" t="s">
        <v>409</v>
      </c>
      <c r="XAK2" s="5" t="s">
        <v>409</v>
      </c>
      <c r="XAL2" s="5" t="s">
        <v>409</v>
      </c>
      <c r="XAM2" s="5" t="s">
        <v>409</v>
      </c>
      <c r="XAN2" s="5" t="s">
        <v>409</v>
      </c>
      <c r="XAO2" s="5" t="s">
        <v>409</v>
      </c>
      <c r="XAP2" s="5" t="s">
        <v>409</v>
      </c>
      <c r="XAQ2" s="5" t="s">
        <v>409</v>
      </c>
      <c r="XAR2" s="5" t="s">
        <v>409</v>
      </c>
      <c r="XAS2" s="5" t="s">
        <v>409</v>
      </c>
      <c r="XAT2" s="5" t="s">
        <v>409</v>
      </c>
      <c r="XAU2" s="5" t="s">
        <v>409</v>
      </c>
      <c r="XAV2" s="5" t="s">
        <v>409</v>
      </c>
      <c r="XAW2" s="5" t="s">
        <v>409</v>
      </c>
      <c r="XAX2" s="5" t="s">
        <v>409</v>
      </c>
      <c r="XAY2" s="5" t="s">
        <v>409</v>
      </c>
      <c r="XAZ2" s="5" t="s">
        <v>409</v>
      </c>
      <c r="XBA2" s="5" t="s">
        <v>409</v>
      </c>
      <c r="XBB2" s="5" t="s">
        <v>409</v>
      </c>
      <c r="XBC2" s="5" t="s">
        <v>409</v>
      </c>
      <c r="XBD2" s="5" t="s">
        <v>409</v>
      </c>
      <c r="XBE2" s="5" t="s">
        <v>409</v>
      </c>
      <c r="XBF2" s="5" t="s">
        <v>409</v>
      </c>
      <c r="XBG2" s="5" t="s">
        <v>409</v>
      </c>
      <c r="XBH2" s="5" t="s">
        <v>409</v>
      </c>
      <c r="XBI2" s="5" t="s">
        <v>409</v>
      </c>
      <c r="XBJ2" s="5" t="s">
        <v>409</v>
      </c>
      <c r="XBK2" s="5" t="s">
        <v>409</v>
      </c>
      <c r="XBL2" s="5" t="s">
        <v>409</v>
      </c>
      <c r="XBM2" s="5" t="s">
        <v>409</v>
      </c>
      <c r="XBN2" s="5" t="s">
        <v>409</v>
      </c>
      <c r="XBO2" s="5" t="s">
        <v>409</v>
      </c>
      <c r="XBP2" s="5" t="s">
        <v>409</v>
      </c>
      <c r="XBQ2" s="5" t="s">
        <v>409</v>
      </c>
      <c r="XBR2" s="5" t="s">
        <v>409</v>
      </c>
      <c r="XBS2" s="5" t="s">
        <v>409</v>
      </c>
      <c r="XBT2" s="5" t="s">
        <v>409</v>
      </c>
      <c r="XBU2" s="5" t="s">
        <v>409</v>
      </c>
      <c r="XBV2" s="5" t="s">
        <v>409</v>
      </c>
      <c r="XBW2" s="5" t="s">
        <v>409</v>
      </c>
      <c r="XBX2" s="5" t="s">
        <v>409</v>
      </c>
      <c r="XBY2" s="5" t="s">
        <v>409</v>
      </c>
      <c r="XBZ2" s="5" t="s">
        <v>409</v>
      </c>
      <c r="XCA2" s="5" t="s">
        <v>409</v>
      </c>
      <c r="XCB2" s="5" t="s">
        <v>409</v>
      </c>
      <c r="XCC2" s="5" t="s">
        <v>409</v>
      </c>
      <c r="XCD2" s="5" t="s">
        <v>409</v>
      </c>
      <c r="XCE2" s="5" t="s">
        <v>409</v>
      </c>
      <c r="XCF2" s="5" t="s">
        <v>409</v>
      </c>
      <c r="XCG2" s="5" t="s">
        <v>409</v>
      </c>
      <c r="XCH2" s="5" t="s">
        <v>409</v>
      </c>
      <c r="XCI2" s="5" t="s">
        <v>409</v>
      </c>
      <c r="XCJ2" s="5" t="s">
        <v>409</v>
      </c>
      <c r="XCK2" s="5" t="s">
        <v>409</v>
      </c>
      <c r="XCL2" s="5" t="s">
        <v>409</v>
      </c>
      <c r="XCM2" s="5" t="s">
        <v>409</v>
      </c>
      <c r="XCN2" s="5" t="s">
        <v>409</v>
      </c>
      <c r="XCO2" s="5" t="s">
        <v>409</v>
      </c>
      <c r="XCP2" s="5" t="s">
        <v>409</v>
      </c>
      <c r="XCQ2" s="5" t="s">
        <v>409</v>
      </c>
      <c r="XCR2" s="5" t="s">
        <v>409</v>
      </c>
      <c r="XCS2" s="5" t="s">
        <v>409</v>
      </c>
      <c r="XCT2" s="5" t="s">
        <v>409</v>
      </c>
      <c r="XCU2" s="5" t="s">
        <v>409</v>
      </c>
      <c r="XCV2" s="5" t="s">
        <v>409</v>
      </c>
      <c r="XCW2" s="5" t="s">
        <v>409</v>
      </c>
      <c r="XCX2" s="5" t="s">
        <v>409</v>
      </c>
      <c r="XCY2" s="5" t="s">
        <v>409</v>
      </c>
      <c r="XCZ2" s="5" t="s">
        <v>409</v>
      </c>
      <c r="XDA2" s="5" t="s">
        <v>409</v>
      </c>
      <c r="XDB2" s="5" t="s">
        <v>409</v>
      </c>
      <c r="XDC2" s="5" t="s">
        <v>409</v>
      </c>
      <c r="XDD2" s="5" t="s">
        <v>409</v>
      </c>
      <c r="XDE2" s="5" t="s">
        <v>409</v>
      </c>
      <c r="XDF2" s="5" t="s">
        <v>409</v>
      </c>
      <c r="XDG2" s="5" t="s">
        <v>409</v>
      </c>
      <c r="XDH2" s="5" t="s">
        <v>409</v>
      </c>
      <c r="XDI2" s="5" t="s">
        <v>409</v>
      </c>
      <c r="XDJ2" s="5" t="s">
        <v>409</v>
      </c>
      <c r="XDK2" s="5" t="s">
        <v>409</v>
      </c>
      <c r="XDL2" s="5" t="s">
        <v>409</v>
      </c>
      <c r="XDM2" s="5" t="s">
        <v>409</v>
      </c>
      <c r="XDN2" s="5" t="s">
        <v>409</v>
      </c>
      <c r="XDO2" s="5" t="s">
        <v>409</v>
      </c>
      <c r="XDP2" s="5" t="s">
        <v>409</v>
      </c>
      <c r="XDQ2" s="5" t="s">
        <v>409</v>
      </c>
      <c r="XDR2" s="5" t="s">
        <v>409</v>
      </c>
      <c r="XDS2" s="5" t="s">
        <v>409</v>
      </c>
      <c r="XDT2" s="5" t="s">
        <v>409</v>
      </c>
      <c r="XDU2" s="5" t="s">
        <v>409</v>
      </c>
      <c r="XDV2" s="5" t="s">
        <v>409</v>
      </c>
      <c r="XDW2" s="5" t="s">
        <v>409</v>
      </c>
      <c r="XDX2" s="5" t="s">
        <v>409</v>
      </c>
      <c r="XDY2" s="5" t="s">
        <v>409</v>
      </c>
      <c r="XDZ2" s="5" t="s">
        <v>409</v>
      </c>
      <c r="XEA2" s="5" t="s">
        <v>409</v>
      </c>
      <c r="XEB2" s="5" t="s">
        <v>409</v>
      </c>
      <c r="XEC2" s="5" t="s">
        <v>409</v>
      </c>
      <c r="XED2" s="5" t="s">
        <v>409</v>
      </c>
      <c r="XEE2" s="5" t="s">
        <v>409</v>
      </c>
      <c r="XEF2" s="5" t="s">
        <v>409</v>
      </c>
      <c r="XEG2" s="5" t="s">
        <v>409</v>
      </c>
      <c r="XEH2" s="5" t="s">
        <v>409</v>
      </c>
      <c r="XEI2" s="5" t="s">
        <v>409</v>
      </c>
      <c r="XEJ2" s="5" t="s">
        <v>409</v>
      </c>
      <c r="XEK2" s="5" t="s">
        <v>409</v>
      </c>
      <c r="XEL2" s="5" t="s">
        <v>409</v>
      </c>
      <c r="XEM2" s="5" t="s">
        <v>409</v>
      </c>
      <c r="XEN2" s="5" t="s">
        <v>409</v>
      </c>
      <c r="XEO2" s="5" t="s">
        <v>409</v>
      </c>
      <c r="XEP2" s="5" t="s">
        <v>409</v>
      </c>
      <c r="XEQ2" s="5" t="s">
        <v>409</v>
      </c>
      <c r="XER2" s="5" t="s">
        <v>409</v>
      </c>
      <c r="XES2" s="5" t="s">
        <v>409</v>
      </c>
      <c r="XET2" s="5" t="s">
        <v>409</v>
      </c>
      <c r="XEU2" s="5" t="s">
        <v>409</v>
      </c>
      <c r="XEV2" s="5" t="s">
        <v>409</v>
      </c>
      <c r="XEW2" s="5" t="s">
        <v>409</v>
      </c>
      <c r="XEX2" s="5" t="s">
        <v>409</v>
      </c>
      <c r="XEY2" s="5" t="s">
        <v>409</v>
      </c>
      <c r="XEZ2" s="5" t="s">
        <v>409</v>
      </c>
      <c r="XFA2" s="5" t="s">
        <v>409</v>
      </c>
      <c r="XFB2" s="5" t="s">
        <v>409</v>
      </c>
      <c r="XFC2" s="5" t="s">
        <v>409</v>
      </c>
      <c r="XFD2" s="5" t="s">
        <v>409</v>
      </c>
    </row>
    <row r="3" spans="1:16384" x14ac:dyDescent="0.2">
      <c r="A3" s="19" t="s">
        <v>524</v>
      </c>
      <c r="B3" s="19" t="s">
        <v>600</v>
      </c>
      <c r="C3" s="19" t="s">
        <v>600</v>
      </c>
      <c r="D3" s="20" t="s">
        <v>750</v>
      </c>
      <c r="E3" s="19" t="s">
        <v>751</v>
      </c>
      <c r="F3" s="19" t="s">
        <v>717</v>
      </c>
      <c r="G3" s="20" t="s">
        <v>752</v>
      </c>
    </row>
    <row r="4" spans="1:16384" x14ac:dyDescent="0.2">
      <c r="A4" s="19" t="s">
        <v>353</v>
      </c>
      <c r="B4" s="19" t="s">
        <v>601</v>
      </c>
      <c r="C4" s="19" t="s">
        <v>753</v>
      </c>
      <c r="D4" s="19" t="s">
        <v>754</v>
      </c>
      <c r="E4" s="19" t="s">
        <v>755</v>
      </c>
      <c r="F4" s="20" t="s">
        <v>756</v>
      </c>
      <c r="G4" s="20" t="s">
        <v>757</v>
      </c>
    </row>
    <row r="5" spans="1:16384" x14ac:dyDescent="0.2">
      <c r="A5" s="5" t="s">
        <v>118</v>
      </c>
      <c r="B5" s="19" t="s">
        <v>602</v>
      </c>
      <c r="C5" s="19" t="s">
        <v>602</v>
      </c>
      <c r="D5" s="19" t="s">
        <v>758</v>
      </c>
      <c r="E5" s="19" t="s">
        <v>759</v>
      </c>
      <c r="F5" s="19" t="s">
        <v>717</v>
      </c>
      <c r="G5" s="19" t="s">
        <v>760</v>
      </c>
    </row>
    <row r="6" spans="1:16384" x14ac:dyDescent="0.2">
      <c r="A6" s="19" t="s">
        <v>125</v>
      </c>
      <c r="B6" s="19" t="s">
        <v>603</v>
      </c>
      <c r="C6" s="19" t="s">
        <v>603</v>
      </c>
      <c r="D6" s="19" t="s">
        <v>758</v>
      </c>
      <c r="E6" s="19" t="s">
        <v>759</v>
      </c>
      <c r="F6" s="19" t="s">
        <v>717</v>
      </c>
      <c r="G6" s="19" t="s">
        <v>760</v>
      </c>
    </row>
    <row r="7" spans="1:16384" x14ac:dyDescent="0.2">
      <c r="A7" s="19" t="s">
        <v>472</v>
      </c>
      <c r="B7" s="19" t="s">
        <v>1682</v>
      </c>
      <c r="C7" s="19" t="s">
        <v>761</v>
      </c>
      <c r="D7" s="19" t="s">
        <v>762</v>
      </c>
      <c r="E7" s="19" t="s">
        <v>763</v>
      </c>
      <c r="F7" s="19" t="s">
        <v>717</v>
      </c>
      <c r="G7" s="20" t="s">
        <v>764</v>
      </c>
    </row>
    <row r="8" spans="1:16384" x14ac:dyDescent="0.2">
      <c r="A8" s="19" t="s">
        <v>321</v>
      </c>
      <c r="B8" s="19" t="s">
        <v>604</v>
      </c>
      <c r="C8" s="19" t="s">
        <v>604</v>
      </c>
      <c r="D8" s="19" t="s">
        <v>758</v>
      </c>
      <c r="E8" s="19" t="s">
        <v>759</v>
      </c>
      <c r="F8" s="19" t="s">
        <v>717</v>
      </c>
      <c r="G8" s="19" t="s">
        <v>760</v>
      </c>
    </row>
    <row r="9" spans="1:16384" x14ac:dyDescent="0.2">
      <c r="A9" s="19" t="s">
        <v>128</v>
      </c>
      <c r="B9" s="19" t="s">
        <v>605</v>
      </c>
      <c r="C9" s="19" t="s">
        <v>605</v>
      </c>
      <c r="D9" s="19" t="s">
        <v>758</v>
      </c>
      <c r="E9" s="19" t="s">
        <v>759</v>
      </c>
      <c r="F9" s="19" t="s">
        <v>717</v>
      </c>
      <c r="G9" s="19" t="s">
        <v>760</v>
      </c>
    </row>
    <row r="10" spans="1:16384" x14ac:dyDescent="0.2">
      <c r="A10" s="19" t="s">
        <v>537</v>
      </c>
      <c r="B10" s="19" t="s">
        <v>606</v>
      </c>
      <c r="C10" s="19" t="s">
        <v>606</v>
      </c>
      <c r="D10" s="19" t="s">
        <v>765</v>
      </c>
      <c r="E10" s="19" t="s">
        <v>766</v>
      </c>
      <c r="F10" s="19" t="s">
        <v>717</v>
      </c>
      <c r="G10" s="20" t="s">
        <v>767</v>
      </c>
    </row>
    <row r="11" spans="1:16384" x14ac:dyDescent="0.2">
      <c r="A11" s="19" t="s">
        <v>547</v>
      </c>
      <c r="B11" s="19" t="s">
        <v>607</v>
      </c>
      <c r="C11" s="19" t="s">
        <v>607</v>
      </c>
      <c r="D11" s="19" t="s">
        <v>768</v>
      </c>
      <c r="E11" s="19" t="s">
        <v>755</v>
      </c>
      <c r="F11" s="19" t="s">
        <v>717</v>
      </c>
      <c r="G11" s="20" t="s">
        <v>769</v>
      </c>
    </row>
    <row r="12" spans="1:16384" x14ac:dyDescent="0.2">
      <c r="A12" s="19" t="s">
        <v>475</v>
      </c>
      <c r="B12" s="19" t="s">
        <v>770</v>
      </c>
      <c r="C12" s="19" t="s">
        <v>770</v>
      </c>
      <c r="D12" s="19" t="s">
        <v>771</v>
      </c>
      <c r="E12" s="19" t="s">
        <v>772</v>
      </c>
      <c r="F12" s="19" t="s">
        <v>717</v>
      </c>
      <c r="G12" s="20" t="s">
        <v>773</v>
      </c>
    </row>
    <row r="13" spans="1:16384" x14ac:dyDescent="0.2">
      <c r="A13" s="19" t="s">
        <v>24</v>
      </c>
      <c r="B13" s="19" t="s">
        <v>608</v>
      </c>
      <c r="C13" s="19" t="s">
        <v>608</v>
      </c>
      <c r="D13" s="19" t="s">
        <v>774</v>
      </c>
      <c r="E13" s="19" t="s">
        <v>775</v>
      </c>
      <c r="F13" s="19" t="s">
        <v>717</v>
      </c>
      <c r="G13" s="20" t="s">
        <v>776</v>
      </c>
    </row>
    <row r="14" spans="1:16384" x14ac:dyDescent="0.2">
      <c r="A14" s="19" t="s">
        <v>299</v>
      </c>
      <c r="B14" s="19" t="s">
        <v>1683</v>
      </c>
      <c r="C14" s="19" t="s">
        <v>777</v>
      </c>
      <c r="D14" s="19" t="s">
        <v>778</v>
      </c>
      <c r="E14" s="19" t="s">
        <v>779</v>
      </c>
      <c r="F14" s="19" t="s">
        <v>717</v>
      </c>
      <c r="G14" s="20" t="s">
        <v>780</v>
      </c>
    </row>
    <row r="15" spans="1:16384" x14ac:dyDescent="0.2">
      <c r="A15" s="19" t="s">
        <v>356</v>
      </c>
      <c r="B15" s="19" t="s">
        <v>1706</v>
      </c>
      <c r="C15" s="19" t="s">
        <v>609</v>
      </c>
      <c r="D15" s="19" t="s">
        <v>758</v>
      </c>
      <c r="E15" s="19" t="s">
        <v>759</v>
      </c>
      <c r="F15" s="19" t="s">
        <v>717</v>
      </c>
      <c r="G15" s="19" t="s">
        <v>760</v>
      </c>
    </row>
    <row r="16" spans="1:16384" x14ac:dyDescent="0.2">
      <c r="A16" s="19" t="s">
        <v>324</v>
      </c>
      <c r="B16" s="19" t="s">
        <v>610</v>
      </c>
      <c r="C16" s="19" t="s">
        <v>610</v>
      </c>
      <c r="D16" s="19" t="s">
        <v>758</v>
      </c>
      <c r="E16" s="19" t="s">
        <v>759</v>
      </c>
      <c r="F16" s="19" t="s">
        <v>717</v>
      </c>
      <c r="G16" s="19" t="s">
        <v>760</v>
      </c>
    </row>
    <row r="17" spans="1:7" x14ac:dyDescent="0.2">
      <c r="A17" s="19" t="s">
        <v>392</v>
      </c>
      <c r="B17" s="19" t="s">
        <v>611</v>
      </c>
      <c r="C17" s="19" t="s">
        <v>611</v>
      </c>
      <c r="D17" s="19" t="s">
        <v>781</v>
      </c>
      <c r="E17" s="19" t="s">
        <v>782</v>
      </c>
      <c r="F17" s="20" t="s">
        <v>783</v>
      </c>
      <c r="G17" s="20" t="s">
        <v>784</v>
      </c>
    </row>
    <row r="18" spans="1:7" x14ac:dyDescent="0.2">
      <c r="A18" s="19" t="s">
        <v>167</v>
      </c>
      <c r="B18" s="19" t="s">
        <v>1704</v>
      </c>
      <c r="C18" s="19" t="s">
        <v>612</v>
      </c>
      <c r="D18" s="19" t="s">
        <v>758</v>
      </c>
      <c r="E18" s="19" t="s">
        <v>759</v>
      </c>
      <c r="F18" s="19" t="s">
        <v>717</v>
      </c>
      <c r="G18" s="19" t="s">
        <v>760</v>
      </c>
    </row>
    <row r="19" spans="1:7" x14ac:dyDescent="0.2">
      <c r="A19" s="19" t="s">
        <v>478</v>
      </c>
      <c r="B19" s="19" t="s">
        <v>1703</v>
      </c>
      <c r="C19" s="19" t="s">
        <v>613</v>
      </c>
      <c r="D19" s="19" t="s">
        <v>758</v>
      </c>
      <c r="E19" s="19" t="s">
        <v>759</v>
      </c>
      <c r="F19" s="19" t="s">
        <v>717</v>
      </c>
      <c r="G19" s="19" t="s">
        <v>760</v>
      </c>
    </row>
    <row r="20" spans="1:7" x14ac:dyDescent="0.2">
      <c r="A20" s="19" t="s">
        <v>441</v>
      </c>
      <c r="B20" s="19" t="s">
        <v>614</v>
      </c>
      <c r="C20" s="19" t="s">
        <v>614</v>
      </c>
      <c r="D20" s="19" t="s">
        <v>785</v>
      </c>
      <c r="E20" s="19" t="s">
        <v>775</v>
      </c>
      <c r="F20" s="19" t="s">
        <v>717</v>
      </c>
      <c r="G20" s="20" t="s">
        <v>786</v>
      </c>
    </row>
    <row r="21" spans="1:7" x14ac:dyDescent="0.2">
      <c r="A21" s="5" t="s">
        <v>86</v>
      </c>
      <c r="B21" s="19" t="s">
        <v>615</v>
      </c>
      <c r="C21" s="19" t="s">
        <v>615</v>
      </c>
      <c r="D21" s="19" t="s">
        <v>758</v>
      </c>
      <c r="E21" s="19" t="s">
        <v>759</v>
      </c>
      <c r="F21" s="19" t="s">
        <v>717</v>
      </c>
      <c r="G21" s="19" t="s">
        <v>760</v>
      </c>
    </row>
    <row r="22" spans="1:7" x14ac:dyDescent="0.2">
      <c r="A22" s="19" t="s">
        <v>278</v>
      </c>
      <c r="B22" s="19" t="s">
        <v>787</v>
      </c>
      <c r="C22" s="19" t="s">
        <v>787</v>
      </c>
      <c r="D22" s="19" t="s">
        <v>788</v>
      </c>
      <c r="E22" s="19" t="s">
        <v>789</v>
      </c>
      <c r="F22" s="20" t="s">
        <v>790</v>
      </c>
      <c r="G22" s="20" t="s">
        <v>791</v>
      </c>
    </row>
    <row r="23" spans="1:7" x14ac:dyDescent="0.2">
      <c r="A23" s="19" t="s">
        <v>40</v>
      </c>
      <c r="B23" s="19" t="s">
        <v>616</v>
      </c>
      <c r="C23" s="19" t="s">
        <v>616</v>
      </c>
      <c r="D23" s="19" t="s">
        <v>758</v>
      </c>
      <c r="E23" s="19" t="s">
        <v>759</v>
      </c>
      <c r="F23" s="19" t="s">
        <v>717</v>
      </c>
      <c r="G23" s="19" t="s">
        <v>760</v>
      </c>
    </row>
    <row r="24" spans="1:7" x14ac:dyDescent="0.2">
      <c r="A24" s="5" t="s">
        <v>79</v>
      </c>
      <c r="B24" s="19" t="s">
        <v>617</v>
      </c>
      <c r="C24" s="19" t="s">
        <v>792</v>
      </c>
      <c r="D24" s="19" t="s">
        <v>793</v>
      </c>
      <c r="E24" s="19" t="s">
        <v>794</v>
      </c>
      <c r="F24" s="19" t="s">
        <v>717</v>
      </c>
      <c r="G24" s="20" t="s">
        <v>795</v>
      </c>
    </row>
    <row r="25" spans="1:7" x14ac:dyDescent="0.2">
      <c r="A25" s="19" t="s">
        <v>482</v>
      </c>
      <c r="B25" s="19" t="s">
        <v>796</v>
      </c>
      <c r="C25" s="19" t="s">
        <v>796</v>
      </c>
      <c r="D25" s="19" t="s">
        <v>797</v>
      </c>
      <c r="E25" s="19" t="s">
        <v>798</v>
      </c>
      <c r="F25" s="19" t="s">
        <v>717</v>
      </c>
      <c r="G25" s="20" t="s">
        <v>799</v>
      </c>
    </row>
    <row r="26" spans="1:7" x14ac:dyDescent="0.2">
      <c r="A26" s="19" t="s">
        <v>412</v>
      </c>
      <c r="B26" s="19" t="s">
        <v>618</v>
      </c>
      <c r="C26" s="19" t="s">
        <v>800</v>
      </c>
      <c r="D26" s="19" t="s">
        <v>758</v>
      </c>
      <c r="E26" s="19" t="s">
        <v>759</v>
      </c>
      <c r="F26" s="19" t="s">
        <v>717</v>
      </c>
      <c r="G26" s="19" t="s">
        <v>760</v>
      </c>
    </row>
    <row r="27" spans="1:7" x14ac:dyDescent="0.2">
      <c r="A27" s="19" t="s">
        <v>38</v>
      </c>
      <c r="B27" s="19" t="s">
        <v>619</v>
      </c>
      <c r="C27" s="19" t="s">
        <v>619</v>
      </c>
      <c r="D27" s="19" t="s">
        <v>801</v>
      </c>
      <c r="E27" s="19" t="s">
        <v>802</v>
      </c>
      <c r="F27" s="19" t="s">
        <v>717</v>
      </c>
      <c r="G27" s="20" t="s">
        <v>803</v>
      </c>
    </row>
    <row r="28" spans="1:7" x14ac:dyDescent="0.2">
      <c r="A28" s="19" t="s">
        <v>20</v>
      </c>
      <c r="B28" s="19" t="s">
        <v>620</v>
      </c>
      <c r="C28" s="19" t="s">
        <v>620</v>
      </c>
      <c r="D28" s="19" t="s">
        <v>804</v>
      </c>
      <c r="E28" s="19" t="s">
        <v>775</v>
      </c>
      <c r="F28" s="19" t="s">
        <v>717</v>
      </c>
      <c r="G28" s="20" t="s">
        <v>805</v>
      </c>
    </row>
    <row r="29" spans="1:7" x14ac:dyDescent="0.2">
      <c r="A29" s="19" t="s">
        <v>422</v>
      </c>
      <c r="B29" s="19" t="s">
        <v>1705</v>
      </c>
      <c r="C29" s="19" t="s">
        <v>806</v>
      </c>
      <c r="D29" s="19" t="s">
        <v>807</v>
      </c>
      <c r="E29" s="19" t="s">
        <v>808</v>
      </c>
      <c r="F29" s="19" t="s">
        <v>717</v>
      </c>
      <c r="G29" s="20" t="s">
        <v>809</v>
      </c>
    </row>
    <row r="30" spans="1:7" x14ac:dyDescent="0.2">
      <c r="A30" s="19" t="s">
        <v>149</v>
      </c>
      <c r="B30" s="19" t="s">
        <v>1702</v>
      </c>
      <c r="C30" s="19" t="s">
        <v>810</v>
      </c>
      <c r="D30" s="19" t="s">
        <v>811</v>
      </c>
      <c r="E30" s="19" t="s">
        <v>812</v>
      </c>
      <c r="F30" s="19" t="s">
        <v>717</v>
      </c>
      <c r="G30" s="20" t="s">
        <v>813</v>
      </c>
    </row>
    <row r="31" spans="1:7" x14ac:dyDescent="0.2">
      <c r="A31" s="19" t="s">
        <v>259</v>
      </c>
      <c r="B31" s="19" t="s">
        <v>814</v>
      </c>
      <c r="C31" s="19" t="s">
        <v>814</v>
      </c>
      <c r="D31" s="19" t="s">
        <v>815</v>
      </c>
      <c r="E31" s="19" t="s">
        <v>816</v>
      </c>
      <c r="F31" s="19" t="s">
        <v>717</v>
      </c>
      <c r="G31" s="20" t="s">
        <v>817</v>
      </c>
    </row>
    <row r="32" spans="1:7" x14ac:dyDescent="0.2">
      <c r="A32" s="19" t="s">
        <v>90</v>
      </c>
      <c r="B32" s="19" t="s">
        <v>621</v>
      </c>
      <c r="C32" s="19" t="s">
        <v>621</v>
      </c>
      <c r="D32" s="19" t="s">
        <v>758</v>
      </c>
      <c r="E32" s="19" t="s">
        <v>759</v>
      </c>
      <c r="F32" s="19" t="s">
        <v>717</v>
      </c>
      <c r="G32" s="19" t="s">
        <v>760</v>
      </c>
    </row>
    <row r="33" spans="1:7" x14ac:dyDescent="0.2">
      <c r="A33" s="19" t="s">
        <v>550</v>
      </c>
      <c r="B33" s="19" t="s">
        <v>622</v>
      </c>
      <c r="C33" s="19" t="s">
        <v>622</v>
      </c>
      <c r="D33" s="19" t="s">
        <v>758</v>
      </c>
      <c r="E33" s="19" t="s">
        <v>759</v>
      </c>
      <c r="F33" s="19" t="s">
        <v>717</v>
      </c>
      <c r="G33" s="19" t="s">
        <v>760</v>
      </c>
    </row>
    <row r="34" spans="1:7" x14ac:dyDescent="0.2">
      <c r="A34" s="19" t="s">
        <v>152</v>
      </c>
      <c r="B34" s="19" t="s">
        <v>623</v>
      </c>
      <c r="C34" s="19" t="s">
        <v>623</v>
      </c>
      <c r="D34" s="19" t="s">
        <v>818</v>
      </c>
      <c r="E34" s="19" t="s">
        <v>819</v>
      </c>
      <c r="F34" s="19" t="s">
        <v>717</v>
      </c>
      <c r="G34" s="20" t="s">
        <v>820</v>
      </c>
    </row>
    <row r="35" spans="1:7" x14ac:dyDescent="0.2">
      <c r="A35" s="19" t="s">
        <v>359</v>
      </c>
      <c r="B35" s="19" t="s">
        <v>821</v>
      </c>
      <c r="C35" s="19" t="s">
        <v>821</v>
      </c>
      <c r="D35" s="19" t="s">
        <v>822</v>
      </c>
      <c r="E35" s="19" t="s">
        <v>823</v>
      </c>
      <c r="F35" s="19" t="s">
        <v>717</v>
      </c>
      <c r="G35" s="20" t="s">
        <v>824</v>
      </c>
    </row>
    <row r="36" spans="1:7" x14ac:dyDescent="0.2">
      <c r="A36" s="19" t="s">
        <v>362</v>
      </c>
      <c r="B36" s="19" t="s">
        <v>1701</v>
      </c>
      <c r="C36" s="19" t="s">
        <v>825</v>
      </c>
      <c r="D36" s="19" t="s">
        <v>826</v>
      </c>
      <c r="E36" s="19" t="s">
        <v>827</v>
      </c>
      <c r="F36" s="19" t="s">
        <v>717</v>
      </c>
      <c r="G36" s="20" t="s">
        <v>828</v>
      </c>
    </row>
    <row r="37" spans="1:7" x14ac:dyDescent="0.2">
      <c r="A37" s="19" t="s">
        <v>27</v>
      </c>
      <c r="B37" s="19" t="s">
        <v>624</v>
      </c>
      <c r="C37" s="19" t="s">
        <v>624</v>
      </c>
      <c r="D37" s="19" t="s">
        <v>829</v>
      </c>
      <c r="E37" s="19" t="s">
        <v>830</v>
      </c>
      <c r="F37" s="19" t="s">
        <v>717</v>
      </c>
      <c r="G37" s="20" t="s">
        <v>831</v>
      </c>
    </row>
    <row r="38" spans="1:7" x14ac:dyDescent="0.2">
      <c r="A38" s="19" t="s">
        <v>10</v>
      </c>
      <c r="B38" s="19" t="s">
        <v>625</v>
      </c>
      <c r="C38" s="19" t="s">
        <v>625</v>
      </c>
      <c r="D38" s="19" t="s">
        <v>832</v>
      </c>
      <c r="E38" s="19" t="s">
        <v>798</v>
      </c>
      <c r="F38" s="19" t="s">
        <v>717</v>
      </c>
      <c r="G38" s="20" t="s">
        <v>833</v>
      </c>
    </row>
    <row r="39" spans="1:7" x14ac:dyDescent="0.2">
      <c r="A39" s="19" t="s">
        <v>241</v>
      </c>
      <c r="B39" s="19" t="s">
        <v>626</v>
      </c>
      <c r="C39" s="19" t="s">
        <v>626</v>
      </c>
      <c r="D39" s="19" t="s">
        <v>834</v>
      </c>
      <c r="E39" s="19" t="s">
        <v>835</v>
      </c>
      <c r="F39" s="19" t="s">
        <v>717</v>
      </c>
      <c r="G39" s="20" t="s">
        <v>836</v>
      </c>
    </row>
    <row r="40" spans="1:7" x14ac:dyDescent="0.2">
      <c r="A40" s="19" t="s">
        <v>93</v>
      </c>
      <c r="B40" s="19" t="s">
        <v>627</v>
      </c>
      <c r="C40" s="19" t="s">
        <v>627</v>
      </c>
      <c r="D40" s="19" t="s">
        <v>758</v>
      </c>
      <c r="E40" s="19" t="s">
        <v>759</v>
      </c>
      <c r="F40" s="19" t="s">
        <v>717</v>
      </c>
      <c r="G40" s="19" t="s">
        <v>760</v>
      </c>
    </row>
    <row r="41" spans="1:7" x14ac:dyDescent="0.2">
      <c r="A41" s="19" t="s">
        <v>96</v>
      </c>
      <c r="B41" s="19" t="s">
        <v>628</v>
      </c>
      <c r="C41" s="19" t="s">
        <v>628</v>
      </c>
      <c r="D41" s="19" t="s">
        <v>837</v>
      </c>
      <c r="E41" s="19" t="s">
        <v>835</v>
      </c>
      <c r="F41" s="19" t="s">
        <v>717</v>
      </c>
      <c r="G41" s="20" t="s">
        <v>838</v>
      </c>
    </row>
    <row r="42" spans="1:7" x14ac:dyDescent="0.2">
      <c r="A42" s="19" t="s">
        <v>131</v>
      </c>
      <c r="B42" s="19" t="s">
        <v>1684</v>
      </c>
      <c r="C42" s="19" t="s">
        <v>839</v>
      </c>
      <c r="D42" s="19" t="s">
        <v>840</v>
      </c>
      <c r="E42" s="19" t="s">
        <v>802</v>
      </c>
      <c r="F42" s="19" t="s">
        <v>717</v>
      </c>
      <c r="G42" s="20" t="s">
        <v>841</v>
      </c>
    </row>
    <row r="43" spans="1:7" x14ac:dyDescent="0.2">
      <c r="A43" s="19" t="s">
        <v>134</v>
      </c>
      <c r="B43" s="19" t="s">
        <v>629</v>
      </c>
      <c r="C43" s="19" t="s">
        <v>629</v>
      </c>
      <c r="D43" s="19" t="s">
        <v>842</v>
      </c>
      <c r="E43" s="19" t="s">
        <v>843</v>
      </c>
      <c r="F43" s="19" t="s">
        <v>717</v>
      </c>
      <c r="G43" s="20" t="s">
        <v>844</v>
      </c>
    </row>
    <row r="44" spans="1:7" x14ac:dyDescent="0.2">
      <c r="A44" s="19" t="s">
        <v>121</v>
      </c>
      <c r="B44" s="19" t="s">
        <v>630</v>
      </c>
      <c r="C44" s="19" t="s">
        <v>630</v>
      </c>
      <c r="D44" s="19" t="s">
        <v>758</v>
      </c>
      <c r="E44" s="19" t="s">
        <v>759</v>
      </c>
      <c r="F44" s="19" t="s">
        <v>717</v>
      </c>
      <c r="G44" s="19" t="s">
        <v>760</v>
      </c>
    </row>
    <row r="45" spans="1:7" x14ac:dyDescent="0.2">
      <c r="A45" s="19" t="s">
        <v>366</v>
      </c>
      <c r="B45" s="19" t="s">
        <v>631</v>
      </c>
      <c r="C45" s="19" t="s">
        <v>631</v>
      </c>
      <c r="D45" s="19" t="s">
        <v>758</v>
      </c>
      <c r="E45" s="19" t="s">
        <v>759</v>
      </c>
      <c r="F45" s="19" t="s">
        <v>717</v>
      </c>
      <c r="G45" s="19" t="s">
        <v>760</v>
      </c>
    </row>
    <row r="46" spans="1:7" x14ac:dyDescent="0.2">
      <c r="A46" s="19" t="s">
        <v>43</v>
      </c>
      <c r="B46" s="19" t="s">
        <v>632</v>
      </c>
      <c r="C46" s="19" t="s">
        <v>632</v>
      </c>
      <c r="D46" s="19" t="s">
        <v>834</v>
      </c>
      <c r="E46" s="19" t="s">
        <v>835</v>
      </c>
      <c r="F46" s="19" t="s">
        <v>717</v>
      </c>
      <c r="G46" s="20" t="s">
        <v>836</v>
      </c>
    </row>
    <row r="47" spans="1:7" x14ac:dyDescent="0.2">
      <c r="A47" s="19" t="s">
        <v>561</v>
      </c>
      <c r="B47" s="19" t="s">
        <v>633</v>
      </c>
      <c r="C47" s="19" t="s">
        <v>633</v>
      </c>
      <c r="D47" s="19" t="s">
        <v>845</v>
      </c>
      <c r="E47" s="19" t="s">
        <v>846</v>
      </c>
      <c r="F47" s="19" t="s">
        <v>717</v>
      </c>
      <c r="G47" s="20" t="s">
        <v>847</v>
      </c>
    </row>
    <row r="48" spans="1:7" x14ac:dyDescent="0.2">
      <c r="A48" s="19" t="s">
        <v>171</v>
      </c>
      <c r="B48" s="19" t="s">
        <v>848</v>
      </c>
      <c r="C48" s="19" t="s">
        <v>848</v>
      </c>
      <c r="D48" s="19" t="s">
        <v>849</v>
      </c>
      <c r="E48" s="19" t="s">
        <v>835</v>
      </c>
      <c r="F48" s="19" t="s">
        <v>717</v>
      </c>
      <c r="G48" s="20" t="s">
        <v>836</v>
      </c>
    </row>
    <row r="49" spans="1:7" x14ac:dyDescent="0.2">
      <c r="A49" s="19" t="s">
        <v>446</v>
      </c>
      <c r="B49" s="19" t="s">
        <v>634</v>
      </c>
      <c r="C49" s="19" t="s">
        <v>634</v>
      </c>
      <c r="D49" s="19" t="s">
        <v>850</v>
      </c>
      <c r="E49" s="19" t="s">
        <v>851</v>
      </c>
      <c r="F49" s="19" t="s">
        <v>1679</v>
      </c>
      <c r="G49" s="20" t="s">
        <v>852</v>
      </c>
    </row>
    <row r="50" spans="1:7" x14ac:dyDescent="0.2">
      <c r="A50" s="19" t="s">
        <v>100</v>
      </c>
      <c r="B50" s="19" t="s">
        <v>635</v>
      </c>
      <c r="C50" s="19" t="s">
        <v>635</v>
      </c>
      <c r="D50" s="19" t="s">
        <v>758</v>
      </c>
      <c r="E50" s="19" t="s">
        <v>759</v>
      </c>
      <c r="F50" s="19" t="s">
        <v>717</v>
      </c>
      <c r="G50" s="19" t="s">
        <v>760</v>
      </c>
    </row>
    <row r="51" spans="1:7" x14ac:dyDescent="0.2">
      <c r="A51" s="19" t="s">
        <v>103</v>
      </c>
      <c r="B51" s="19" t="s">
        <v>636</v>
      </c>
      <c r="C51" s="19" t="s">
        <v>636</v>
      </c>
      <c r="D51" s="19" t="s">
        <v>758</v>
      </c>
      <c r="E51" s="19" t="s">
        <v>759</v>
      </c>
      <c r="F51" s="19" t="s">
        <v>717</v>
      </c>
      <c r="G51" s="19" t="s">
        <v>760</v>
      </c>
    </row>
    <row r="52" spans="1:7" x14ac:dyDescent="0.2">
      <c r="A52" s="19" t="s">
        <v>396</v>
      </c>
      <c r="B52" s="19" t="s">
        <v>637</v>
      </c>
      <c r="C52" s="19" t="s">
        <v>637</v>
      </c>
      <c r="D52" s="19" t="s">
        <v>758</v>
      </c>
      <c r="E52" s="19" t="s">
        <v>759</v>
      </c>
      <c r="F52" s="19" t="s">
        <v>717</v>
      </c>
      <c r="G52" s="19" t="s">
        <v>760</v>
      </c>
    </row>
    <row r="53" spans="1:7" x14ac:dyDescent="0.2">
      <c r="A53" s="5" t="s">
        <v>492</v>
      </c>
      <c r="B53" s="19" t="s">
        <v>1685</v>
      </c>
      <c r="C53" s="19" t="s">
        <v>853</v>
      </c>
      <c r="D53" s="19" t="s">
        <v>854</v>
      </c>
      <c r="E53" s="19" t="s">
        <v>855</v>
      </c>
      <c r="F53" s="19" t="s">
        <v>717</v>
      </c>
      <c r="G53" s="20" t="s">
        <v>856</v>
      </c>
    </row>
    <row r="54" spans="1:7" x14ac:dyDescent="0.2">
      <c r="A54" s="5" t="s">
        <v>489</v>
      </c>
      <c r="B54" s="19" t="s">
        <v>638</v>
      </c>
      <c r="C54" s="19" t="s">
        <v>857</v>
      </c>
      <c r="D54" s="19" t="s">
        <v>858</v>
      </c>
      <c r="E54" s="19" t="s">
        <v>855</v>
      </c>
      <c r="F54" s="19" t="s">
        <v>717</v>
      </c>
      <c r="G54" s="20" t="s">
        <v>859</v>
      </c>
    </row>
    <row r="55" spans="1:7" x14ac:dyDescent="0.2">
      <c r="A55" s="19" t="s">
        <v>369</v>
      </c>
      <c r="B55" s="19" t="s">
        <v>639</v>
      </c>
      <c r="C55" s="19" t="s">
        <v>639</v>
      </c>
      <c r="D55" s="19" t="s">
        <v>860</v>
      </c>
      <c r="E55" s="19" t="s">
        <v>766</v>
      </c>
      <c r="F55" s="19" t="s">
        <v>717</v>
      </c>
      <c r="G55" s="20" t="s">
        <v>861</v>
      </c>
    </row>
    <row r="56" spans="1:7" x14ac:dyDescent="0.2">
      <c r="A56" s="19" t="s">
        <v>143</v>
      </c>
      <c r="B56" s="19" t="s">
        <v>862</v>
      </c>
      <c r="C56" s="19" t="s">
        <v>862</v>
      </c>
      <c r="D56" s="19" t="s">
        <v>758</v>
      </c>
      <c r="E56" s="19" t="s">
        <v>759</v>
      </c>
      <c r="F56" s="19" t="s">
        <v>717</v>
      </c>
      <c r="G56" s="19" t="s">
        <v>760</v>
      </c>
    </row>
    <row r="57" spans="1:7" x14ac:dyDescent="0.2">
      <c r="A57" s="19" t="s">
        <v>449</v>
      </c>
      <c r="B57" s="19" t="s">
        <v>863</v>
      </c>
      <c r="C57" s="19" t="s">
        <v>863</v>
      </c>
      <c r="D57" s="19" t="s">
        <v>864</v>
      </c>
      <c r="E57" s="19" t="s">
        <v>865</v>
      </c>
      <c r="F57" s="19" t="s">
        <v>866</v>
      </c>
      <c r="G57" s="19" t="s">
        <v>717</v>
      </c>
    </row>
    <row r="58" spans="1:7" x14ac:dyDescent="0.2">
      <c r="A58" s="19" t="s">
        <v>328</v>
      </c>
      <c r="B58" s="19" t="s">
        <v>640</v>
      </c>
      <c r="C58" s="19" t="s">
        <v>640</v>
      </c>
      <c r="D58" s="19" t="s">
        <v>758</v>
      </c>
      <c r="E58" s="19" t="s">
        <v>759</v>
      </c>
      <c r="F58" s="19" t="s">
        <v>717</v>
      </c>
      <c r="G58" s="19" t="s">
        <v>760</v>
      </c>
    </row>
    <row r="59" spans="1:7" x14ac:dyDescent="0.2">
      <c r="A59" s="19" t="s">
        <v>13</v>
      </c>
      <c r="B59" s="19" t="s">
        <v>1707</v>
      </c>
      <c r="C59" s="19" t="s">
        <v>867</v>
      </c>
      <c r="D59" s="19" t="s">
        <v>758</v>
      </c>
      <c r="E59" s="19" t="s">
        <v>759</v>
      </c>
      <c r="F59" s="19" t="s">
        <v>717</v>
      </c>
      <c r="G59" s="19" t="s">
        <v>760</v>
      </c>
    </row>
    <row r="60" spans="1:7" x14ac:dyDescent="0.2">
      <c r="A60" s="19" t="s">
        <v>137</v>
      </c>
      <c r="B60" s="19" t="s">
        <v>641</v>
      </c>
      <c r="C60" s="19" t="s">
        <v>641</v>
      </c>
      <c r="D60" s="19" t="s">
        <v>868</v>
      </c>
      <c r="E60" s="19" t="s">
        <v>869</v>
      </c>
      <c r="F60" s="19" t="s">
        <v>717</v>
      </c>
      <c r="G60" s="20" t="s">
        <v>870</v>
      </c>
    </row>
    <row r="61" spans="1:7" x14ac:dyDescent="0.2">
      <c r="A61" s="19" t="s">
        <v>63</v>
      </c>
      <c r="B61" s="19" t="s">
        <v>1708</v>
      </c>
      <c r="C61" s="19" t="s">
        <v>871</v>
      </c>
      <c r="D61" s="19" t="s">
        <v>872</v>
      </c>
      <c r="E61" s="19" t="s">
        <v>794</v>
      </c>
      <c r="F61" s="19" t="s">
        <v>717</v>
      </c>
      <c r="G61" s="20" t="s">
        <v>795</v>
      </c>
    </row>
    <row r="62" spans="1:7" x14ac:dyDescent="0.2">
      <c r="A62" s="19" t="s">
        <v>499</v>
      </c>
      <c r="B62" s="19" t="s">
        <v>873</v>
      </c>
      <c r="C62" s="19" t="s">
        <v>873</v>
      </c>
      <c r="D62" s="19" t="s">
        <v>797</v>
      </c>
      <c r="E62" s="19" t="s">
        <v>798</v>
      </c>
      <c r="F62" s="19" t="s">
        <v>717</v>
      </c>
      <c r="G62" s="20" t="s">
        <v>799</v>
      </c>
    </row>
    <row r="63" spans="1:7" x14ac:dyDescent="0.2">
      <c r="A63" s="19" t="s">
        <v>212</v>
      </c>
      <c r="B63" s="19" t="s">
        <v>642</v>
      </c>
      <c r="C63" s="19" t="s">
        <v>642</v>
      </c>
      <c r="D63" s="19" t="s">
        <v>758</v>
      </c>
      <c r="E63" s="19" t="s">
        <v>759</v>
      </c>
      <c r="F63" s="19" t="s">
        <v>717</v>
      </c>
      <c r="G63" s="19" t="s">
        <v>760</v>
      </c>
    </row>
    <row r="64" spans="1:7" x14ac:dyDescent="0.2">
      <c r="A64" s="19" t="s">
        <v>502</v>
      </c>
      <c r="B64" s="19" t="s">
        <v>874</v>
      </c>
      <c r="C64" s="19" t="s">
        <v>874</v>
      </c>
      <c r="D64" s="19" t="s">
        <v>758</v>
      </c>
      <c r="E64" s="19" t="s">
        <v>759</v>
      </c>
      <c r="F64" s="19" t="s">
        <v>717</v>
      </c>
      <c r="G64" s="19" t="s">
        <v>760</v>
      </c>
    </row>
    <row r="65" spans="1:7" x14ac:dyDescent="0.2">
      <c r="A65" s="19" t="s">
        <v>195</v>
      </c>
      <c r="B65" s="19" t="s">
        <v>643</v>
      </c>
      <c r="C65" s="19" t="s">
        <v>643</v>
      </c>
      <c r="D65" s="19" t="s">
        <v>801</v>
      </c>
      <c r="E65" s="19" t="s">
        <v>802</v>
      </c>
      <c r="F65" s="19" t="s">
        <v>717</v>
      </c>
      <c r="G65" s="20" t="s">
        <v>803</v>
      </c>
    </row>
    <row r="66" spans="1:7" x14ac:dyDescent="0.2">
      <c r="A66" s="19" t="s">
        <v>16</v>
      </c>
      <c r="B66" s="19" t="s">
        <v>644</v>
      </c>
      <c r="C66" s="19" t="s">
        <v>644</v>
      </c>
      <c r="D66" s="19" t="s">
        <v>804</v>
      </c>
      <c r="E66" s="19" t="s">
        <v>775</v>
      </c>
      <c r="F66" s="19" t="s">
        <v>717</v>
      </c>
      <c r="G66" s="20" t="s">
        <v>805</v>
      </c>
    </row>
    <row r="67" spans="1:7" x14ac:dyDescent="0.2">
      <c r="A67" s="19" t="s">
        <v>53</v>
      </c>
      <c r="B67" s="19" t="s">
        <v>645</v>
      </c>
      <c r="C67" s="19" t="s">
        <v>645</v>
      </c>
      <c r="D67" s="19" t="s">
        <v>875</v>
      </c>
      <c r="E67" s="19" t="s">
        <v>775</v>
      </c>
      <c r="F67" s="19" t="s">
        <v>717</v>
      </c>
      <c r="G67" s="20" t="s">
        <v>876</v>
      </c>
    </row>
    <row r="68" spans="1:7" x14ac:dyDescent="0.2">
      <c r="A68" s="19" t="s">
        <v>46</v>
      </c>
      <c r="B68" s="19" t="s">
        <v>646</v>
      </c>
      <c r="C68" s="19" t="s">
        <v>646</v>
      </c>
      <c r="D68" s="19" t="s">
        <v>758</v>
      </c>
      <c r="E68" s="19" t="s">
        <v>759</v>
      </c>
      <c r="F68" s="19" t="s">
        <v>717</v>
      </c>
      <c r="G68" s="19" t="s">
        <v>760</v>
      </c>
    </row>
    <row r="69" spans="1:7" x14ac:dyDescent="0.2">
      <c r="A69" s="19" t="s">
        <v>107</v>
      </c>
      <c r="B69" s="19" t="s">
        <v>647</v>
      </c>
      <c r="C69" s="19" t="s">
        <v>647</v>
      </c>
      <c r="D69" s="19" t="s">
        <v>758</v>
      </c>
      <c r="E69" s="19" t="s">
        <v>759</v>
      </c>
      <c r="F69" s="19" t="s">
        <v>717</v>
      </c>
      <c r="G69" s="19" t="s">
        <v>760</v>
      </c>
    </row>
    <row r="70" spans="1:7" x14ac:dyDescent="0.2">
      <c r="A70" s="19" t="s">
        <v>199</v>
      </c>
      <c r="B70" s="19" t="s">
        <v>568</v>
      </c>
      <c r="C70" s="19" t="s">
        <v>568</v>
      </c>
      <c r="D70" s="19" t="s">
        <v>788</v>
      </c>
      <c r="E70" s="19" t="s">
        <v>789</v>
      </c>
      <c r="F70" s="20" t="s">
        <v>790</v>
      </c>
      <c r="G70" s="20" t="s">
        <v>791</v>
      </c>
    </row>
    <row r="71" spans="1:7" x14ac:dyDescent="0.2">
      <c r="A71" s="19" t="s">
        <v>36</v>
      </c>
      <c r="B71" s="19" t="s">
        <v>569</v>
      </c>
      <c r="C71" s="19" t="s">
        <v>569</v>
      </c>
      <c r="D71" s="19" t="s">
        <v>758</v>
      </c>
      <c r="E71" s="19" t="s">
        <v>759</v>
      </c>
      <c r="F71" s="19" t="s">
        <v>717</v>
      </c>
      <c r="G71" s="19" t="s">
        <v>760</v>
      </c>
    </row>
    <row r="72" spans="1:7" x14ac:dyDescent="0.2">
      <c r="A72" s="5" t="s">
        <v>505</v>
      </c>
      <c r="B72" s="19" t="s">
        <v>648</v>
      </c>
      <c r="C72" s="19" t="s">
        <v>878</v>
      </c>
      <c r="D72" s="19" t="s">
        <v>879</v>
      </c>
      <c r="E72" s="19" t="s">
        <v>880</v>
      </c>
      <c r="F72" s="19" t="s">
        <v>881</v>
      </c>
      <c r="G72" s="20" t="s">
        <v>882</v>
      </c>
    </row>
    <row r="73" spans="1:7" x14ac:dyDescent="0.2">
      <c r="A73" s="19" t="s">
        <v>418</v>
      </c>
      <c r="B73" s="19" t="s">
        <v>649</v>
      </c>
      <c r="C73" s="19" t="s">
        <v>649</v>
      </c>
      <c r="D73" s="19" t="s">
        <v>883</v>
      </c>
      <c r="E73" s="19" t="s">
        <v>835</v>
      </c>
      <c r="F73" s="19" t="s">
        <v>717</v>
      </c>
      <c r="G73" s="20" t="s">
        <v>884</v>
      </c>
    </row>
    <row r="74" spans="1:7" x14ac:dyDescent="0.2">
      <c r="A74" s="19" t="s">
        <v>429</v>
      </c>
      <c r="B74" s="19" t="s">
        <v>885</v>
      </c>
      <c r="C74" s="19" t="s">
        <v>885</v>
      </c>
      <c r="D74" s="19" t="s">
        <v>886</v>
      </c>
      <c r="E74" s="19" t="s">
        <v>755</v>
      </c>
      <c r="F74" s="19" t="s">
        <v>717</v>
      </c>
      <c r="G74" s="20" t="s">
        <v>887</v>
      </c>
    </row>
    <row r="75" spans="1:7" x14ac:dyDescent="0.2">
      <c r="A75" s="19" t="s">
        <v>155</v>
      </c>
      <c r="B75" s="19" t="s">
        <v>650</v>
      </c>
      <c r="C75" s="19" t="s">
        <v>650</v>
      </c>
      <c r="D75" s="19" t="s">
        <v>888</v>
      </c>
      <c r="E75" s="19" t="s">
        <v>819</v>
      </c>
      <c r="F75" s="19" t="s">
        <v>717</v>
      </c>
      <c r="G75" s="20" t="s">
        <v>820</v>
      </c>
    </row>
    <row r="76" spans="1:7" x14ac:dyDescent="0.2">
      <c r="A76" s="19" t="s">
        <v>287</v>
      </c>
      <c r="B76" s="19" t="s">
        <v>889</v>
      </c>
      <c r="C76" s="19" t="s">
        <v>889</v>
      </c>
      <c r="D76" s="19" t="s">
        <v>758</v>
      </c>
      <c r="E76" s="19" t="s">
        <v>759</v>
      </c>
      <c r="F76" s="19" t="s">
        <v>717</v>
      </c>
      <c r="G76" s="19" t="s">
        <v>760</v>
      </c>
    </row>
    <row r="77" spans="1:7" x14ac:dyDescent="0.2">
      <c r="A77" s="19" t="s">
        <v>307</v>
      </c>
      <c r="B77" s="19" t="s">
        <v>890</v>
      </c>
      <c r="C77" s="19" t="s">
        <v>890</v>
      </c>
      <c r="D77" s="19" t="s">
        <v>717</v>
      </c>
      <c r="E77" s="19" t="s">
        <v>759</v>
      </c>
      <c r="F77" s="19" t="s">
        <v>717</v>
      </c>
      <c r="G77" s="19" t="s">
        <v>760</v>
      </c>
    </row>
    <row r="78" spans="1:7" x14ac:dyDescent="0.2">
      <c r="A78" s="19" t="s">
        <v>253</v>
      </c>
      <c r="B78" s="19" t="s">
        <v>651</v>
      </c>
      <c r="C78" s="19" t="s">
        <v>651</v>
      </c>
      <c r="D78" s="19" t="s">
        <v>758</v>
      </c>
      <c r="E78" s="19" t="s">
        <v>759</v>
      </c>
      <c r="F78" s="19" t="s">
        <v>717</v>
      </c>
      <c r="G78" s="19" t="s">
        <v>760</v>
      </c>
    </row>
    <row r="79" spans="1:7" x14ac:dyDescent="0.2">
      <c r="A79" s="19" t="s">
        <v>206</v>
      </c>
      <c r="B79" s="19" t="s">
        <v>652</v>
      </c>
      <c r="C79" s="19" t="s">
        <v>652</v>
      </c>
      <c r="D79" s="19" t="s">
        <v>758</v>
      </c>
      <c r="E79" s="19" t="s">
        <v>759</v>
      </c>
      <c r="F79" s="19" t="s">
        <v>717</v>
      </c>
      <c r="G79" s="19" t="s">
        <v>760</v>
      </c>
    </row>
    <row r="80" spans="1:7" x14ac:dyDescent="0.2">
      <c r="A80" s="19" t="s">
        <v>399</v>
      </c>
      <c r="B80" s="19" t="s">
        <v>891</v>
      </c>
      <c r="C80" s="19" t="s">
        <v>891</v>
      </c>
      <c r="D80" s="19" t="s">
        <v>892</v>
      </c>
      <c r="E80" s="19" t="s">
        <v>893</v>
      </c>
      <c r="F80" s="20" t="s">
        <v>894</v>
      </c>
      <c r="G80" s="20" t="s">
        <v>895</v>
      </c>
    </row>
    <row r="81" spans="1:7" x14ac:dyDescent="0.2">
      <c r="A81" s="19" t="s">
        <v>158</v>
      </c>
      <c r="B81" s="19" t="s">
        <v>653</v>
      </c>
      <c r="C81" s="19" t="s">
        <v>653</v>
      </c>
      <c r="D81" s="19" t="s">
        <v>896</v>
      </c>
      <c r="E81" s="19" t="s">
        <v>779</v>
      </c>
      <c r="F81" s="19" t="s">
        <v>897</v>
      </c>
      <c r="G81" s="20" t="s">
        <v>898</v>
      </c>
    </row>
    <row r="82" spans="1:7" x14ac:dyDescent="0.2">
      <c r="A82" s="19" t="s">
        <v>454</v>
      </c>
      <c r="B82" s="19" t="s">
        <v>899</v>
      </c>
      <c r="C82" s="19" t="s">
        <v>899</v>
      </c>
      <c r="D82" s="19" t="s">
        <v>900</v>
      </c>
      <c r="E82" s="19" t="s">
        <v>794</v>
      </c>
      <c r="F82" s="19" t="s">
        <v>717</v>
      </c>
      <c r="G82" s="20" t="s">
        <v>901</v>
      </c>
    </row>
    <row r="83" spans="1:7" x14ac:dyDescent="0.2">
      <c r="A83" s="19" t="s">
        <v>232</v>
      </c>
      <c r="B83" s="19" t="s">
        <v>654</v>
      </c>
      <c r="C83" s="19" t="s">
        <v>654</v>
      </c>
      <c r="D83" s="19" t="s">
        <v>758</v>
      </c>
      <c r="E83" s="19" t="s">
        <v>759</v>
      </c>
      <c r="F83" s="19" t="s">
        <v>717</v>
      </c>
      <c r="G83" s="19" t="s">
        <v>760</v>
      </c>
    </row>
    <row r="84" spans="1:7" x14ac:dyDescent="0.2">
      <c r="A84" s="19" t="s">
        <v>331</v>
      </c>
      <c r="B84" s="19" t="s">
        <v>655</v>
      </c>
      <c r="C84" s="19" t="s">
        <v>655</v>
      </c>
      <c r="D84" s="19" t="s">
        <v>902</v>
      </c>
      <c r="E84" s="19" t="s">
        <v>903</v>
      </c>
      <c r="F84" s="19" t="s">
        <v>904</v>
      </c>
      <c r="G84" s="20" t="s">
        <v>905</v>
      </c>
    </row>
    <row r="85" spans="1:7" x14ac:dyDescent="0.2">
      <c r="A85" s="19" t="s">
        <v>564</v>
      </c>
      <c r="B85" s="19" t="s">
        <v>1686</v>
      </c>
      <c r="C85" s="19" t="s">
        <v>906</v>
      </c>
      <c r="D85" s="20" t="s">
        <v>750</v>
      </c>
      <c r="E85" s="19" t="s">
        <v>751</v>
      </c>
      <c r="F85" s="19" t="s">
        <v>717</v>
      </c>
      <c r="G85" s="20" t="s">
        <v>752</v>
      </c>
    </row>
    <row r="86" spans="1:7" x14ac:dyDescent="0.2">
      <c r="A86" s="19" t="s">
        <v>249</v>
      </c>
      <c r="B86" s="19" t="s">
        <v>907</v>
      </c>
      <c r="C86" s="19" t="s">
        <v>907</v>
      </c>
      <c r="D86" s="19" t="s">
        <v>908</v>
      </c>
      <c r="E86" s="19" t="s">
        <v>909</v>
      </c>
      <c r="F86" s="19" t="s">
        <v>717</v>
      </c>
      <c r="G86" s="20" t="s">
        <v>910</v>
      </c>
    </row>
    <row r="87" spans="1:7" x14ac:dyDescent="0.2">
      <c r="A87" s="19" t="s">
        <v>59</v>
      </c>
      <c r="B87" s="19" t="s">
        <v>911</v>
      </c>
      <c r="C87" s="19" t="s">
        <v>911</v>
      </c>
      <c r="D87" s="19" t="s">
        <v>758</v>
      </c>
      <c r="E87" s="19" t="s">
        <v>759</v>
      </c>
      <c r="F87" s="19" t="s">
        <v>717</v>
      </c>
      <c r="G87" s="19" t="s">
        <v>760</v>
      </c>
    </row>
    <row r="88" spans="1:7" x14ac:dyDescent="0.2">
      <c r="A88" s="19" t="s">
        <v>56</v>
      </c>
      <c r="B88" s="19" t="s">
        <v>912</v>
      </c>
      <c r="C88" s="19" t="s">
        <v>912</v>
      </c>
      <c r="D88" s="19" t="s">
        <v>758</v>
      </c>
      <c r="E88" s="19" t="s">
        <v>759</v>
      </c>
      <c r="F88" s="19" t="s">
        <v>717</v>
      </c>
      <c r="G88" s="19" t="s">
        <v>760</v>
      </c>
    </row>
    <row r="89" spans="1:7" x14ac:dyDescent="0.2">
      <c r="A89" s="19" t="s">
        <v>67</v>
      </c>
      <c r="B89" s="19" t="s">
        <v>913</v>
      </c>
      <c r="C89" s="19" t="s">
        <v>913</v>
      </c>
      <c r="D89" s="19" t="s">
        <v>914</v>
      </c>
      <c r="E89" s="19" t="s">
        <v>775</v>
      </c>
      <c r="F89" s="19" t="s">
        <v>717</v>
      </c>
      <c r="G89" s="20" t="s">
        <v>915</v>
      </c>
    </row>
    <row r="90" spans="1:7" x14ac:dyDescent="0.2">
      <c r="A90" s="19" t="s">
        <v>495</v>
      </c>
      <c r="B90" s="19" t="s">
        <v>1687</v>
      </c>
      <c r="C90" s="19" t="s">
        <v>916</v>
      </c>
      <c r="D90" s="19" t="s">
        <v>917</v>
      </c>
      <c r="E90" s="19" t="s">
        <v>918</v>
      </c>
      <c r="F90" s="19" t="s">
        <v>717</v>
      </c>
      <c r="G90" s="20" t="s">
        <v>919</v>
      </c>
    </row>
    <row r="91" spans="1:7" x14ac:dyDescent="0.2">
      <c r="A91" s="19" t="s">
        <v>114</v>
      </c>
      <c r="B91" s="19" t="s">
        <v>920</v>
      </c>
      <c r="C91" s="19" t="s">
        <v>920</v>
      </c>
      <c r="D91" s="19" t="s">
        <v>758</v>
      </c>
      <c r="E91" s="19" t="s">
        <v>759</v>
      </c>
      <c r="F91" s="19" t="s">
        <v>717</v>
      </c>
      <c r="G91" s="19" t="s">
        <v>760</v>
      </c>
    </row>
    <row r="92" spans="1:7" x14ac:dyDescent="0.2">
      <c r="A92" s="19" t="s">
        <v>30</v>
      </c>
      <c r="B92" s="19" t="s">
        <v>656</v>
      </c>
      <c r="C92" s="19" t="s">
        <v>656</v>
      </c>
      <c r="D92" s="19" t="s">
        <v>921</v>
      </c>
      <c r="E92" s="19" t="s">
        <v>922</v>
      </c>
      <c r="F92" s="19" t="s">
        <v>717</v>
      </c>
      <c r="G92" s="20" t="s">
        <v>923</v>
      </c>
    </row>
    <row r="93" spans="1:7" x14ac:dyDescent="0.2">
      <c r="A93" s="19" t="s">
        <v>336</v>
      </c>
      <c r="B93" s="19" t="s">
        <v>1709</v>
      </c>
      <c r="C93" s="19" t="s">
        <v>924</v>
      </c>
      <c r="D93" s="19" t="s">
        <v>925</v>
      </c>
      <c r="E93" s="19" t="s">
        <v>830</v>
      </c>
      <c r="F93" s="19" t="s">
        <v>717</v>
      </c>
      <c r="G93" s="20" t="s">
        <v>926</v>
      </c>
    </row>
    <row r="94" spans="1:7" x14ac:dyDescent="0.2">
      <c r="A94" s="19" t="s">
        <v>310</v>
      </c>
      <c r="B94" s="19" t="s">
        <v>927</v>
      </c>
      <c r="C94" s="19" t="s">
        <v>927</v>
      </c>
      <c r="D94" s="19" t="s">
        <v>928</v>
      </c>
      <c r="E94" s="19" t="s">
        <v>929</v>
      </c>
      <c r="F94" s="19" t="s">
        <v>717</v>
      </c>
      <c r="G94" s="20" t="s">
        <v>930</v>
      </c>
    </row>
    <row r="95" spans="1:7" x14ac:dyDescent="0.2">
      <c r="A95" s="19" t="s">
        <v>339</v>
      </c>
      <c r="B95" s="19" t="s">
        <v>931</v>
      </c>
      <c r="C95" s="19" t="s">
        <v>931</v>
      </c>
      <c r="D95" s="19" t="s">
        <v>758</v>
      </c>
      <c r="E95" s="19" t="s">
        <v>759</v>
      </c>
      <c r="F95" s="19" t="s">
        <v>717</v>
      </c>
      <c r="G95" s="19" t="s">
        <v>760</v>
      </c>
    </row>
    <row r="96" spans="1:7" x14ac:dyDescent="0.2">
      <c r="A96" s="19" t="s">
        <v>313</v>
      </c>
      <c r="B96" s="19" t="s">
        <v>657</v>
      </c>
      <c r="C96" s="19" t="s">
        <v>657</v>
      </c>
      <c r="D96" s="19" t="s">
        <v>758</v>
      </c>
      <c r="E96" s="19" t="s">
        <v>759</v>
      </c>
      <c r="F96" s="19" t="s">
        <v>717</v>
      </c>
      <c r="G96" s="19" t="s">
        <v>760</v>
      </c>
    </row>
    <row r="97" spans="1:7" x14ac:dyDescent="0.2">
      <c r="A97" s="19" t="s">
        <v>82</v>
      </c>
      <c r="B97" s="19" t="s">
        <v>932</v>
      </c>
      <c r="C97" s="19" t="s">
        <v>932</v>
      </c>
      <c r="D97" s="19" t="s">
        <v>758</v>
      </c>
      <c r="E97" s="19" t="s">
        <v>759</v>
      </c>
      <c r="F97" s="19" t="s">
        <v>717</v>
      </c>
      <c r="G97" s="19" t="s">
        <v>760</v>
      </c>
    </row>
    <row r="98" spans="1:7" x14ac:dyDescent="0.2">
      <c r="A98" s="19" t="s">
        <v>70</v>
      </c>
      <c r="B98" s="19" t="s">
        <v>933</v>
      </c>
      <c r="C98" s="19" t="s">
        <v>933</v>
      </c>
      <c r="D98" s="19" t="s">
        <v>758</v>
      </c>
      <c r="E98" s="19" t="s">
        <v>759</v>
      </c>
      <c r="F98" s="19" t="s">
        <v>717</v>
      </c>
      <c r="G98" s="19" t="s">
        <v>760</v>
      </c>
    </row>
    <row r="99" spans="1:7" x14ac:dyDescent="0.2">
      <c r="A99" s="19" t="s">
        <v>208</v>
      </c>
      <c r="B99" s="19" t="s">
        <v>658</v>
      </c>
      <c r="C99" s="19" t="s">
        <v>658</v>
      </c>
      <c r="D99" s="19" t="s">
        <v>758</v>
      </c>
      <c r="E99" s="19" t="s">
        <v>759</v>
      </c>
      <c r="F99" s="19" t="s">
        <v>717</v>
      </c>
      <c r="G99" s="19" t="s">
        <v>760</v>
      </c>
    </row>
    <row r="100" spans="1:7" x14ac:dyDescent="0.2">
      <c r="A100" s="19" t="s">
        <v>372</v>
      </c>
      <c r="B100" s="19" t="s">
        <v>934</v>
      </c>
      <c r="C100" s="19" t="s">
        <v>934</v>
      </c>
      <c r="D100" s="19" t="s">
        <v>758</v>
      </c>
      <c r="E100" s="19" t="s">
        <v>759</v>
      </c>
      <c r="F100" s="19" t="s">
        <v>717</v>
      </c>
      <c r="G100" s="19" t="s">
        <v>760</v>
      </c>
    </row>
    <row r="101" spans="1:7" x14ac:dyDescent="0.2">
      <c r="A101" s="19" t="s">
        <v>570</v>
      </c>
      <c r="B101" s="19" t="s">
        <v>1688</v>
      </c>
      <c r="C101" s="19" t="s">
        <v>935</v>
      </c>
      <c r="D101" s="19" t="s">
        <v>936</v>
      </c>
      <c r="E101" s="19" t="s">
        <v>766</v>
      </c>
      <c r="F101" s="19" t="s">
        <v>717</v>
      </c>
      <c r="G101" s="20" t="s">
        <v>937</v>
      </c>
    </row>
    <row r="102" spans="1:7" x14ac:dyDescent="0.2">
      <c r="A102" s="19" t="s">
        <v>554</v>
      </c>
      <c r="B102" s="19" t="s">
        <v>660</v>
      </c>
      <c r="C102" s="19" t="s">
        <v>660</v>
      </c>
      <c r="D102" s="19" t="s">
        <v>758</v>
      </c>
      <c r="E102" s="19" t="s">
        <v>759</v>
      </c>
      <c r="F102" s="19" t="s">
        <v>717</v>
      </c>
      <c r="G102" s="19" t="s">
        <v>760</v>
      </c>
    </row>
    <row r="103" spans="1:7" x14ac:dyDescent="0.2">
      <c r="A103" s="19" t="s">
        <v>571</v>
      </c>
      <c r="B103" s="19" t="s">
        <v>1689</v>
      </c>
      <c r="C103" s="19" t="s">
        <v>938</v>
      </c>
      <c r="D103" s="19" t="s">
        <v>754</v>
      </c>
      <c r="E103" s="19" t="s">
        <v>755</v>
      </c>
      <c r="F103" s="20" t="s">
        <v>939</v>
      </c>
      <c r="G103" s="20" t="s">
        <v>757</v>
      </c>
    </row>
    <row r="104" spans="1:7" x14ac:dyDescent="0.2">
      <c r="A104" s="19" t="s">
        <v>572</v>
      </c>
      <c r="B104" s="19" t="s">
        <v>1700</v>
      </c>
      <c r="C104" s="19" t="s">
        <v>940</v>
      </c>
      <c r="D104" s="19" t="s">
        <v>896</v>
      </c>
      <c r="E104" s="19" t="s">
        <v>779</v>
      </c>
      <c r="F104" s="19" t="s">
        <v>897</v>
      </c>
      <c r="G104" s="20" t="s">
        <v>898</v>
      </c>
    </row>
    <row r="105" spans="1:7" x14ac:dyDescent="0.2">
      <c r="A105" s="19" t="s">
        <v>377</v>
      </c>
      <c r="B105" s="19" t="s">
        <v>941</v>
      </c>
      <c r="C105" s="19" t="s">
        <v>941</v>
      </c>
      <c r="D105" s="19" t="s">
        <v>758</v>
      </c>
      <c r="E105" s="19" t="s">
        <v>759</v>
      </c>
      <c r="F105" s="19" t="s">
        <v>717</v>
      </c>
      <c r="G105" s="19" t="s">
        <v>760</v>
      </c>
    </row>
    <row r="106" spans="1:7" x14ac:dyDescent="0.2">
      <c r="A106" s="19" t="s">
        <v>403</v>
      </c>
      <c r="B106" s="19" t="s">
        <v>942</v>
      </c>
      <c r="C106" s="19" t="s">
        <v>942</v>
      </c>
      <c r="D106" s="19" t="s">
        <v>943</v>
      </c>
      <c r="E106" s="19" t="s">
        <v>944</v>
      </c>
      <c r="F106" s="19" t="s">
        <v>717</v>
      </c>
      <c r="G106" s="20" t="s">
        <v>945</v>
      </c>
    </row>
    <row r="107" spans="1:7" x14ac:dyDescent="0.2">
      <c r="A107" s="19" t="s">
        <v>379</v>
      </c>
      <c r="B107" s="19" t="s">
        <v>1690</v>
      </c>
      <c r="C107" s="19" t="s">
        <v>946</v>
      </c>
      <c r="D107" s="19" t="s">
        <v>947</v>
      </c>
      <c r="E107" s="19" t="s">
        <v>922</v>
      </c>
      <c r="F107" s="19" t="s">
        <v>717</v>
      </c>
      <c r="G107" s="20" t="s">
        <v>948</v>
      </c>
    </row>
    <row r="108" spans="1:7" x14ac:dyDescent="0.2">
      <c r="A108" s="19" t="s">
        <v>293</v>
      </c>
      <c r="B108" s="19" t="s">
        <v>949</v>
      </c>
      <c r="C108" s="19" t="s">
        <v>949</v>
      </c>
      <c r="D108" s="19" t="s">
        <v>758</v>
      </c>
      <c r="E108" s="19" t="s">
        <v>759</v>
      </c>
      <c r="F108" s="19" t="s">
        <v>717</v>
      </c>
      <c r="G108" s="19" t="s">
        <v>760</v>
      </c>
    </row>
    <row r="109" spans="1:7" x14ac:dyDescent="0.2">
      <c r="A109" s="19" t="s">
        <v>382</v>
      </c>
      <c r="B109" s="19" t="s">
        <v>1691</v>
      </c>
      <c r="C109" s="19" t="s">
        <v>950</v>
      </c>
      <c r="D109" s="19" t="s">
        <v>951</v>
      </c>
      <c r="E109" s="19" t="s">
        <v>952</v>
      </c>
      <c r="F109" s="20" t="s">
        <v>953</v>
      </c>
      <c r="G109" s="20" t="s">
        <v>954</v>
      </c>
    </row>
    <row r="110" spans="1:7" x14ac:dyDescent="0.2">
      <c r="A110" s="19" t="s">
        <v>432</v>
      </c>
      <c r="B110" s="19" t="s">
        <v>574</v>
      </c>
      <c r="C110" s="19" t="s">
        <v>574</v>
      </c>
      <c r="D110" s="19" t="s">
        <v>758</v>
      </c>
      <c r="E110" s="19" t="s">
        <v>759</v>
      </c>
      <c r="F110" s="19" t="s">
        <v>717</v>
      </c>
      <c r="G110" s="19" t="s">
        <v>760</v>
      </c>
    </row>
    <row r="111" spans="1:7" x14ac:dyDescent="0.2">
      <c r="A111" s="19" t="s">
        <v>176</v>
      </c>
      <c r="B111" s="19" t="s">
        <v>573</v>
      </c>
      <c r="C111" s="19" t="s">
        <v>573</v>
      </c>
      <c r="D111" s="19" t="s">
        <v>758</v>
      </c>
      <c r="E111" s="19" t="s">
        <v>759</v>
      </c>
      <c r="F111" s="19" t="s">
        <v>717</v>
      </c>
      <c r="G111" s="19" t="s">
        <v>760</v>
      </c>
    </row>
    <row r="112" spans="1:7" x14ac:dyDescent="0.2">
      <c r="A112" s="19" t="s">
        <v>6</v>
      </c>
      <c r="B112" s="19" t="s">
        <v>955</v>
      </c>
      <c r="C112" s="19" t="s">
        <v>955</v>
      </c>
      <c r="D112" s="19" t="s">
        <v>956</v>
      </c>
      <c r="E112" s="19" t="s">
        <v>957</v>
      </c>
      <c r="F112" s="19" t="s">
        <v>717</v>
      </c>
      <c r="G112" s="20" t="s">
        <v>958</v>
      </c>
    </row>
    <row r="113" spans="1:7" x14ac:dyDescent="0.2">
      <c r="A113" s="19" t="s">
        <v>73</v>
      </c>
      <c r="B113" s="19" t="s">
        <v>959</v>
      </c>
      <c r="C113" s="19" t="s">
        <v>959</v>
      </c>
      <c r="D113" s="19" t="s">
        <v>960</v>
      </c>
      <c r="E113" s="19" t="s">
        <v>755</v>
      </c>
      <c r="F113" s="20" t="s">
        <v>961</v>
      </c>
      <c r="G113" s="20" t="s">
        <v>962</v>
      </c>
    </row>
    <row r="114" spans="1:7" x14ac:dyDescent="0.2">
      <c r="A114" s="19" t="s">
        <v>461</v>
      </c>
      <c r="B114" s="19" t="s">
        <v>963</v>
      </c>
      <c r="C114" s="19" t="s">
        <v>963</v>
      </c>
      <c r="D114" s="19" t="s">
        <v>964</v>
      </c>
      <c r="E114" s="19" t="s">
        <v>755</v>
      </c>
      <c r="F114" s="19" t="s">
        <v>717</v>
      </c>
      <c r="G114" s="20" t="s">
        <v>887</v>
      </c>
    </row>
    <row r="115" spans="1:7" x14ac:dyDescent="0.2">
      <c r="A115" s="19" t="s">
        <v>316</v>
      </c>
      <c r="B115" s="19" t="s">
        <v>965</v>
      </c>
      <c r="C115" s="19" t="s">
        <v>965</v>
      </c>
      <c r="D115" s="19" t="s">
        <v>966</v>
      </c>
      <c r="E115" s="19" t="s">
        <v>967</v>
      </c>
      <c r="F115" s="19" t="s">
        <v>717</v>
      </c>
      <c r="G115" s="20" t="s">
        <v>968</v>
      </c>
    </row>
    <row r="116" spans="1:7" x14ac:dyDescent="0.2">
      <c r="A116" s="19" t="s">
        <v>262</v>
      </c>
      <c r="B116" s="19" t="s">
        <v>969</v>
      </c>
      <c r="C116" s="19" t="s">
        <v>969</v>
      </c>
      <c r="D116" s="19" t="s">
        <v>758</v>
      </c>
      <c r="E116" s="19" t="s">
        <v>759</v>
      </c>
      <c r="F116" s="19" t="s">
        <v>717</v>
      </c>
      <c r="G116" s="19" t="s">
        <v>760</v>
      </c>
    </row>
    <row r="117" spans="1:7" x14ac:dyDescent="0.2">
      <c r="A117" s="19" t="s">
        <v>223</v>
      </c>
      <c r="B117" s="19" t="s">
        <v>970</v>
      </c>
      <c r="C117" s="19" t="s">
        <v>970</v>
      </c>
      <c r="D117" s="19" t="s">
        <v>758</v>
      </c>
      <c r="E117" s="19" t="s">
        <v>759</v>
      </c>
      <c r="F117" s="19" t="s">
        <v>717</v>
      </c>
      <c r="G117" s="19" t="s">
        <v>760</v>
      </c>
    </row>
    <row r="118" spans="1:7" x14ac:dyDescent="0.2">
      <c r="A118" s="19" t="s">
        <v>225</v>
      </c>
      <c r="B118" s="19" t="s">
        <v>662</v>
      </c>
      <c r="C118" s="19" t="s">
        <v>662</v>
      </c>
      <c r="D118" s="19" t="s">
        <v>758</v>
      </c>
      <c r="E118" s="19" t="s">
        <v>759</v>
      </c>
      <c r="F118" s="19" t="s">
        <v>717</v>
      </c>
      <c r="G118" s="19" t="s">
        <v>760</v>
      </c>
    </row>
    <row r="119" spans="1:7" x14ac:dyDescent="0.2">
      <c r="A119" s="19" t="s">
        <v>347</v>
      </c>
      <c r="B119" s="19" t="s">
        <v>1692</v>
      </c>
      <c r="C119" s="19" t="s">
        <v>971</v>
      </c>
      <c r="D119" s="19" t="s">
        <v>972</v>
      </c>
      <c r="E119" s="19" t="s">
        <v>973</v>
      </c>
      <c r="F119" s="19"/>
      <c r="G119" s="19"/>
    </row>
    <row r="120" spans="1:7" x14ac:dyDescent="0.2">
      <c r="A120" s="19" t="s">
        <v>542</v>
      </c>
      <c r="B120" s="19" t="s">
        <v>1693</v>
      </c>
      <c r="C120" s="19" t="s">
        <v>974</v>
      </c>
      <c r="D120" s="19" t="s">
        <v>975</v>
      </c>
      <c r="E120" s="19" t="s">
        <v>835</v>
      </c>
      <c r="F120" s="19" t="s">
        <v>717</v>
      </c>
      <c r="G120" s="20" t="s">
        <v>976</v>
      </c>
    </row>
    <row r="121" spans="1:7" x14ac:dyDescent="0.2">
      <c r="A121" s="19" t="s">
        <v>110</v>
      </c>
      <c r="B121" s="19" t="s">
        <v>663</v>
      </c>
      <c r="C121" s="19" t="s">
        <v>663</v>
      </c>
      <c r="D121" s="19" t="s">
        <v>977</v>
      </c>
      <c r="E121" s="19" t="s">
        <v>835</v>
      </c>
      <c r="F121" s="19" t="s">
        <v>717</v>
      </c>
      <c r="G121" s="20" t="s">
        <v>978</v>
      </c>
    </row>
    <row r="122" spans="1:7" x14ac:dyDescent="0.2">
      <c r="A122" s="19" t="s">
        <v>464</v>
      </c>
      <c r="B122" s="19" t="s">
        <v>979</v>
      </c>
      <c r="C122" s="19" t="s">
        <v>979</v>
      </c>
      <c r="D122" s="19" t="s">
        <v>980</v>
      </c>
      <c r="E122" s="19" t="s">
        <v>944</v>
      </c>
      <c r="F122" s="19" t="s">
        <v>717</v>
      </c>
      <c r="G122" s="20" t="s">
        <v>981</v>
      </c>
    </row>
    <row r="123" spans="1:7" x14ac:dyDescent="0.2">
      <c r="A123" s="19" t="s">
        <v>161</v>
      </c>
      <c r="B123" s="19" t="s">
        <v>982</v>
      </c>
      <c r="C123" s="19" t="s">
        <v>982</v>
      </c>
      <c r="D123" s="19" t="s">
        <v>983</v>
      </c>
      <c r="E123" s="19" t="s">
        <v>984</v>
      </c>
      <c r="F123" s="19" t="s">
        <v>717</v>
      </c>
      <c r="G123" s="20" t="s">
        <v>985</v>
      </c>
    </row>
    <row r="124" spans="1:7" x14ac:dyDescent="0.2">
      <c r="A124" s="19" t="s">
        <v>513</v>
      </c>
      <c r="B124" s="19" t="s">
        <v>986</v>
      </c>
      <c r="C124" s="19" t="s">
        <v>986</v>
      </c>
      <c r="D124" s="19" t="s">
        <v>987</v>
      </c>
      <c r="E124" s="19" t="s">
        <v>755</v>
      </c>
      <c r="F124" s="19" t="s">
        <v>717</v>
      </c>
      <c r="G124" s="19" t="s">
        <v>988</v>
      </c>
    </row>
    <row r="125" spans="1:7" x14ac:dyDescent="0.2">
      <c r="A125" s="19" t="s">
        <v>256</v>
      </c>
      <c r="B125" s="19" t="s">
        <v>989</v>
      </c>
      <c r="C125" s="19" t="s">
        <v>989</v>
      </c>
      <c r="D125" s="19" t="s">
        <v>990</v>
      </c>
      <c r="E125" s="19" t="s">
        <v>991</v>
      </c>
      <c r="F125" s="19" t="s">
        <v>717</v>
      </c>
      <c r="G125" s="20" t="s">
        <v>992</v>
      </c>
    </row>
    <row r="126" spans="1:7" x14ac:dyDescent="0.2">
      <c r="A126" s="19" t="s">
        <v>350</v>
      </c>
      <c r="B126" s="19" t="s">
        <v>1694</v>
      </c>
      <c r="C126" s="19" t="s">
        <v>993</v>
      </c>
      <c r="D126" s="19" t="s">
        <v>758</v>
      </c>
      <c r="E126" s="19" t="s">
        <v>759</v>
      </c>
      <c r="F126" s="19" t="s">
        <v>717</v>
      </c>
      <c r="G126" s="19" t="s">
        <v>760</v>
      </c>
    </row>
    <row r="127" spans="1:7" x14ac:dyDescent="0.2">
      <c r="A127" s="19" t="s">
        <v>33</v>
      </c>
      <c r="B127" s="19" t="s">
        <v>1695</v>
      </c>
      <c r="C127" s="19" t="s">
        <v>994</v>
      </c>
      <c r="D127" s="19" t="s">
        <v>995</v>
      </c>
      <c r="E127" s="19" t="s">
        <v>944</v>
      </c>
      <c r="F127" s="19" t="s">
        <v>717</v>
      </c>
      <c r="G127" s="20" t="s">
        <v>996</v>
      </c>
    </row>
    <row r="128" spans="1:7" x14ac:dyDescent="0.2">
      <c r="A128" s="19" t="s">
        <v>179</v>
      </c>
      <c r="B128" s="19" t="s">
        <v>664</v>
      </c>
      <c r="C128" s="19" t="s">
        <v>997</v>
      </c>
      <c r="D128" s="19" t="s">
        <v>998</v>
      </c>
      <c r="E128" s="19" t="s">
        <v>999</v>
      </c>
      <c r="F128" s="19" t="s">
        <v>1000</v>
      </c>
      <c r="G128" s="20" t="s">
        <v>1001</v>
      </c>
    </row>
    <row r="129" spans="1:7" x14ac:dyDescent="0.2">
      <c r="A129" s="19" t="s">
        <v>270</v>
      </c>
      <c r="B129" s="19" t="s">
        <v>665</v>
      </c>
      <c r="C129" s="19" t="s">
        <v>1002</v>
      </c>
      <c r="D129" s="19" t="s">
        <v>1003</v>
      </c>
      <c r="E129" s="19" t="s">
        <v>835</v>
      </c>
      <c r="F129" s="19" t="s">
        <v>717</v>
      </c>
      <c r="G129" s="20" t="s">
        <v>838</v>
      </c>
    </row>
    <row r="130" spans="1:7" x14ac:dyDescent="0.2">
      <c r="A130" s="19" t="s">
        <v>519</v>
      </c>
      <c r="B130" s="19" t="s">
        <v>666</v>
      </c>
      <c r="C130" s="19" t="s">
        <v>1004</v>
      </c>
      <c r="D130" s="19"/>
      <c r="E130" s="19"/>
      <c r="F130" s="19"/>
      <c r="G130" s="19"/>
    </row>
    <row r="131" spans="1:7" x14ac:dyDescent="0.2">
      <c r="A131" s="19" t="s">
        <v>516</v>
      </c>
      <c r="B131" s="19" t="s">
        <v>661</v>
      </c>
      <c r="C131" s="19" t="s">
        <v>946</v>
      </c>
      <c r="D131" s="19" t="s">
        <v>947</v>
      </c>
      <c r="E131" s="19" t="s">
        <v>922</v>
      </c>
      <c r="F131" s="19" t="s">
        <v>717</v>
      </c>
      <c r="G131" s="20" t="s">
        <v>948</v>
      </c>
    </row>
    <row r="132" spans="1:7" x14ac:dyDescent="0.2">
      <c r="A132" s="19" t="s">
        <v>49</v>
      </c>
      <c r="B132" s="19" t="s">
        <v>1696</v>
      </c>
      <c r="C132" s="19" t="s">
        <v>1005</v>
      </c>
      <c r="D132" s="19" t="s">
        <v>1006</v>
      </c>
      <c r="E132" s="19" t="s">
        <v>1007</v>
      </c>
      <c r="F132" s="19" t="s">
        <v>717</v>
      </c>
      <c r="G132" s="20" t="s">
        <v>1008</v>
      </c>
    </row>
    <row r="133" spans="1:7" x14ac:dyDescent="0.2">
      <c r="A133" s="19" t="s">
        <v>385</v>
      </c>
      <c r="B133" s="19" t="s">
        <v>1009</v>
      </c>
      <c r="C133" s="19" t="s">
        <v>1009</v>
      </c>
      <c r="D133" s="19" t="s">
        <v>758</v>
      </c>
      <c r="E133" s="19" t="s">
        <v>759</v>
      </c>
      <c r="F133" s="19" t="s">
        <v>717</v>
      </c>
      <c r="G133" s="19" t="s">
        <v>760</v>
      </c>
    </row>
    <row r="134" spans="1:7" x14ac:dyDescent="0.2">
      <c r="A134" s="19" t="s">
        <v>218</v>
      </c>
      <c r="B134" s="19" t="s">
        <v>1697</v>
      </c>
      <c r="C134" s="19" t="s">
        <v>1010</v>
      </c>
      <c r="D134" s="19" t="s">
        <v>1011</v>
      </c>
      <c r="E134" s="19" t="s">
        <v>1012</v>
      </c>
      <c r="F134" s="19" t="s">
        <v>717</v>
      </c>
      <c r="G134" s="20" t="s">
        <v>1013</v>
      </c>
    </row>
    <row r="135" spans="1:7" x14ac:dyDescent="0.2">
      <c r="A135" s="19" t="s">
        <v>575</v>
      </c>
      <c r="B135" s="19" t="s">
        <v>576</v>
      </c>
      <c r="C135" s="19" t="s">
        <v>576</v>
      </c>
      <c r="D135" s="19" t="s">
        <v>758</v>
      </c>
      <c r="E135" s="19" t="s">
        <v>759</v>
      </c>
      <c r="F135" s="19" t="s">
        <v>717</v>
      </c>
      <c r="G135" s="19" t="s">
        <v>760</v>
      </c>
    </row>
    <row r="136" spans="1:7" x14ac:dyDescent="0.2">
      <c r="A136" s="19" t="s">
        <v>436</v>
      </c>
      <c r="B136" s="19" t="s">
        <v>667</v>
      </c>
      <c r="C136" s="19" t="s">
        <v>667</v>
      </c>
      <c r="D136" s="19" t="s">
        <v>758</v>
      </c>
      <c r="E136" s="19" t="s">
        <v>759</v>
      </c>
      <c r="F136" s="19" t="s">
        <v>717</v>
      </c>
      <c r="G136" s="19" t="s">
        <v>760</v>
      </c>
    </row>
    <row r="137" spans="1:7" x14ac:dyDescent="0.2">
      <c r="A137" s="19" t="s">
        <v>388</v>
      </c>
      <c r="B137" s="19" t="s">
        <v>1014</v>
      </c>
      <c r="C137" s="19" t="s">
        <v>1014</v>
      </c>
      <c r="D137" s="19" t="s">
        <v>1015</v>
      </c>
      <c r="E137" s="19" t="s">
        <v>1016</v>
      </c>
      <c r="F137" s="20" t="s">
        <v>1017</v>
      </c>
      <c r="G137" s="20" t="s">
        <v>1018</v>
      </c>
    </row>
    <row r="138" spans="1:7" x14ac:dyDescent="0.2">
      <c r="A138" s="19" t="s">
        <v>202</v>
      </c>
      <c r="B138" s="19" t="s">
        <v>1019</v>
      </c>
      <c r="C138" s="19" t="s">
        <v>1019</v>
      </c>
      <c r="D138" s="19" t="s">
        <v>818</v>
      </c>
      <c r="E138" s="19" t="s">
        <v>819</v>
      </c>
      <c r="F138" s="19" t="s">
        <v>717</v>
      </c>
      <c r="G138" s="20" t="s">
        <v>820</v>
      </c>
    </row>
    <row r="139" spans="1:7" x14ac:dyDescent="0.2">
      <c r="A139" s="19" t="s">
        <v>164</v>
      </c>
      <c r="B139" s="19" t="s">
        <v>668</v>
      </c>
      <c r="C139" s="19"/>
      <c r="D139" s="19"/>
      <c r="E139" s="19"/>
      <c r="F139" s="19"/>
      <c r="G139" s="19"/>
    </row>
    <row r="140" spans="1:7" x14ac:dyDescent="0.2">
      <c r="A140" s="19" t="s">
        <v>185</v>
      </c>
      <c r="B140" s="19" t="s">
        <v>1020</v>
      </c>
      <c r="C140" s="19" t="s">
        <v>1020</v>
      </c>
      <c r="D140" s="19" t="s">
        <v>1021</v>
      </c>
      <c r="E140" s="19" t="s">
        <v>1022</v>
      </c>
      <c r="F140" s="19" t="s">
        <v>717</v>
      </c>
      <c r="G140" s="20" t="s">
        <v>1023</v>
      </c>
    </row>
    <row r="141" spans="1:7" x14ac:dyDescent="0.2">
      <c r="A141" s="19" t="s">
        <v>182</v>
      </c>
      <c r="B141" s="19" t="s">
        <v>1024</v>
      </c>
      <c r="C141" s="19" t="s">
        <v>1024</v>
      </c>
      <c r="D141" s="19" t="s">
        <v>758</v>
      </c>
      <c r="E141" s="19" t="s">
        <v>759</v>
      </c>
      <c r="F141" s="19" t="s">
        <v>717</v>
      </c>
      <c r="G141" s="19" t="s">
        <v>760</v>
      </c>
    </row>
    <row r="142" spans="1:7" x14ac:dyDescent="0.2">
      <c r="A142" s="19" t="s">
        <v>343</v>
      </c>
      <c r="B142" s="19" t="s">
        <v>1698</v>
      </c>
      <c r="C142" s="19"/>
      <c r="D142" s="19"/>
      <c r="E142" s="19"/>
      <c r="F142" s="19"/>
      <c r="G142" s="19"/>
    </row>
    <row r="143" spans="1:7" x14ac:dyDescent="0.2">
      <c r="A143" s="19" t="s">
        <v>577</v>
      </c>
      <c r="B143" s="19" t="s">
        <v>1025</v>
      </c>
      <c r="C143" s="19" t="s">
        <v>1025</v>
      </c>
      <c r="D143" s="19" t="s">
        <v>1026</v>
      </c>
      <c r="E143" s="19" t="s">
        <v>1027</v>
      </c>
      <c r="F143" s="19" t="s">
        <v>717</v>
      </c>
      <c r="G143" s="20" t="s">
        <v>1028</v>
      </c>
    </row>
    <row r="144" spans="1:7" x14ac:dyDescent="0.2">
      <c r="A144" s="19" t="s">
        <v>557</v>
      </c>
      <c r="B144" s="19" t="s">
        <v>1699</v>
      </c>
      <c r="C144" s="19" t="s">
        <v>670</v>
      </c>
      <c r="D144" s="19" t="s">
        <v>1029</v>
      </c>
      <c r="E144" s="19" t="s">
        <v>922</v>
      </c>
      <c r="F144" s="19" t="s">
        <v>717</v>
      </c>
      <c r="G144" s="20" t="s">
        <v>1030</v>
      </c>
    </row>
    <row r="145" spans="1:7" x14ac:dyDescent="0.2">
      <c r="A145" s="5" t="s">
        <v>545</v>
      </c>
      <c r="B145" s="19" t="s">
        <v>671</v>
      </c>
      <c r="C145" s="19" t="s">
        <v>671</v>
      </c>
      <c r="D145" s="19" t="s">
        <v>1678</v>
      </c>
      <c r="E145" s="19" t="s">
        <v>823</v>
      </c>
      <c r="F145" s="19" t="s">
        <v>717</v>
      </c>
      <c r="G145" s="20" t="s">
        <v>824</v>
      </c>
    </row>
    <row r="146" spans="1:7" x14ac:dyDescent="0.2">
      <c r="A146" s="19"/>
    </row>
  </sheetData>
  <hyperlinks>
    <hyperlink ref="D3" r:id="rId1" display="https://creativecommons.org/licenses/by/4.0/" xr:uid="{D6BC6AB6-6D5F-CA42-B9B2-E3FA9B511EA6}"/>
    <hyperlink ref="G3" r:id="rId2" xr:uid="{03D19298-3AEE-8B4C-A0BB-8280A051E59B}"/>
    <hyperlink ref="F4" r:id="rId3" display="http://www.fao.org/forest-resources-assessment/en/" xr:uid="{60883FBE-649E-384E-9C4A-ED8D4B6A5645}"/>
    <hyperlink ref="G4" r:id="rId4" xr:uid="{BF845DF1-15DE-1F43-85A8-EBFF46193F12}"/>
    <hyperlink ref="G7" r:id="rId5" xr:uid="{72F3B53D-3B81-1246-8584-ED1B68427574}"/>
    <hyperlink ref="G10" r:id="rId6" xr:uid="{F57ECA6C-23BE-0046-B942-B6A7EBD65547}"/>
    <hyperlink ref="G11" r:id="rId7" xr:uid="{8CF7B053-7950-FD4E-926D-403282BC51F1}"/>
    <hyperlink ref="G12" r:id="rId8" xr:uid="{A31447DB-5636-8C4D-B208-BE60A95AEC6E}"/>
    <hyperlink ref="G13" r:id="rId9" xr:uid="{F98C7E19-9049-B445-80F8-CB8D4AA729A6}"/>
    <hyperlink ref="G14" r:id="rId10" xr:uid="{C31DA01C-75B2-2D4B-8751-098948FD3665}"/>
    <hyperlink ref="F17" r:id="rId11" display="https://doi.org/10.1007/978-3-642-11274-4_144" xr:uid="{AA0FE72D-BE5A-7B43-86A3-D40BC3055B67}"/>
    <hyperlink ref="G17" r:id="rId12" location="howtocite" display="https://link.springer.com/referenceworkentry/10.1007%2F978-3-642-11274-4_144 - howtocite" xr:uid="{6F17B982-C475-EA47-89D9-D24BA4C816D2}"/>
    <hyperlink ref="G20" r:id="rId13" xr:uid="{1AE68C12-5F8F-A445-BC3F-AF0159227363}"/>
    <hyperlink ref="F22" r:id="rId14" display="https://www.ses.nsw.gov.au/about-us/flood-storm-and-tsunami-plans/%5d%5blast" xr:uid="{ADD4E73F-D1BB-934A-9F2A-411994B1A50A}"/>
    <hyperlink ref="G22" r:id="rId15" xr:uid="{F05164AE-845C-BF43-8214-1D807FB4D97F}"/>
    <hyperlink ref="G24" r:id="rId16" xr:uid="{4AE54D75-397D-8C4E-BD92-D885AEF2BB27}"/>
    <hyperlink ref="G25" r:id="rId17" location="qt-science_center_objects" display="https://www.usgs.gov/special-topic/water-science-school/science/alkalinity-and-water?qt-science_center_objects=0 - qt-science_center_objects" xr:uid="{3802BF6E-0FD6-2F44-B1B9-6C483D6B1DC2}"/>
    <hyperlink ref="G27" r:id="rId18" xr:uid="{EBBAC031-8A54-BC47-81C4-DEFB84B29564}"/>
    <hyperlink ref="G28" r:id="rId19" xr:uid="{FEBA44C0-20D6-954C-9946-595363CA70B3}"/>
    <hyperlink ref="G29" r:id="rId20" xr:uid="{9D1CC619-114C-C749-8442-C22BF93BF95B}"/>
    <hyperlink ref="G30" r:id="rId21" xr:uid="{A13AE923-F616-8F48-ABCB-4FD4412A39E1}"/>
    <hyperlink ref="G31" r:id="rId22" xr:uid="{46FA5521-54CA-584F-8BA5-26944647FED1}"/>
    <hyperlink ref="G34" r:id="rId23" xr:uid="{9A86E9B8-C297-9441-8FE5-2F6C67DD51FD}"/>
    <hyperlink ref="G35" r:id="rId24" xr:uid="{F03494C5-98FD-0B41-A2EC-EC88920F9B49}"/>
    <hyperlink ref="G36" r:id="rId25" xr:uid="{6DE98617-86C0-CE4D-81BF-E6CE51DEB079}"/>
    <hyperlink ref="G37" r:id="rId26" location=":~:text=Erosion%20is%20the%20geological%20process,such%20as%20wind%20or%20water" display="https://www.nationalgeographic.org/encyclopedia/erosion/ - :~:text=Erosion%20is%20the%20geological%20process,such%20as%20wind%20or%20water" xr:uid="{C5C2C8D7-BA53-AC49-8C85-C5A701D0A983}"/>
    <hyperlink ref="G38" r:id="rId27" location="qt-science_center_objects" display="https://www.usgs.gov/mission-areas/water-resources/science/nutrients-and-eutrophication?qt-science_center_objects=0 - qt-science_center_objects" xr:uid="{810E59D9-FB7D-2344-86FF-43F7E7C4B7E6}"/>
    <hyperlink ref="G39" r:id="rId28" xr:uid="{BFEE7AEA-42E0-4649-A021-8E9649E5F000}"/>
    <hyperlink ref="G41" r:id="rId29" xr:uid="{763B134C-DDC1-1D4C-81F4-AA52495B69F8}"/>
    <hyperlink ref="G42" r:id="rId30" xr:uid="{B14924BF-0B8F-BB45-A002-FB09A9969BC5}"/>
    <hyperlink ref="G43" r:id="rId31" xr:uid="{5F7BD429-3D41-E742-AB62-9E31061E5D93}"/>
    <hyperlink ref="G46" r:id="rId32" xr:uid="{BFC5928A-2A4E-954A-B9FC-04C25B447C57}"/>
    <hyperlink ref="G47" r:id="rId33" location=":~:text=Fracking%20is%20the%20process%20of,the%20head%20of%20the%20well" display="https://www.bbc.com/news/uk-14432401 - :~:text=Fracking%20is%20the%20process%20of,the%20head%20of%20the%20well" xr:uid="{761499BB-62C1-6D4B-B892-9527E8EA2A95}"/>
    <hyperlink ref="G48" r:id="rId34" xr:uid="{6560F8D9-CDF5-0C49-A2A9-C238A0611475}"/>
    <hyperlink ref="G49" r:id="rId35" xr:uid="{7D4E5B35-EB66-1241-B4B3-6BCE565DA87C}"/>
    <hyperlink ref="G53" r:id="rId36" xr:uid="{3FFC50DC-5BAD-2A4E-9772-90B8265DF047}"/>
    <hyperlink ref="G54" r:id="rId37" xr:uid="{D27647B3-41A5-564A-A90C-501A19FE62FE}"/>
    <hyperlink ref="G55" r:id="rId38" xr:uid="{792D0139-9551-1A4E-87F0-1465D417DD22}"/>
    <hyperlink ref="G60" r:id="rId39" xr:uid="{25FEFB17-2655-8B4C-89A8-B14E5FA83DA3}"/>
    <hyperlink ref="G61" r:id="rId40" xr:uid="{E2D41B89-6B27-F24A-A07D-B6AB27FD2158}"/>
    <hyperlink ref="G62" r:id="rId41" location="qt-science_center_objects" display="https://www.usgs.gov/special-topic/water-science-school/science/alkalinity-and-water?qt-science_center_objects=0 - qt-science_center_objects" xr:uid="{66ACD6CD-F8BC-4040-87DC-9EB17D30E6E6}"/>
    <hyperlink ref="G65" r:id="rId42" xr:uid="{1985BAB3-C46E-114D-B941-951E076D7D6C}"/>
    <hyperlink ref="G66" r:id="rId43" xr:uid="{DDC33D6D-B5D6-3346-9C3B-6DD731AADC12}"/>
    <hyperlink ref="G67" r:id="rId44" xr:uid="{8D22C625-D35C-F34A-9C45-7FAD8027761F}"/>
    <hyperlink ref="F70" r:id="rId45" display="https://www.ses.nsw.gov.au/about-us/flood-storm-and-tsunami-plans/%5d%5blast" xr:uid="{7030DA6A-D1BE-C644-B25D-8EC00704BA2A}"/>
    <hyperlink ref="G70" r:id="rId46" xr:uid="{064F2F20-9073-4442-B64E-CF7B71F803DB}"/>
    <hyperlink ref="G72" r:id="rId47" xr:uid="{8E0D8B43-6E3F-2D4B-991D-7E79BB49DB6F}"/>
    <hyperlink ref="G73" r:id="rId48" xr:uid="{07AAF33B-2B45-1445-BBBF-4BB801B2ECF9}"/>
    <hyperlink ref="G74" r:id="rId49" xr:uid="{A074D16F-7EA3-B84E-88DD-C1B701A2E8B4}"/>
    <hyperlink ref="G75" r:id="rId50" xr:uid="{B099D978-82CE-D645-9C39-7E688AF1D10D}"/>
    <hyperlink ref="F80" r:id="rId51" display="https://www.industry.gov.au/data-and-publications/leading-practice-handbook-mine-rehabilitation%3E" xr:uid="{9C77C34B-4E85-C948-B353-ADE500B527BA}"/>
    <hyperlink ref="G80" r:id="rId52" xr:uid="{20CA2080-C7E3-1249-BD3B-525D6B2707AE}"/>
    <hyperlink ref="G81" r:id="rId53" xr:uid="{BC28CDF2-B889-9E4C-8CB0-9598EBE81965}"/>
    <hyperlink ref="G82" r:id="rId54" xr:uid="{9C4D8932-CC85-D446-B3FF-9AF2D547BD44}"/>
    <hyperlink ref="G84" r:id="rId55" xr:uid="{D8CCB085-5866-014E-AA1F-1E9F645208E8}"/>
    <hyperlink ref="D85" r:id="rId56" display="https://creativecommons.org/licenses/by/4.0/" xr:uid="{E2E4F732-D525-F445-B815-7F30CBED0CE9}"/>
    <hyperlink ref="G85" r:id="rId57" xr:uid="{8ADBEF54-71D8-4F46-8E23-D8BBD7817D25}"/>
    <hyperlink ref="G86" r:id="rId58" xr:uid="{87B183F6-E454-7345-9088-E69968B158E1}"/>
    <hyperlink ref="G89" r:id="rId59" xr:uid="{F1B835D9-87D6-AE46-A324-633C54BB6D28}"/>
    <hyperlink ref="G90" r:id="rId60" xr:uid="{C543FEA0-B324-4D46-8359-4DFB53C3072A}"/>
    <hyperlink ref="G92" r:id="rId61" xr:uid="{D6EC45C4-7774-3442-BF44-258EC169FAF2}"/>
    <hyperlink ref="G93" r:id="rId62" location=":~:text=1%2F14-,Pollution%20is%20the%20introduction%20of%20harmful%20materials%20into%20the%20environment,air%2C%20water%2C%20and%20land" display="https://www.nationalgeographic.org/encyclopedia/pollution/ - :~:text=1%2F14-,Pollution%20is%20the%20introduction%20of%20harmful%20materials%20into%20the%20environment,air%2C%20water%2C%20and%20land" xr:uid="{37DAE41C-4FB0-0B47-ABA7-A1CBBBC8B8E5}"/>
    <hyperlink ref="G94" r:id="rId63" xr:uid="{89560377-5D79-F04D-AEF5-538C65BEB950}"/>
    <hyperlink ref="G101" r:id="rId64" xr:uid="{5FF1D765-8EC9-434F-980A-56B5C886D5FC}"/>
    <hyperlink ref="F103" r:id="rId65" display="http://www.fao.org/forest-resources-assessment/en/" xr:uid="{6F32BA3D-C6F6-2C46-A6B7-7EC44E2AE699}"/>
    <hyperlink ref="G103" r:id="rId66" xr:uid="{39839851-CE53-0149-8D6B-662EB43F57F3}"/>
    <hyperlink ref="G104" r:id="rId67" xr:uid="{C4848253-6B4A-4A4A-8F4E-B2E24D8A6DEC}"/>
    <hyperlink ref="G106" r:id="rId68" xr:uid="{9ACA206C-C462-F24B-9D27-DA1D45F01A4D}"/>
    <hyperlink ref="G107" r:id="rId69" xr:uid="{70171C52-1250-914D-B12C-F4EC9818CF79}"/>
    <hyperlink ref="F109" r:id="rId70" display="https://www.environment.gov.au/land/publications/australias-native-vegetation-framework" xr:uid="{F89F2624-4AF5-FB40-8168-2B62C07319BA}"/>
    <hyperlink ref="G109" r:id="rId71" xr:uid="{143477E8-0100-7C49-88E6-66FF6001568D}"/>
    <hyperlink ref="G112" r:id="rId72" xr:uid="{04FBD7E2-8444-824B-865A-116D3E7D95CB}"/>
    <hyperlink ref="F113" r:id="rId73" display="http://www.fao.org/3/ca4395en/ca4395en.pdf" xr:uid="{C6479321-6131-CB4F-A8F7-A119B4225FA6}"/>
    <hyperlink ref="G113" r:id="rId74" xr:uid="{BDDD0672-F10A-7644-9CAE-F52D41C94749}"/>
    <hyperlink ref="G114" r:id="rId75" xr:uid="{850DB01C-DA73-544E-89BF-504CB3FF18BE}"/>
    <hyperlink ref="G115" r:id="rId76" display="https://www.weather.gov/phi/ThunderstormDefinition" xr:uid="{B1ECDAE0-474E-8345-8906-D0B4D69D058D}"/>
    <hyperlink ref="G120" r:id="rId77" xr:uid="{001A16ED-B1D7-264D-AB16-249F8EA5595C}"/>
    <hyperlink ref="G121" r:id="rId78" xr:uid="{354560DD-9178-FC43-A5BF-147BF03C48BF}"/>
    <hyperlink ref="G122" r:id="rId79" location=":~:text=Stubble%20burning%20is%20intentionally%20setting,governments%20increasingly%20restricted%20its%20use" display="https://en.wikipedia.org/wiki/Stubble_burning - :~:text=Stubble%20burning%20is%20intentionally%20setting,governments%20increasingly%20restricted%20its%20use" xr:uid="{8C1E9742-697B-0540-B024-787299E0DC5E}"/>
    <hyperlink ref="G123" r:id="rId80" xr:uid="{259FD4D7-880D-6747-8B9F-B7476B2824EC}"/>
    <hyperlink ref="G125" r:id="rId81" display="https://www.merriam-webster.com/dictionary/thermal expansion" xr:uid="{8024167C-CE3E-9342-B58A-2A36DE3DFEAC}"/>
    <hyperlink ref="G127" r:id="rId82" xr:uid="{363268A5-1377-104A-B74D-B74437057E34}"/>
    <hyperlink ref="G128" r:id="rId83" xr:uid="{8532C079-4763-9D47-9368-7C68D870CBD1}"/>
    <hyperlink ref="G129" r:id="rId84" xr:uid="{4A85E6CF-9FF2-984A-BC29-60E0C7806E60}"/>
    <hyperlink ref="G131" r:id="rId85" xr:uid="{85D7EFFE-6218-354B-8CB5-EEEC1EA2D7FE}"/>
    <hyperlink ref="G132" r:id="rId86" xr:uid="{12424E5D-ADCE-6647-BE48-55666D6C4232}"/>
    <hyperlink ref="G134" r:id="rId87" xr:uid="{2086AAD2-3B4F-0449-99CA-9282629C9BDB}"/>
    <hyperlink ref="F137" r:id="rId88" display="https://doi.org/10.1016/S1462-9011(00)00109-X.(http:/www.sciencedirect.com/science/article/pii/S146290110000109X)" xr:uid="{B7648716-BDAD-1448-B666-0401A58A5594}"/>
    <hyperlink ref="G137" r:id="rId89" xr:uid="{7F9CA903-8ED5-6549-9CD8-33537CC8D1FD}"/>
    <hyperlink ref="G138" r:id="rId90" xr:uid="{09A05332-9A62-9848-8A06-054420C39AC7}"/>
    <hyperlink ref="G140" r:id="rId91" xr:uid="{8546F873-9961-D141-BF7C-B891984E9755}"/>
    <hyperlink ref="G143" r:id="rId92" xr:uid="{DDF2B55E-D5F2-C043-8BDC-8E211FA39D65}"/>
    <hyperlink ref="G144" r:id="rId93" xr:uid="{5FDBFEDC-9182-0147-9D31-84171D55D3FE}"/>
    <hyperlink ref="G145" r:id="rId94" xr:uid="{2FEB2E83-512E-CD4B-96A3-AD93B72259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Australia</vt:lpstr>
      <vt:lpstr>colours</vt:lpstr>
      <vt:lpstr>Impacts</vt:lpstr>
      <vt:lpstr>Pressures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Shaw</dc:creator>
  <cp:lastModifiedBy>Isabel Leidiany Brandao [ilb9] (Staff)</cp:lastModifiedBy>
  <dcterms:created xsi:type="dcterms:W3CDTF">2024-04-15T09:05:08Z</dcterms:created>
  <dcterms:modified xsi:type="dcterms:W3CDTF">2024-11-21T11:48:03Z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2dfecbd-fc97-4e8a-a9cd-19ed496c406e_Enabled">
    <vt:lpwstr>true</vt:lpwstr>
  </property>
  <property fmtid="{D5CDD505-2E9C-101B-9397-08002B2CF9AE}" pid="3" name="MSIP_Label_f2dfecbd-fc97-4e8a-a9cd-19ed496c406e_SetDate">
    <vt:lpwstr>2024-05-25T06:38:10Z</vt:lpwstr>
  </property>
  <property fmtid="{D5CDD505-2E9C-101B-9397-08002B2CF9AE}" pid="4" name="MSIP_Label_f2dfecbd-fc97-4e8a-a9cd-19ed496c406e_Method">
    <vt:lpwstr>Standard</vt:lpwstr>
  </property>
  <property fmtid="{D5CDD505-2E9C-101B-9397-08002B2CF9AE}" pid="5" name="MSIP_Label_f2dfecbd-fc97-4e8a-a9cd-19ed496c406e_Name">
    <vt:lpwstr>defa4170-0d19-0005-0004-bc88714345d2</vt:lpwstr>
  </property>
  <property fmtid="{D5CDD505-2E9C-101B-9397-08002B2CF9AE}" pid="6" name="MSIP_Label_f2dfecbd-fc97-4e8a-a9cd-19ed496c406e_SiteId">
    <vt:lpwstr>d47b090e-3f5a-4ca0-84d0-9f89d269f175</vt:lpwstr>
  </property>
  <property fmtid="{D5CDD505-2E9C-101B-9397-08002B2CF9AE}" pid="7" name="MSIP_Label_f2dfecbd-fc97-4e8a-a9cd-19ed496c406e_ActionId">
    <vt:lpwstr>32e6afb1-e7fa-49c0-8d4a-fead5bceda71</vt:lpwstr>
  </property>
  <property fmtid="{D5CDD505-2E9C-101B-9397-08002B2CF9AE}" pid="8" name="MSIP_Label_f2dfecbd-fc97-4e8a-a9cd-19ed496c406e_ContentBits">
    <vt:lpwstr>0</vt:lpwstr>
  </property>
</Properties>
</file>